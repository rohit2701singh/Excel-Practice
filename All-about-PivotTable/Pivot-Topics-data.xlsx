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pivotTables/pivotTable22.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defaultThemeVersion="166925"/>
  <mc:AlternateContent xmlns:mc="http://schemas.openxmlformats.org/markup-compatibility/2006">
    <mc:Choice Requires="x15">
      <x15ac:absPath xmlns:x15ac="http://schemas.microsoft.com/office/spreadsheetml/2010/11/ac" url="C:\Users\rohit\Excel_Practice\All-about-PivotTable\"/>
    </mc:Choice>
  </mc:AlternateContent>
  <xr:revisionPtr revIDLastSave="0" documentId="13_ncr:1_{3A672BFC-5755-413A-A59D-62FFCDFB6E2E}" xr6:coauthVersionLast="47" xr6:coauthVersionMax="47" xr10:uidLastSave="{00000000-0000-0000-0000-000000000000}"/>
  <bookViews>
    <workbookView xWindow="-108" yWindow="-108" windowWidth="23256" windowHeight="12456" tabRatio="981" xr2:uid="{A557F338-F1DE-4835-943E-C326CD796362}"/>
  </bookViews>
  <sheets>
    <sheet name="Topics-to-cover" sheetId="34" r:id="rId1"/>
    <sheet name="chart-slicer-timeline" sheetId="33" r:id="rId2"/>
    <sheet name="grouping" sheetId="35" r:id="rId3"/>
    <sheet name="show-values-as" sheetId="37" r:id="rId4"/>
    <sheet name="calculated-field" sheetId="42" r:id="rId5"/>
    <sheet name="calculated-items" sheetId="45" r:id="rId6"/>
    <sheet name="raw_data" sheetId="1" r:id="rId7"/>
    <sheet name="dynamic-pivot-table" sheetId="47" r:id="rId8"/>
    <sheet name="GetPivotData-formula" sheetId="50" r:id="rId9"/>
    <sheet name="named_range" sheetId="51" r:id="rId10"/>
  </sheets>
  <definedNames>
    <definedName name="_xlnm._FilterDatabase" localSheetId="5" hidden="1">'calculated-items'!$A$27:$C$47</definedName>
    <definedName name="_xlnm._FilterDatabase" localSheetId="8" hidden="1">'GetPivotData-formula'!$A$3:$H$503</definedName>
    <definedName name="_xlnm._FilterDatabase" localSheetId="6" hidden="1">raw_data!$A$1:$I$366</definedName>
    <definedName name="MyDynamicTableRange" comment="dynamic data source  to create a pivot table.">OFFSET('dynamic-pivot-table'!$A$4,0,0,COUNTA('dynamic-pivot-table'!$A$4:$A$1048576),COUNTA('dynamic-pivot-table'!$A$4:$E$4))</definedName>
    <definedName name="Named_range_sheet" comment="sheet-name: named_range.....check range name on the left of formula bar dropdown">named_range!$A$1:$I$22</definedName>
    <definedName name="NativeTimeline_Order_Date">#N/A</definedName>
    <definedName name="Slicer_Country">#N/A</definedName>
  </definedNames>
  <calcPr calcId="191029" iterateCount="1000"/>
  <pivotCaches>
    <pivotCache cacheId="1" r:id="rId11"/>
    <pivotCache cacheId="2" r:id="rId12"/>
    <pivotCache cacheId="3" r:id="rId13"/>
    <pivotCache cacheId="4" r:id="rId14"/>
    <pivotCache cacheId="5" r:id="rId15"/>
    <pivotCache cacheId="6" r:id="rId16"/>
    <pivotCache cacheId="7" r:id="rId17"/>
  </pivotCaches>
  <extLst>
    <ext xmlns:x14="http://schemas.microsoft.com/office/spreadsheetml/2009/9/main" uri="{876F7934-8845-4945-9796-88D515C7AA90}">
      <x14:pivotCaches>
        <pivotCache cacheId="8"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47" l="1" a="1"/>
  <c r="F28" i="47" s="1"/>
  <c r="M5" i="1"/>
  <c r="O9" i="50"/>
  <c r="N9" i="50"/>
  <c r="N10" i="50"/>
  <c r="O10" i="5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<sst xmlns="http://schemas.openxmlformats.org/spreadsheetml/2006/main" count="5906" uniqueCount="1166">
  <si>
    <t>Order ID</t>
  </si>
  <si>
    <t>Order Date</t>
  </si>
  <si>
    <t>Customer Name</t>
  </si>
  <si>
    <t>Country</t>
  </si>
  <si>
    <t>State</t>
  </si>
  <si>
    <t>City</t>
  </si>
  <si>
    <t>Region</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</si>
  <si>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</si>
  <si>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</si>
  <si>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</si>
  <si>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</si>
  <si>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</si>
  <si>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</si>
  <si>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</si>
  <si>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</si>
  <si>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</si>
  <si>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</si>
  <si>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</si>
  <si>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</si>
  <si>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</si>
  <si>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</si>
  <si>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</si>
  <si>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</si>
  <si>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</si>
  <si>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</si>
  <si>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</si>
  <si>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</si>
  <si>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</si>
  <si>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</si>
  <si>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</si>
  <si>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</si>
  <si>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</si>
  <si>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</si>
  <si>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</si>
  <si>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North</t>
  </si>
  <si>
    <t>KL-2018-5607040</t>
  </si>
  <si>
    <t>Zephr Hickman</t>
  </si>
  <si>
    <t>Spain</t>
  </si>
  <si>
    <t>Valenciana</t>
  </si>
  <si>
    <t>Gandia</t>
  </si>
  <si>
    <t>South</t>
  </si>
  <si>
    <t>KL-2018-5607041</t>
  </si>
  <si>
    <t>Georgia Kane</t>
  </si>
  <si>
    <t>South Denmark</t>
  </si>
  <si>
    <t>Esbjerg</t>
  </si>
  <si>
    <t>KL-2018-5607042</t>
  </si>
  <si>
    <t>Stella Dejesus</t>
  </si>
  <si>
    <t>KL-2018-5607043</t>
  </si>
  <si>
    <t>Dahlia Porter</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</si>
  <si>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</si>
  <si>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</si>
  <si>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</si>
  <si>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</si>
  <si>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</si>
  <si>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</si>
  <si>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</si>
  <si>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</si>
  <si>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</si>
  <si>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</si>
  <si>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</si>
  <si>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</si>
  <si>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</si>
  <si>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</si>
  <si>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</si>
  <si>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</si>
  <si>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</si>
  <si>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</si>
  <si>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</si>
  <si>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</si>
  <si>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KL-2018-5607050</t>
  </si>
  <si>
    <t>Diana Guthrie</t>
  </si>
  <si>
    <t>KL-2018-5607051</t>
  </si>
  <si>
    <t>Neville Ashley</t>
  </si>
  <si>
    <t>Sales</t>
  </si>
  <si>
    <t>Profit</t>
  </si>
  <si>
    <t>India</t>
  </si>
  <si>
    <t>Maharashtra</t>
  </si>
  <si>
    <t>Bihar</t>
  </si>
  <si>
    <t>Patna</t>
  </si>
  <si>
    <t>Mumbai</t>
  </si>
  <si>
    <t>Pune</t>
  </si>
  <si>
    <t>Row Labels</t>
  </si>
  <si>
    <t>Grand Total</t>
  </si>
  <si>
    <t>Sum of Sales</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</si>
  <si>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</si>
  <si>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</si>
  <si>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</si>
  <si>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</si>
  <si>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</si>
  <si>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</si>
  <si>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</si>
  <si>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</si>
  <si>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</si>
  <si>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</si>
  <si>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</si>
  <si>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</si>
  <si>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</si>
  <si>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</si>
  <si>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</si>
  <si>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</si>
  <si>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</si>
  <si>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</si>
  <si>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</si>
  <si>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</si>
  <si>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</si>
  <si>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</si>
  <si>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</si>
  <si>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</si>
  <si>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</si>
  <si>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</si>
  <si>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</si>
  <si>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</si>
  <si>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</si>
  <si>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</si>
  <si>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</si>
  <si>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</si>
  <si>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</si>
  <si>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</si>
  <si>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</si>
  <si>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</si>
  <si>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</si>
  <si>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</si>
  <si>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</si>
  <si>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</si>
  <si>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</si>
  <si>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</si>
  <si>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</si>
  <si>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</si>
  <si>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</si>
  <si>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</si>
  <si>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</si>
  <si>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</si>
  <si>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</si>
  <si>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</si>
  <si>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</si>
  <si>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</si>
  <si>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</si>
  <si>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</si>
  <si>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</si>
  <si>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</si>
  <si>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</si>
  <si>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</si>
  <si>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</si>
  <si>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</si>
  <si>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</si>
  <si>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</si>
  <si>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</si>
  <si>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</si>
  <si>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</si>
  <si>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</si>
  <si>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</si>
  <si>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</si>
  <si>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</si>
  <si>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</si>
  <si>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</si>
  <si>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</si>
  <si>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</si>
  <si>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</si>
  <si>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</si>
  <si>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</si>
  <si>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</si>
  <si>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</si>
  <si>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</si>
  <si>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</si>
  <si>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</si>
  <si>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</si>
  <si>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</si>
  <si>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</si>
  <si>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</si>
  <si>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</si>
  <si>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</si>
  <si>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</si>
  <si>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</si>
  <si>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</si>
  <si>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</si>
  <si>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</si>
  <si>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</si>
  <si>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</si>
  <si>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</si>
  <si>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</si>
  <si>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</si>
  <si>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</si>
  <si>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</si>
  <si>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</si>
  <si>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</si>
  <si>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</si>
  <si>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</si>
  <si>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</si>
  <si>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</si>
  <si>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</si>
  <si>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</si>
  <si>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</si>
  <si>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</si>
  <si>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</si>
  <si>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</si>
  <si>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</si>
  <si>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</si>
  <si>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</si>
  <si>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</si>
  <si>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</si>
  <si>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</si>
  <si>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</si>
  <si>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</si>
  <si>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</si>
  <si>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</si>
  <si>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</si>
  <si>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</si>
  <si>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</si>
  <si>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</si>
  <si>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</si>
  <si>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</si>
  <si>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</si>
  <si>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</si>
  <si>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</si>
  <si>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</si>
  <si>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</si>
  <si>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</si>
  <si>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</si>
  <si>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</si>
  <si>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</si>
  <si>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</si>
  <si>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</si>
  <si>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</si>
  <si>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</si>
  <si>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</si>
  <si>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</si>
  <si>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</si>
  <si>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</si>
  <si>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</si>
  <si>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</si>
  <si>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</si>
  <si>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</si>
  <si>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</si>
  <si>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</si>
  <si>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</si>
  <si>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</si>
  <si>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</si>
  <si>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</si>
  <si>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</si>
  <si>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</si>
  <si>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</si>
  <si>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</si>
  <si>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</si>
  <si>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</si>
  <si>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</si>
  <si>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</si>
  <si>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</si>
  <si>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</si>
  <si>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</si>
  <si>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</si>
  <si>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</si>
  <si>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</si>
  <si>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</si>
  <si>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</si>
  <si>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</si>
  <si>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</si>
  <si>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</si>
  <si>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</si>
  <si>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</si>
  <si>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</si>
  <si>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</si>
  <si>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</si>
  <si>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</si>
  <si>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</si>
  <si>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</si>
  <si>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</si>
  <si>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</si>
  <si>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</si>
  <si>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</si>
  <si>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</si>
  <si>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</si>
  <si>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</si>
  <si>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</si>
  <si>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</si>
  <si>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</si>
  <si>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</si>
  <si>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</si>
  <si>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</si>
  <si>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</si>
  <si>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</si>
  <si>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</si>
  <si>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</si>
  <si>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</si>
  <si>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</si>
  <si>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</si>
  <si>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</si>
  <si>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</si>
  <si>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</si>
  <si>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</si>
  <si>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</si>
  <si>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</si>
  <si>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</si>
  <si>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</si>
  <si>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</si>
  <si>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</si>
  <si>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</si>
  <si>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</si>
  <si>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</si>
  <si>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</si>
  <si>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</si>
  <si>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</si>
  <si>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</si>
  <si>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</si>
  <si>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</si>
  <si>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</si>
  <si>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</si>
  <si>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</si>
  <si>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</si>
  <si>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</si>
  <si>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</si>
  <si>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</si>
  <si>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</si>
  <si>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</si>
  <si>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</si>
  <si>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</si>
  <si>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</si>
  <si>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</si>
  <si>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</si>
  <si>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</si>
  <si>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</si>
  <si>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</si>
  <si>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</si>
  <si>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</si>
  <si>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</si>
  <si>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</si>
  <si>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</si>
  <si>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</si>
  <si>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</si>
  <si>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</si>
  <si>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</si>
  <si>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</si>
  <si>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</si>
  <si>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</si>
  <si>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</si>
  <si>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</si>
  <si>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</si>
  <si>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</si>
  <si>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</si>
  <si>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</si>
  <si>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</si>
  <si>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</si>
  <si>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</si>
  <si>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</si>
  <si>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</si>
  <si>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</si>
  <si>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</si>
  <si>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</si>
  <si>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</si>
  <si>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</si>
  <si>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</si>
  <si>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</si>
  <si>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</si>
  <si>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</si>
  <si>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</si>
  <si>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</si>
  <si>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</si>
  <si>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</si>
  <si>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</si>
  <si>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</si>
  <si>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</si>
  <si>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</si>
  <si>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</si>
  <si>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</si>
  <si>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</si>
  <si>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</si>
  <si>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</si>
  <si>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</si>
  <si>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</si>
  <si>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</si>
  <si>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</si>
  <si>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</si>
  <si>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</si>
  <si>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</si>
  <si>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</si>
  <si>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</si>
  <si>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</si>
  <si>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</si>
  <si>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</si>
  <si>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</si>
  <si>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</si>
  <si>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</si>
  <si>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</si>
  <si>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</si>
  <si>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</si>
  <si>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</si>
  <si>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</si>
  <si>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Column Labels</t>
  </si>
  <si>
    <t>total sales if country is india and region is south (use sumifs formula)</t>
  </si>
  <si>
    <t>Sum of Profit</t>
  </si>
  <si>
    <t>Pivot table basics</t>
  </si>
  <si>
    <t>pivot charts</t>
  </si>
  <si>
    <t>slicer &amp; slicer settings</t>
  </si>
  <si>
    <t>timeline in pivot table</t>
  </si>
  <si>
    <t>grouping and custom grouping</t>
  </si>
  <si>
    <t>pivot table options and settings</t>
  </si>
  <si>
    <t>show values as</t>
  </si>
  <si>
    <t>filters and filter reports page</t>
  </si>
  <si>
    <t>dynamic pivot tables</t>
  </si>
  <si>
    <t>GetPivotData Formula</t>
  </si>
  <si>
    <t>creating a dashboard using pivot table</t>
  </si>
  <si>
    <t>state-wise sales</t>
  </si>
  <si>
    <t>country-wise sales</t>
  </si>
  <si>
    <t>add slicer and connect multiple pivot tables using report connection</t>
  </si>
  <si>
    <t>Number of customers</t>
  </si>
  <si>
    <t>city-wise data: timeline filter</t>
  </si>
  <si>
    <t>topics covered: basics, pivot charts, pivot table options, slicer, timeline</t>
  </si>
  <si>
    <t>Jan</t>
  </si>
  <si>
    <t>Feb</t>
  </si>
  <si>
    <t>Mar</t>
  </si>
  <si>
    <t>Apr</t>
  </si>
  <si>
    <t>May</t>
  </si>
  <si>
    <t>Jun</t>
  </si>
  <si>
    <t>Jul</t>
  </si>
  <si>
    <t>Aug</t>
  </si>
  <si>
    <t>Sep</t>
  </si>
  <si>
    <t>Oct</t>
  </si>
  <si>
    <t>Nov</t>
  </si>
  <si>
    <t>Dec</t>
  </si>
  <si>
    <t>Group1</t>
  </si>
  <si>
    <t>Group2</t>
  </si>
  <si>
    <t>Group2: South</t>
  </si>
  <si>
    <t>grouping</t>
  </si>
  <si>
    <t>custom grouping</t>
  </si>
  <si>
    <t>Average of Sales</t>
  </si>
  <si>
    <t>(All)</t>
  </si>
  <si>
    <t>more than one filter field in a row</t>
  </si>
  <si>
    <t>% of grand total</t>
  </si>
  <si>
    <t>Qtr1</t>
  </si>
  <si>
    <t>Qtr2</t>
  </si>
  <si>
    <t>Qtr3</t>
  </si>
  <si>
    <t>Qtr4</t>
  </si>
  <si>
    <t>show values as: % of row total</t>
  </si>
  <si>
    <t>others comapre to the % of india</t>
  </si>
  <si>
    <t>show values as: % of grand total, % of</t>
  </si>
  <si>
    <t>% of parent row total</t>
  </si>
  <si>
    <t>Central Total</t>
  </si>
  <si>
    <t>North Total</t>
  </si>
  <si>
    <t>South Total</t>
  </si>
  <si>
    <t>Country2</t>
  </si>
  <si>
    <t>Group1 Total</t>
  </si>
  <si>
    <t>Group2: South Total</t>
  </si>
  <si>
    <t xml:space="preserve">merge and center cell in pivot table </t>
  </si>
  <si>
    <t>%  of parent total base field region</t>
  </si>
  <si>
    <t>show values as: % of parent</t>
  </si>
  <si>
    <t>show values as: difference from india</t>
  </si>
  <si>
    <t>difference from india</t>
  </si>
  <si>
    <t>% diff from india</t>
  </si>
  <si>
    <t>rank</t>
  </si>
  <si>
    <t>rank largest to smallest</t>
  </si>
  <si>
    <t>SHOW VALUES AS</t>
  </si>
  <si>
    <r>
      <t xml:space="preserve">calculated field in Excel is used to create </t>
    </r>
    <r>
      <rPr>
        <b/>
        <sz val="14"/>
        <color theme="1"/>
        <rFont val="Calibri"/>
        <family val="2"/>
        <scheme val="minor"/>
      </rPr>
      <t>custom calculations</t>
    </r>
    <r>
      <rPr>
        <sz val="14"/>
        <color theme="1"/>
        <rFont val="Calibri"/>
        <family val="2"/>
        <scheme val="minor"/>
      </rPr>
      <t xml:space="preserve"> in </t>
    </r>
    <r>
      <rPr>
        <b/>
        <sz val="14"/>
        <color theme="1"/>
        <rFont val="Calibri"/>
        <family val="2"/>
        <scheme val="minor"/>
      </rPr>
      <t>PivotTables</t>
    </r>
    <r>
      <rPr>
        <sz val="14"/>
        <color theme="1"/>
        <rFont val="Calibri"/>
        <family val="2"/>
        <scheme val="minor"/>
      </rPr>
      <t xml:space="preserve"> without changing the original data</t>
    </r>
  </si>
  <si>
    <t>1% incentive of sales to all</t>
  </si>
  <si>
    <t>conditional incentive 2%(&gt;=60K), 1%(&gt;=50K), 0%(others)</t>
  </si>
  <si>
    <t>calculated fields and calculated items</t>
  </si>
  <si>
    <t>Month</t>
  </si>
  <si>
    <t>Type</t>
  </si>
  <si>
    <t>Credit/Debit</t>
  </si>
  <si>
    <t>Amount</t>
  </si>
  <si>
    <t>January</t>
  </si>
  <si>
    <t>Saving</t>
  </si>
  <si>
    <t>Credit</t>
  </si>
  <si>
    <t>Current</t>
  </si>
  <si>
    <t>Debit</t>
  </si>
  <si>
    <t>February</t>
  </si>
  <si>
    <t>March</t>
  </si>
  <si>
    <t>Sum of Amount</t>
  </si>
  <si>
    <t>Calculated items are used to Create Custom Calculations Within a Single Field (Column)</t>
  </si>
  <si>
    <t>id</t>
  </si>
  <si>
    <t>indian states</t>
  </si>
  <si>
    <t>sales</t>
  </si>
  <si>
    <t>Kerala</t>
  </si>
  <si>
    <t>Gujarat</t>
  </si>
  <si>
    <t>Tamil Nadu</t>
  </si>
  <si>
    <t>Assam</t>
  </si>
  <si>
    <t>Rajasthan</t>
  </si>
  <si>
    <t>Karnataka</t>
  </si>
  <si>
    <t>West Bengal</t>
  </si>
  <si>
    <t>Uttar Pradesh</t>
  </si>
  <si>
    <t>Odisha</t>
  </si>
  <si>
    <t>Telangana</t>
  </si>
  <si>
    <t>Madhya Pradesh</t>
  </si>
  <si>
    <t>Jharkhand</t>
  </si>
  <si>
    <t>Andhra Pradesh</t>
  </si>
  <si>
    <t>data-1</t>
  </si>
  <si>
    <t>data-2</t>
  </si>
  <si>
    <t>Debit % of Total(debit+credit)</t>
  </si>
  <si>
    <t>January Total</t>
  </si>
  <si>
    <t>February Total</t>
  </si>
  <si>
    <t>March Total</t>
  </si>
  <si>
    <t>Sum of sales</t>
  </si>
  <si>
    <t>East</t>
  </si>
  <si>
    <t>calculate sales region-wise north, south and east using calculated items</t>
  </si>
  <si>
    <t>find the Debit portion per month</t>
  </si>
  <si>
    <t>Zone</t>
  </si>
  <si>
    <t>Customer Type</t>
  </si>
  <si>
    <t>Revenue</t>
  </si>
  <si>
    <t>Cash</t>
  </si>
  <si>
    <t>Online</t>
  </si>
  <si>
    <t>West</t>
  </si>
  <si>
    <t>Sum of Revenue</t>
  </si>
  <si>
    <t>Dynamic Pivot Table</t>
  </si>
  <si>
    <t>singh</t>
  </si>
  <si>
    <t>rohit</t>
  </si>
  <si>
    <t>offset formula here</t>
  </si>
  <si>
    <t>pivot normal table</t>
  </si>
  <si>
    <t>new</t>
  </si>
  <si>
    <t>row</t>
  </si>
  <si>
    <t>new column</t>
  </si>
  <si>
    <t>Sum of new column</t>
  </si>
  <si>
    <t>pivot table using offset</t>
  </si>
  <si>
    <r>
      <t>pivot table on multiple sheets (</t>
    </r>
    <r>
      <rPr>
        <sz val="16"/>
        <color rgb="FFFF0000"/>
        <rFont val="Calibri"/>
        <family val="2"/>
        <scheme val="minor"/>
      </rPr>
      <t>PowerQuery</t>
    </r>
    <r>
      <rPr>
        <sz val="16"/>
        <color theme="1"/>
        <rFont val="Calibri"/>
        <family val="2"/>
        <scheme val="minor"/>
      </rPr>
      <t>)</t>
    </r>
  </si>
  <si>
    <t>Pivot Table topics to cover</t>
  </si>
  <si>
    <t>ORDER ID</t>
  </si>
  <si>
    <t>BRAND</t>
  </si>
  <si>
    <t>MONTH</t>
  </si>
  <si>
    <t>STATE</t>
  </si>
  <si>
    <t>CITY</t>
  </si>
  <si>
    <t>QTY</t>
  </si>
  <si>
    <t>ORD1000</t>
  </si>
  <si>
    <t>Fila</t>
  </si>
  <si>
    <t>June</t>
  </si>
  <si>
    <t>Pennsylvania</t>
  </si>
  <si>
    <t>San Diego</t>
  </si>
  <si>
    <t>ORD1001</t>
  </si>
  <si>
    <t>Asics</t>
  </si>
  <si>
    <t>Georgia</t>
  </si>
  <si>
    <t>Chicago</t>
  </si>
  <si>
    <t>ORD1002</t>
  </si>
  <si>
    <t>Adidas</t>
  </si>
  <si>
    <t>December</t>
  </si>
  <si>
    <t>California</t>
  </si>
  <si>
    <t>Los Angeles</t>
  </si>
  <si>
    <t>ORD1003</t>
  </si>
  <si>
    <t>New Balance</t>
  </si>
  <si>
    <t>Austin</t>
  </si>
  <si>
    <t>ORD1004</t>
  </si>
  <si>
    <t>October</t>
  </si>
  <si>
    <t>Ohio</t>
  </si>
  <si>
    <t>ORD1005</t>
  </si>
  <si>
    <t>Puma</t>
  </si>
  <si>
    <t>April</t>
  </si>
  <si>
    <t>Phoenix</t>
  </si>
  <si>
    <t>ORD1006</t>
  </si>
  <si>
    <t>Skechers</t>
  </si>
  <si>
    <t>ORD1007</t>
  </si>
  <si>
    <t>July</t>
  </si>
  <si>
    <t>ORD1008</t>
  </si>
  <si>
    <t>Converse</t>
  </si>
  <si>
    <t>North Carolina</t>
  </si>
  <si>
    <t>Houston</t>
  </si>
  <si>
    <t>ORD1009</t>
  </si>
  <si>
    <t>Dallas</t>
  </si>
  <si>
    <t>ORD1010</t>
  </si>
  <si>
    <t>ORD1011</t>
  </si>
  <si>
    <t>Illinois</t>
  </si>
  <si>
    <t>ORD1012</t>
  </si>
  <si>
    <t>Florida</t>
  </si>
  <si>
    <t>Philadelphia</t>
  </si>
  <si>
    <t>ORD1013</t>
  </si>
  <si>
    <t>San Antonio</t>
  </si>
  <si>
    <t>ORD1014</t>
  </si>
  <si>
    <t>Michigan</t>
  </si>
  <si>
    <t>Miami</t>
  </si>
  <si>
    <t>ORD1015</t>
  </si>
  <si>
    <t>ORD1016</t>
  </si>
  <si>
    <t>ORD1017</t>
  </si>
  <si>
    <t>ORD1018</t>
  </si>
  <si>
    <t>ORD1019</t>
  </si>
  <si>
    <t>November</t>
  </si>
  <si>
    <t>New York</t>
  </si>
  <si>
    <t>ORD1020</t>
  </si>
  <si>
    <t>Nike</t>
  </si>
  <si>
    <t>Texas</t>
  </si>
  <si>
    <t>ORD1021</t>
  </si>
  <si>
    <t>ORD1022</t>
  </si>
  <si>
    <t>Under Armour</t>
  </si>
  <si>
    <t>ORD1023</t>
  </si>
  <si>
    <t>ORD1024</t>
  </si>
  <si>
    <t>Reebok</t>
  </si>
  <si>
    <t>ORD1025</t>
  </si>
  <si>
    <t>ORD1026</t>
  </si>
  <si>
    <t>ORD1027</t>
  </si>
  <si>
    <t>ORD1028</t>
  </si>
  <si>
    <t>ORD1029</t>
  </si>
  <si>
    <t>ORD1030</t>
  </si>
  <si>
    <t>September</t>
  </si>
  <si>
    <t>ORD1031</t>
  </si>
  <si>
    <t>ORD1032</t>
  </si>
  <si>
    <t>ORD1033</t>
  </si>
  <si>
    <t>ORD1034</t>
  </si>
  <si>
    <t>ORD1035</t>
  </si>
  <si>
    <t>ORD1036</t>
  </si>
  <si>
    <t>ORD1037</t>
  </si>
  <si>
    <t>August</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</si>
  <si>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</si>
  <si>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</si>
  <si>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</si>
  <si>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</si>
  <si>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</si>
  <si>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</si>
  <si>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</si>
  <si>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</si>
  <si>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</si>
  <si>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</si>
  <si>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</si>
  <si>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</si>
  <si>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</si>
  <si>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</si>
  <si>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</si>
  <si>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</si>
  <si>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</si>
  <si>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</si>
  <si>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</si>
  <si>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</si>
  <si>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</si>
  <si>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</si>
  <si>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</si>
  <si>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</si>
  <si>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</si>
  <si>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</si>
  <si>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</si>
  <si>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</si>
  <si>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</si>
  <si>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</si>
  <si>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</si>
  <si>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</si>
  <si>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</si>
  <si>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</si>
  <si>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</si>
  <si>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</si>
  <si>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</si>
  <si>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</si>
  <si>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</si>
  <si>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</si>
  <si>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</si>
  <si>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</si>
  <si>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</si>
  <si>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</si>
  <si>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</si>
  <si>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</si>
  <si>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</si>
  <si>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</si>
  <si>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</si>
  <si>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</si>
  <si>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</si>
  <si>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</si>
  <si>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</si>
  <si>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</si>
  <si>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</si>
  <si>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</si>
  <si>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</si>
  <si>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</si>
  <si>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</si>
  <si>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</si>
  <si>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</si>
  <si>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</si>
  <si>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</si>
  <si>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</si>
  <si>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</si>
  <si>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</si>
  <si>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</si>
  <si>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</si>
  <si>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</si>
  <si>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</si>
  <si>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</si>
  <si>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</si>
  <si>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</si>
  <si>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</si>
  <si>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</si>
  <si>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</si>
  <si>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</si>
  <si>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</si>
  <si>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</si>
  <si>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</si>
  <si>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</si>
  <si>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</si>
  <si>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</si>
  <si>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</si>
  <si>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</si>
  <si>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</si>
  <si>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</si>
  <si>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</si>
  <si>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</si>
  <si>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</si>
  <si>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</si>
  <si>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</si>
  <si>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</si>
  <si>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</si>
  <si>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</si>
  <si>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</si>
  <si>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</si>
  <si>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</si>
  <si>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</si>
  <si>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</si>
  <si>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</si>
  <si>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</si>
  <si>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</si>
  <si>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</si>
  <si>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</si>
  <si>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</si>
  <si>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</si>
  <si>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</si>
  <si>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</si>
  <si>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</si>
  <si>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</si>
  <si>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</si>
  <si>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</si>
  <si>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</si>
  <si>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</si>
  <si>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</si>
  <si>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</si>
  <si>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</si>
  <si>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</si>
  <si>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</si>
  <si>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</si>
  <si>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</si>
  <si>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</si>
  <si>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</si>
  <si>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</si>
  <si>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</si>
  <si>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</si>
  <si>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</si>
  <si>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</si>
  <si>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</si>
  <si>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</si>
  <si>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</si>
  <si>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</si>
  <si>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</si>
  <si>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</si>
  <si>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</si>
  <si>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</si>
  <si>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</si>
  <si>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</si>
  <si>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</si>
  <si>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</si>
  <si>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</si>
  <si>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</si>
  <si>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</si>
  <si>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</si>
  <si>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</si>
  <si>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</si>
  <si>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</si>
  <si>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</si>
  <si>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</si>
  <si>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</si>
  <si>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</si>
  <si>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</si>
  <si>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</si>
  <si>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</si>
  <si>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</si>
  <si>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</si>
  <si>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</si>
  <si>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</si>
  <si>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</si>
  <si>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</si>
  <si>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</si>
  <si>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</si>
  <si>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</si>
  <si>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</si>
  <si>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</si>
  <si>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</si>
  <si>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</si>
  <si>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</si>
  <si>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</si>
  <si>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</si>
  <si>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</si>
  <si>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</si>
  <si>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</si>
  <si>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</si>
  <si>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</si>
  <si>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</si>
  <si>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</si>
  <si>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</si>
  <si>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</si>
  <si>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</si>
  <si>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</si>
  <si>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</si>
  <si>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</si>
  <si>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</si>
  <si>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</si>
  <si>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</si>
  <si>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</si>
  <si>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</si>
  <si>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</si>
  <si>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</si>
  <si>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</si>
  <si>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</si>
  <si>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</si>
  <si>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</si>
  <si>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</si>
  <si>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</si>
  <si>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</si>
  <si>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</si>
  <si>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</si>
  <si>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</si>
  <si>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</si>
  <si>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</si>
  <si>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</si>
  <si>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</si>
  <si>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</si>
  <si>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</si>
  <si>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</si>
  <si>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</si>
  <si>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</si>
  <si>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</si>
  <si>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</si>
  <si>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</si>
  <si>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</si>
  <si>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</si>
  <si>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</si>
  <si>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</si>
  <si>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</si>
  <si>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</si>
  <si>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</si>
  <si>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</si>
  <si>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</si>
  <si>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</si>
  <si>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</si>
  <si>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</si>
  <si>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</si>
  <si>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</si>
  <si>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</si>
  <si>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</si>
  <si>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</si>
  <si>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</si>
  <si>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</si>
  <si>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</si>
  <si>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</si>
  <si>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</si>
  <si>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</si>
  <si>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</si>
  <si>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</si>
  <si>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</si>
  <si>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</si>
  <si>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</si>
  <si>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</si>
  <si>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</si>
  <si>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</si>
  <si>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</si>
  <si>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</si>
  <si>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</si>
  <si>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</si>
  <si>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</si>
  <si>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</si>
  <si>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</si>
  <si>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</si>
  <si>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</si>
  <si>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</si>
  <si>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</si>
  <si>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</si>
  <si>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</si>
  <si>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</si>
  <si>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</si>
  <si>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</si>
  <si>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</si>
  <si>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</si>
  <si>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</si>
  <si>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</si>
  <si>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</si>
  <si>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</si>
  <si>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</si>
  <si>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</si>
  <si>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</si>
  <si>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</si>
  <si>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</si>
  <si>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</si>
  <si>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</si>
  <si>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</si>
  <si>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</si>
  <si>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</si>
  <si>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</si>
  <si>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</si>
  <si>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</si>
  <si>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</si>
  <si>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</si>
  <si>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</si>
  <si>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</si>
  <si>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</si>
  <si>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</si>
  <si>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</si>
  <si>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</si>
  <si>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</si>
  <si>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</si>
  <si>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</si>
  <si>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</si>
  <si>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</si>
  <si>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</si>
  <si>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</si>
  <si>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</si>
  <si>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</si>
  <si>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</si>
  <si>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</si>
  <si>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</si>
  <si>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</si>
  <si>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</si>
  <si>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</si>
  <si>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</si>
  <si>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</si>
  <si>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</si>
  <si>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</si>
  <si>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</si>
  <si>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</si>
  <si>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</si>
  <si>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</si>
  <si>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</si>
  <si>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</si>
  <si>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</si>
  <si>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</si>
  <si>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</si>
  <si>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</si>
  <si>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</si>
  <si>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</si>
  <si>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</si>
  <si>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</si>
  <si>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</si>
  <si>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</si>
  <si>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</si>
  <si>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</si>
  <si>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</si>
  <si>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</si>
  <si>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</si>
  <si>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</si>
  <si>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</si>
  <si>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</si>
  <si>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</si>
  <si>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</si>
  <si>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</si>
  <si>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</si>
  <si>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</si>
  <si>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</si>
  <si>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</si>
  <si>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</si>
  <si>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</si>
  <si>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</si>
  <si>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</si>
  <si>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</si>
  <si>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</si>
  <si>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</si>
  <si>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</si>
  <si>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</si>
  <si>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</si>
  <si>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</si>
  <si>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</si>
  <si>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</si>
  <si>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</si>
  <si>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</si>
  <si>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</si>
  <si>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</si>
  <si>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</si>
  <si>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</si>
  <si>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</si>
  <si>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</si>
  <si>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</si>
  <si>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</si>
  <si>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</si>
  <si>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</si>
  <si>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</si>
  <si>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</si>
  <si>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</si>
  <si>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</si>
  <si>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</si>
  <si>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</si>
  <si>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</si>
  <si>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</si>
  <si>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</si>
  <si>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</si>
  <si>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</si>
  <si>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</si>
  <si>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</si>
  <si>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</si>
  <si>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</si>
  <si>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</si>
  <si>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</si>
  <si>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</si>
  <si>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</si>
  <si>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</si>
  <si>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</si>
  <si>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</si>
  <si>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</si>
  <si>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</si>
  <si>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</si>
  <si>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</si>
  <si>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</si>
  <si>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</si>
  <si>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</si>
  <si>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</si>
  <si>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</si>
  <si>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</si>
  <si>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</si>
  <si>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</si>
  <si>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</si>
  <si>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</si>
  <si>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</si>
  <si>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</si>
  <si>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</si>
  <si>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</si>
  <si>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</si>
  <si>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</si>
  <si>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</si>
  <si>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</si>
  <si>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</si>
  <si>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</si>
  <si>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</si>
  <si>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</si>
  <si>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</si>
  <si>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</si>
  <si>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</si>
  <si>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</si>
  <si>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</si>
  <si>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</si>
  <si>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</si>
  <si>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</si>
  <si>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</si>
  <si>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</si>
  <si>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</si>
  <si>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</si>
  <si>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</si>
  <si>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</si>
  <si>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</si>
  <si>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</si>
  <si>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</si>
  <si>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</si>
  <si>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</si>
  <si>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</si>
  <si>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</si>
  <si>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</si>
  <si>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</si>
  <si>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</si>
  <si>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</si>
  <si>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</si>
  <si>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</si>
  <si>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</si>
  <si>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</si>
  <si>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</si>
  <si>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</si>
  <si>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</si>
  <si>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</si>
  <si>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</si>
  <si>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</si>
  <si>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</si>
  <si>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</si>
  <si>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</si>
  <si>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</si>
  <si>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</si>
  <si>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</si>
  <si>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</si>
  <si>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</si>
  <si>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</si>
  <si>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</si>
  <si>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</si>
  <si>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</si>
  <si>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</si>
  <si>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</si>
  <si>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</si>
  <si>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</si>
  <si>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</si>
  <si>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r>
      <t>GETPIVOTDATA</t>
    </r>
    <r>
      <rPr>
        <sz val="14"/>
        <color theme="1"/>
        <rFont val="Calibri"/>
        <family val="2"/>
        <scheme val="minor"/>
      </rPr>
      <t xml:space="preserve"> function is used to extract specific data from a PivotTable</t>
    </r>
  </si>
  <si>
    <t>AMT</t>
  </si>
  <si>
    <t>Sum of AMT</t>
  </si>
  <si>
    <t>note: use data validation to create dropdown list</t>
  </si>
  <si>
    <r>
      <t xml:space="preserve">auto refresh pivot table( </t>
    </r>
    <r>
      <rPr>
        <sz val="16"/>
        <color rgb="FFFF0000"/>
        <rFont val="Calibri"/>
        <family val="2"/>
        <scheme val="minor"/>
      </rPr>
      <t>View Code, Macro</t>
    </r>
    <r>
      <rPr>
        <sz val="16"/>
        <color theme="1"/>
        <rFont val="Calibri"/>
        <family val="2"/>
        <scheme val="minor"/>
      </rPr>
      <t>)</t>
    </r>
  </si>
  <si>
    <t>Select from dropdown</t>
  </si>
  <si>
    <t>Employee</t>
  </si>
  <si>
    <t>Lunch</t>
  </si>
  <si>
    <t>Normal Break</t>
  </si>
  <si>
    <t>Feedback</t>
  </si>
  <si>
    <t>Training</t>
  </si>
  <si>
    <t>Meeting</t>
  </si>
  <si>
    <t>Unwanted Break</t>
  </si>
  <si>
    <t>Other Work</t>
  </si>
  <si>
    <t>Total Break Taken</t>
  </si>
  <si>
    <t>Mum_Abdul Hamid (1008512)</t>
  </si>
  <si>
    <t>00:36:49</t>
  </si>
  <si>
    <t>00:30:24</t>
  </si>
  <si>
    <t>00:00:00</t>
  </si>
  <si>
    <t>01:08:42</t>
  </si>
  <si>
    <t>Mum_Afzal Husain (1008513)</t>
  </si>
  <si>
    <t>00:39:56</t>
  </si>
  <si>
    <t>00:29:55</t>
  </si>
  <si>
    <t>01:09:59</t>
  </si>
  <si>
    <t>Mum_Anamika Gupta (1008514)</t>
  </si>
  <si>
    <t>00:39:49</t>
  </si>
  <si>
    <t>00:29:49</t>
  </si>
  <si>
    <t>00:04:09</t>
  </si>
  <si>
    <t>01:13:54</t>
  </si>
  <si>
    <t>Mum_Anikuttan (1008515)</t>
  </si>
  <si>
    <t>00:39:17</t>
  </si>
  <si>
    <t>00:22:20</t>
  </si>
  <si>
    <t>01:10:58</t>
  </si>
  <si>
    <t>02:19:02</t>
  </si>
  <si>
    <t>Mum_Anil Kumar (1008516)</t>
  </si>
  <si>
    <t>00:29:44</t>
  </si>
  <si>
    <t>00:29:31</t>
  </si>
  <si>
    <t>02:05:20</t>
  </si>
  <si>
    <t>03:04:58</t>
  </si>
  <si>
    <t>Mum_Anita Dixit (1008517)</t>
  </si>
  <si>
    <t>00:14:56</t>
  </si>
  <si>
    <t>00:10:12</t>
  </si>
  <si>
    <t>00:27:07</t>
  </si>
  <si>
    <t>Mum_Anita Ghore (1008518)</t>
  </si>
  <si>
    <t>00:39:59</t>
  </si>
  <si>
    <t>00:29:58</t>
  </si>
  <si>
    <t>01:31:35</t>
  </si>
  <si>
    <t>02:41:42</t>
  </si>
  <si>
    <t>Mum_Anjali Deoram (1008519)</t>
  </si>
  <si>
    <t>00:40:23</t>
  </si>
  <si>
    <t>00:29:26</t>
  </si>
  <si>
    <t>01:13:10</t>
  </si>
  <si>
    <t>Mum_Anjali Sahay (1008520)</t>
  </si>
  <si>
    <t>00:39:55</t>
  </si>
  <si>
    <t>00:24:49</t>
  </si>
  <si>
    <t>01:06:39</t>
  </si>
  <si>
    <t>Mum_Annu Latika (1008521)</t>
  </si>
  <si>
    <t>00:39:51</t>
  </si>
  <si>
    <t>00:29:59</t>
  </si>
  <si>
    <t>01:09:57</t>
  </si>
  <si>
    <t>Mum_Anoop Narayan (1008522)</t>
  </si>
  <si>
    <t>00:39:41</t>
  </si>
  <si>
    <t>00:29:25</t>
  </si>
  <si>
    <t>01:09:15</t>
  </si>
  <si>
    <t>Mum_Anoop Raj (1008523)</t>
  </si>
  <si>
    <t>00:39:05</t>
  </si>
  <si>
    <t>01:05:04</t>
  </si>
  <si>
    <t>00:12:32</t>
  </si>
  <si>
    <t>03:01:18</t>
  </si>
  <si>
    <t>Mum_Anubhuti Gupta (1008524)</t>
  </si>
  <si>
    <t>00:39:06</t>
  </si>
  <si>
    <t>00:25:25</t>
  </si>
  <si>
    <t>01:01:32</t>
  </si>
  <si>
    <t>02:06:41</t>
  </si>
  <si>
    <t>Mum_Arun Kumar (1008525)</t>
  </si>
  <si>
    <t>00:43:00</t>
  </si>
  <si>
    <t>00:27:13</t>
  </si>
  <si>
    <t>01:10:34</t>
  </si>
  <si>
    <t>Mum_Ashish Kumar (1008526)</t>
  </si>
  <si>
    <t>00:37:37</t>
  </si>
  <si>
    <t>00:08:43</t>
  </si>
  <si>
    <t>01:16:59</t>
  </si>
  <si>
    <t>Mum_Ashok Kumar (1008527)</t>
  </si>
  <si>
    <t>00:42:06</t>
  </si>
  <si>
    <t>00:15:56</t>
  </si>
  <si>
    <t>01:25:31</t>
  </si>
  <si>
    <t>02:24:20</t>
  </si>
  <si>
    <t>Hyd_Ashok Kumar (1008528)</t>
  </si>
  <si>
    <t>00:39:10</t>
  </si>
  <si>
    <t>00:13:03</t>
  </si>
  <si>
    <t>00:56:29</t>
  </si>
  <si>
    <t>Hyd_Ashok Kumar (1008529)</t>
  </si>
  <si>
    <t>00:39:57</t>
  </si>
  <si>
    <t>01:10:07</t>
  </si>
  <si>
    <t>Hyd_Ashok Kumar (1008530)</t>
  </si>
  <si>
    <t>00:39:11</t>
  </si>
  <si>
    <t>00:27:21</t>
  </si>
  <si>
    <t>00:59:58</t>
  </si>
  <si>
    <t>00:31:07</t>
  </si>
  <si>
    <t>02:40:10</t>
  </si>
  <si>
    <t>Hyd_Ashok Mahto (1008531)</t>
  </si>
  <si>
    <t>00:40:20</t>
  </si>
  <si>
    <t>00:30:39</t>
  </si>
  <si>
    <t>00:01:30</t>
  </si>
  <si>
    <t>01:14:30</t>
  </si>
  <si>
    <t>Hyd_Atul Kumar (1008532)</t>
  </si>
  <si>
    <t>00:39:29</t>
  </si>
  <si>
    <t>00:27:03</t>
  </si>
  <si>
    <t>01:06:59</t>
  </si>
  <si>
    <r>
      <t>Named Range(</t>
    </r>
    <r>
      <rPr>
        <sz val="12"/>
        <color theme="1"/>
        <rFont val="Calibri"/>
        <family val="2"/>
        <scheme val="minor"/>
      </rPr>
      <t>custom name given to a range of cells</t>
    </r>
    <r>
      <rPr>
        <sz val="16"/>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</si>
</sst>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0.000"/>
    <numFmt numFmtId="165" formatCode="&quot;₹&quot;\ #,##0.00"/>
  </numFmts>
  <fonts count="18">
    <font>
      <sz val="11"/>
      <color theme="1"/>
      <name val="Calibri"/>
      <family val="2"/>
      <scheme val="minor"/>
    </font>
    <font>
      <b/>
      <sz val="12"/>
      <name val="Calibri"/>
      <family val="2"/>
      <scheme val="minor"/>
    </font>
    <font>
      <sz val="11"/>
      <color rgb="FFFF0000"/>
      <name val="Calibri"/>
      <family val="2"/>
      <scheme val="minor"/>
    </font>
    <font>
      <sz val="12"/>
      <color theme="1"/>
      <name val="Calibri"/>
      <family val="2"/>
      <scheme val="minor"/>
    </font>
    <font>
      <sz val="16"/>
      <color theme="1"/>
      <name val="Calibri"/>
      <family val="2"/>
      <scheme val="minor"/>
    </font>
    <font>
      <sz val="12"/>
      <color rgb="FFFF0000"/>
      <name val="Calibri"/>
      <family val="2"/>
      <scheme val="minor"/>
    </font>
    <font>
      <sz val="18"/>
      <color theme="1"/>
      <name val="Calibri"/>
      <family val="2"/>
      <scheme val="minor"/>
    </font>
    <font>
      <b/>
      <sz val="11"/>
      <color theme="1"/>
      <name val="Calibri"/>
      <family val="2"/>
      <scheme val="minor"/>
    </font>
    <font>
      <sz val="14"/>
      <color theme="1"/>
      <name val="Calibri"/>
      <family val="2"/>
      <scheme val="minor"/>
    </font>
    <font>
      <b/>
      <i/>
      <sz val="18"/>
      <color theme="1" tint="4.9989318521683403E-2"/>
      <name val="Calibri"/>
      <family val="2"/>
      <scheme val="minor"/>
    </font>
    <font>
      <b/>
      <sz val="14"/>
      <color theme="1"/>
      <name val="Calibri"/>
      <family val="2"/>
      <scheme val="minor"/>
    </font>
    <font>
      <sz val="16"/>
      <color rgb="FFFF0000"/>
      <name val="Calibri"/>
      <family val="2"/>
      <scheme val="minor"/>
    </font>
    <font>
      <sz val="8"/>
      <name val="Calibri"/>
      <family val="2"/>
      <scheme val="minor"/>
    </font>
    <font>
      <sz val="14"/>
      <color theme="1"/>
      <name val="Arial Unicode MS"/>
    </font>
    <font>
      <b/>
      <sz val="12"/>
      <color theme="1"/>
      <name val="Calibri"/>
      <family val="2"/>
      <scheme val="minor"/>
    </font>
    <font>
      <b/>
      <sz val="10"/>
      <color rgb="FF000000"/>
      <name val="Tahoma"/>
      <family val="2"/>
    </font>
    <font>
      <sz val="10"/>
      <color theme="1"/>
      <name val="Calibri"/>
      <family val="2"/>
      <scheme val="minor"/>
    </font>
    <font>
      <sz val="10"/>
      <color rgb="FF000000"/>
      <name val="Tahoma"/>
      <family val="2"/>
    </font>
  </fonts>
  <fills count="10">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608BB4"/>
      </left>
      <right style="thin">
        <color rgb="FF608BB4"/>
      </right>
      <top style="thin">
        <color rgb="FF608BB4"/>
      </top>
      <bottom style="thin">
        <color rgb="FF608BB4"/>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7">
    <xf numFmtId="0" fontId="0" fillId="0" borderId="0" xfId="0"/>
    <xf numFmtId="0" fontId="1" fillId="0" borderId="1" xfId="0" applyFont="1" applyBorder="1"/>
    <xf numFmtId="14" fontId="1" fillId="0" borderId="1" xfId="0" applyNumberFormat="1" applyFont="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4" fillId="0" borderId="0" xfId="0" applyFont="1"/>
    <xf numFmtId="0" fontId="0" fillId="0" borderId="0" xfId="0" applyAlignment="1">
      <alignment wrapText="1"/>
    </xf>
    <xf numFmtId="0" fontId="5" fillId="0" borderId="0" xfId="0" applyFont="1"/>
    <xf numFmtId="0" fontId="2" fillId="0" borderId="0" xfId="0" applyFont="1" applyAlignment="1">
      <alignment wrapText="1"/>
    </xf>
    <xf numFmtId="0" fontId="0" fillId="0" borderId="0" xfId="0" applyAlignment="1">
      <alignment horizontal="right"/>
    </xf>
    <xf numFmtId="0" fontId="0" fillId="0" borderId="0" xfId="0" applyAlignment="1">
      <alignment vertical="center"/>
    </xf>
    <xf numFmtId="14" fontId="0" fillId="0" borderId="0" xfId="0" applyNumberFormat="1" applyAlignment="1">
      <alignment horizontal="left" indent="2"/>
    </xf>
    <xf numFmtId="0" fontId="0" fillId="0" borderId="0" xfId="0" applyAlignment="1">
      <alignment horizontal="left" indent="2"/>
    </xf>
    <xf numFmtId="164" fontId="0" fillId="0" borderId="0" xfId="0" applyNumberFormat="1"/>
    <xf numFmtId="10" fontId="0" fillId="0" borderId="0" xfId="0" applyNumberFormat="1"/>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wrapText="1"/>
    </xf>
    <xf numFmtId="10" fontId="0" fillId="0" borderId="0" xfId="0" applyNumberFormat="1" applyAlignment="1">
      <alignment wrapText="1"/>
    </xf>
    <xf numFmtId="0" fontId="4" fillId="4" borderId="0" xfId="0" applyFont="1" applyFill="1"/>
    <xf numFmtId="44" fontId="0" fillId="0" borderId="0" xfId="0" applyNumberFormat="1"/>
    <xf numFmtId="0" fontId="0" fillId="5" borderId="0" xfId="0" applyFill="1" applyAlignment="1">
      <alignment horizontal="center" wrapText="1"/>
    </xf>
    <xf numFmtId="0" fontId="0" fillId="2" borderId="0" xfId="0" applyFill="1" applyAlignment="1">
      <alignment horizontal="center" wrapText="1"/>
    </xf>
    <xf numFmtId="165" fontId="0" fillId="0" borderId="0" xfId="0" applyNumberFormat="1"/>
    <xf numFmtId="0" fontId="8" fillId="0" borderId="0" xfId="0" applyFont="1"/>
    <xf numFmtId="0" fontId="0" fillId="2" borderId="0" xfId="0" applyFill="1" applyAlignment="1">
      <alignment horizontal="center" vertical="center" wrapText="1"/>
    </xf>
    <xf numFmtId="0" fontId="7" fillId="6" borderId="0" xfId="0" applyFont="1" applyFill="1" applyAlignment="1">
      <alignment horizontal="center" vertical="center" wrapText="1"/>
    </xf>
    <xf numFmtId="0" fontId="0" fillId="6" borderId="0" xfId="0" applyFill="1" applyAlignment="1">
      <alignment vertical="center" wrapText="1"/>
    </xf>
    <xf numFmtId="0" fontId="0" fillId="7" borderId="0" xfId="0" applyFill="1"/>
    <xf numFmtId="0" fontId="0" fillId="9" borderId="0" xfId="0" applyFill="1"/>
    <xf numFmtId="0" fontId="7" fillId="0" borderId="0" xfId="0" applyFont="1"/>
    <xf numFmtId="0" fontId="7" fillId="2" borderId="0" xfId="0" applyFont="1" applyFill="1"/>
    <xf numFmtId="0" fontId="7" fillId="0" borderId="1" xfId="0" applyFont="1" applyBorder="1" applyAlignment="1">
      <alignment horizontal="center" vertical="top"/>
    </xf>
    <xf numFmtId="0" fontId="14" fillId="2" borderId="0" xfId="0" applyFont="1" applyFill="1"/>
    <xf numFmtId="49" fontId="15" fillId="3" borderId="2" xfId="0" applyNumberFormat="1" applyFont="1" applyFill="1" applyBorder="1" applyAlignment="1">
      <alignment horizontal="center" vertical="top"/>
    </xf>
    <xf numFmtId="0" fontId="16" fillId="0" borderId="0" xfId="0" applyFont="1"/>
    <xf numFmtId="49" fontId="17" fillId="0" borderId="3" xfId="0" applyNumberFormat="1" applyFont="1" applyBorder="1" applyAlignment="1">
      <alignment horizontal="right" vertical="top" wrapText="1"/>
    </xf>
    <xf numFmtId="0" fontId="3" fillId="2" borderId="0" xfId="0" applyFont="1" applyFill="1" applyAlignment="1">
      <alignment horizontal="left"/>
    </xf>
    <xf numFmtId="0" fontId="0" fillId="2" borderId="0" xfId="0" applyFill="1" applyAlignment="1">
      <alignment wrapText="1"/>
    </xf>
    <xf numFmtId="0" fontId="0" fillId="2" borderId="0" xfId="0" applyFill="1" applyAlignment="1">
      <alignment horizontal="left" vertical="center" wrapText="1"/>
    </xf>
    <xf numFmtId="0" fontId="6" fillId="2" borderId="0" xfId="0" applyFont="1" applyFill="1" applyAlignment="1">
      <alignment horizontal="left" wrapText="1"/>
    </xf>
    <xf numFmtId="0" fontId="0" fillId="2" borderId="0" xfId="0" applyFill="1" applyAlignment="1">
      <alignment horizontal="left" wrapText="1"/>
    </xf>
    <xf numFmtId="0" fontId="0" fillId="0" borderId="0" xfId="0" applyAlignment="1">
      <alignment horizontal="center" vertical="center" wrapText="1"/>
    </xf>
    <xf numFmtId="0" fontId="0" fillId="0" borderId="0" xfId="0" applyAlignment="1">
      <alignment horizontal="center"/>
    </xf>
    <xf numFmtId="0" fontId="0" fillId="2" borderId="0" xfId="0" applyFill="1"/>
    <xf numFmtId="0" fontId="9" fillId="3" borderId="0" xfId="0" applyFont="1" applyFill="1" applyAlignment="1">
      <alignment horizontal="center" vertical="center"/>
    </xf>
    <xf numFmtId="0" fontId="0" fillId="2" borderId="0" xfId="0" applyFill="1" applyAlignment="1">
      <alignment horizontal="left"/>
    </xf>
    <xf numFmtId="0" fontId="8" fillId="2" borderId="0" xfId="0" applyFont="1" applyFill="1" applyAlignment="1">
      <alignment vertical="center" wrapText="1"/>
    </xf>
    <xf numFmtId="0" fontId="3" fillId="2" borderId="0" xfId="0" applyFont="1" applyFill="1" applyAlignment="1">
      <alignment horizontal="left" wrapText="1"/>
    </xf>
    <xf numFmtId="0" fontId="4" fillId="2" borderId="0" xfId="0" applyFont="1" applyFill="1" applyAlignment="1">
      <alignment horizontal="left" vertical="center" wrapText="1"/>
    </xf>
    <xf numFmtId="0" fontId="3" fillId="8" borderId="0" xfId="0" applyFont="1" applyFill="1" applyAlignment="1">
      <alignment horizontal="left" vertical="center"/>
    </xf>
    <xf numFmtId="0" fontId="13" fillId="2" borderId="0" xfId="0" applyFont="1" applyFill="1" applyAlignment="1">
      <alignment horizontal="left" vertical="center" wrapText="1"/>
    </xf>
  </cellXfs>
  <cellStyles count="1">
    <cellStyle name="Normal" xfId="0" builtinId="0"/>
  </cellStyles>
  <dxfs count="37">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13" formatCode="0%"/>
    </dxf>
    <dxf>
      <numFmt numFmtId="13" formatCode="0%"/>
    </dxf>
    <dxf>
      <numFmt numFmtId="13" formatCode="0%"/>
    </dxf>
    <dxf>
      <numFmt numFmtId="34" formatCode="_ &quot;₹&quot;\ * #,##0.00_ ;_ &quot;₹&quot;\ * \-#,##0.00_ ;_ &quot;₹&quot;\ * &quot;-&quot;??_ ;_ @_ "/>
    </dxf>
    <dxf>
      <numFmt numFmtId="165" formatCode="&quot;₹&quot;\ #,##0.00"/>
    </dxf>
    <dxf>
      <numFmt numFmtId="165" formatCode="&quot;₹&quot;\ #,##0.00"/>
    </dxf>
    <dxf>
      <numFmt numFmtId="165" formatCode="&quot;₹&quot;\ #,##0.00"/>
    </dxf>
    <dxf>
      <alignment horizontal="center"/>
    </dxf>
    <dxf>
      <alignment horizontal="center"/>
    </dxf>
    <dxf>
      <fill>
        <patternFill>
          <bgColor theme="7" tint="0.59999389629810485"/>
        </patternFill>
      </fill>
    </dxf>
    <dxf>
      <fill>
        <patternFill patternType="solid">
          <bgColor rgb="FFFFFF00"/>
        </patternFill>
      </fill>
    </dxf>
    <dxf>
      <alignment wrapText="1"/>
    </dxf>
    <dxf>
      <fill>
        <patternFill patternType="solid">
          <bgColor rgb="FFFFFF00"/>
        </patternFill>
      </fill>
    </dxf>
    <dxf>
      <alignment wrapText="1"/>
    </dxf>
    <dxf>
      <alignment horizontal="center"/>
    </dxf>
    <dxf>
      <alignment horizontal="center"/>
    </dxf>
    <dxf>
      <alignment wrapText="1"/>
    </dxf>
    <dxf>
      <numFmt numFmtId="14" formatCode="0.00%"/>
    </dxf>
    <dxf>
      <alignment wrapText="1"/>
    </dxf>
    <dxf>
      <alignment horizontal="center"/>
    </dxf>
    <dxf>
      <alignment wrapText="1"/>
    </dxf>
    <dxf>
      <numFmt numFmtId="14" formatCode="0.00%"/>
    </dxf>
    <dxf>
      <alignment wrapText="1"/>
    </dxf>
    <dxf>
      <numFmt numFmtId="14" formatCode="0.00%"/>
    </dxf>
    <dxf>
      <alignment wrapText="1"/>
    </dxf>
    <dxf>
      <font>
        <color theme="1"/>
      </font>
    </dxf>
    <dxf>
      <alignment wrapText="1"/>
    </dxf>
    <dxf>
      <numFmt numFmtId="164" formatCode="0.000"/>
    </dxf>
    <dxf>
      <alignment horizontal="right"/>
    </dxf>
    <dxf>
      <fill>
        <patternFill>
          <bgColor theme="3" tint="0.39994506668294322"/>
        </patternFill>
      </fill>
    </dxf>
    <dxf>
      <fill>
        <patternFill patternType="solid">
          <fgColor auto="1"/>
          <bgColor theme="5" tint="0.59996337778862885"/>
        </patternFill>
      </fill>
    </dxf>
  </dxfs>
  <tableStyles count="1" defaultTableStyle="TableStyleMedium2" defaultPivotStyle="PivotStyleLight16">
    <tableStyle name="my slicer style" pivot="0" table="0" count="7" xr9:uid="{00134BB6-6C4C-445C-A9FC-7F2DEB2F6C2D}">
      <tableStyleElement type="wholeTable" dxfId="36"/>
      <tableStyleElement type="headerRow" dxfId="35"/>
    </tableStyle>
  </tableStyles>
  <colors>
    <mruColors>
      <color rgb="FFFF2F2F"/>
      <color rgb="FFE579D8"/>
    </mruColors>
  </colors>
  <extLst>
    <ext xmlns:x14="http://schemas.microsoft.com/office/spreadsheetml/2009/9/main" uri="{46F421CA-312F-682f-3DD2-61675219B42D}">
      <x14:dxfs count="5">
        <dxf>
          <fill>
            <patternFill>
              <bgColor rgb="FFE579D8"/>
            </patternFill>
          </fill>
        </dxf>
        <dxf>
          <fill>
            <patternFill>
              <bgColor rgb="FFFF0000"/>
            </patternFill>
          </fill>
        </dxf>
        <dxf>
          <fill>
            <patternFill>
              <bgColor rgb="FFFFFF00"/>
            </patternFill>
          </fill>
        </dxf>
        <dxf>
          <fill>
            <patternFill>
              <bgColor theme="4" tint="0.39994506668294322"/>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my slicer style">
          <x14:slicerStyleElements>
            <x14:slicerStyleElement type="unselectedItemWith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[Pivot-Topics-data.xlsx]chart-slicer-timeline!PivotTable5</c:name>
    <c:fmtId val="0"/>
  </c:pivotSource>
  <c:chart>
    <c:title>
      <c:layout>
        <c:manualLayout>
          <c:xMode val="edge"/>
          <c:yMode val="edge"/>
          <c:x val="5.5689940963300356E-2"/>
          <c:y val="1.066260472201066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1"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2063814730202757"/>
              <c:y val="-3.7417817068122528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1" u="none" strike="noStrike" kern="1200" baseline="0">
                  <a:solidFill>
                    <a:schemeClr val="tx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683329612865535"/>
          <c:y val="0.20299939159218705"/>
          <c:w val="0.41310609982569219"/>
          <c:h val="0.64065674161524178"/>
        </c:manualLayout>
      </c:layout>
      <c:pieChart>
        <c:varyColors val="1"/>
        <c:ser>
          <c:idx val="0"/>
          <c:order val="0"/>
          <c:tx>
            <c:strRef>
              <c:f>'chart-slicer-timeline'!$E$7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A92-4391-8EFF-748A389524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6A92-4391-8EFF-748A3895249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92-4391-8EFF-748A38952499}"/>
              </c:ext>
            </c:extLst>
          </c:dPt>
          <c:dPt>
            <c:idx val="3"/>
            <c:bubble3D val="0"/>
            <c:explosion val="2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A92-4391-8EFF-748A3895249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6A92-4391-8EFF-748A3895249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A92-4391-8EFF-748A3895249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6A92-4391-8EFF-748A38952499}"/>
              </c:ext>
            </c:extLst>
          </c:dPt>
          <c:dLbls>
            <c:dLbl>
              <c:idx val="4"/>
              <c:layout>
                <c:manualLayout>
                  <c:x val="-0.12063814730202757"/>
                  <c:y val="-3.7417817068122528E-2"/>
                </c:manualLayout>
              </c:layout>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6A92-4391-8EFF-748A38952499}"/>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1" u="none" strike="noStrike" kern="1200" baseline="0">
                    <a:solidFill>
                      <a:schemeClr val="tx1"/>
                    </a:solidFill>
                    <a:latin typeface="+mn-lt"/>
                    <a:ea typeface="+mn-ea"/>
                    <a:cs typeface="+mn-cs"/>
                  </a:defRPr>
                </a:pPr>
                <a:endParaRPr lang="en-US"/>
              </a:p>
            </c:txPr>
            <c:dLblPos val="outEnd"/>
            <c:showLegendKey val="1"/>
            <c:showVal val="0"/>
            <c:showCatName val="1"/>
            <c:showSerName val="0"/>
            <c:showPercent val="1"/>
            <c:showBubbleSize val="0"/>
            <c:showLeaderLines val="0"/>
            <c:extLst>
              <c:ext xmlns:c15="http://schemas.microsoft.com/office/drawing/2012/chart" uri="{CE6537A1-D6FC-4f65-9D91-7224C49458BB}"/>
            </c:extLst>
          </c:dLbls>
          <c:cat>
            <c:strRef>
              <c:f>'chart-slicer-timeline'!$D$8:$D$15</c:f>
              <c:strCache>
                <c:ptCount val="7"/>
                <c:pt idx="0">
                  <c:v>Austria</c:v>
                </c:pt>
                <c:pt idx="1">
                  <c:v>Belgium</c:v>
                </c:pt>
                <c:pt idx="2">
                  <c:v>Denmark</c:v>
                </c:pt>
                <c:pt idx="3">
                  <c:v>France</c:v>
                </c:pt>
                <c:pt idx="4">
                  <c:v>Germany</c:v>
                </c:pt>
                <c:pt idx="5">
                  <c:v>India</c:v>
                </c:pt>
                <c:pt idx="6">
                  <c:v>Spain</c:v>
                </c:pt>
              </c:strCache>
            </c:strRef>
          </c:cat>
          <c:val>
            <c:numRef>
              <c:f>'chart-slicer-timeline'!$E$8:$E$15</c:f>
              <c:numCache>
                <c:formatCode>General</c:formatCode>
                <c:ptCount val="7"/>
                <c:pt idx="0">
                  <c:v>117396</c:v>
                </c:pt>
                <c:pt idx="1">
                  <c:v>76810</c:v>
                </c:pt>
                <c:pt idx="2">
                  <c:v>68801</c:v>
                </c:pt>
                <c:pt idx="3">
                  <c:v>43009</c:v>
                </c:pt>
                <c:pt idx="4">
                  <c:v>222818</c:v>
                </c:pt>
                <c:pt idx="5">
                  <c:v>228651</c:v>
                </c:pt>
                <c:pt idx="6">
                  <c:v>41352</c:v>
                </c:pt>
              </c:numCache>
            </c:numRef>
          </c:val>
          <c:extLst>
            <c:ext xmlns:c16="http://schemas.microsoft.com/office/drawing/2014/chart" uri="{C3380CC4-5D6E-409C-BE32-E72D297353CC}">
              <c16:uniqueId val="{00000000-6A92-4391-8EFF-748A3895249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[Pivot-Topics-data.xlsx]chart-slicer-timeline!PivotTable8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'chart-slicer-timeline'!$B$50</c:f>
              <c:strCache>
                <c:ptCount val="1"/>
                <c:pt idx="0">
                  <c:v>Sum of Sales</c:v>
                </c:pt>
              </c:strCache>
            </c:strRef>
          </c:tx>
          <c:spPr>
            <a:solidFill>
              <a:schemeClr val="accent1"/>
            </a:solidFill>
            <a:ln>
              <a:noFill/>
            </a:ln>
            <a:effectLst/>
          </c:spPr>
          <c:invertIfNegative val="0"/>
          <c:cat>
            <c:strRef>
              <c:f>'chart-slicer-timeline'!$A$51:$A$62</c:f>
              <c:strCache>
                <c:ptCount val="11"/>
                <c:pt idx="0">
                  <c:v>Bielefeld</c:v>
                </c:pt>
                <c:pt idx="1">
                  <c:v>Copenhagen</c:v>
                </c:pt>
                <c:pt idx="2">
                  <c:v>Esbjerg</c:v>
                </c:pt>
                <c:pt idx="3">
                  <c:v>Gandia</c:v>
                </c:pt>
                <c:pt idx="4">
                  <c:v>Langen</c:v>
                </c:pt>
                <c:pt idx="5">
                  <c:v>Leuven</c:v>
                </c:pt>
                <c:pt idx="6">
                  <c:v>Mumbai</c:v>
                </c:pt>
                <c:pt idx="7">
                  <c:v>Patna</c:v>
                </c:pt>
                <c:pt idx="8">
                  <c:v>Pune</c:v>
                </c:pt>
                <c:pt idx="9">
                  <c:v>Vienna</c:v>
                </c:pt>
                <c:pt idx="10">
                  <c:v>Villiers-sur-Marne</c:v>
                </c:pt>
              </c:strCache>
            </c:strRef>
          </c:cat>
          <c:val>
            <c:numRef>
              <c:f>'chart-slicer-timeline'!$B$51:$B$62</c:f>
              <c:numCache>
                <c:formatCode>General</c:formatCode>
                <c:ptCount val="11"/>
                <c:pt idx="0">
                  <c:v>2946</c:v>
                </c:pt>
                <c:pt idx="1">
                  <c:v>7589</c:v>
                </c:pt>
                <c:pt idx="2">
                  <c:v>2466</c:v>
                </c:pt>
                <c:pt idx="3">
                  <c:v>6647</c:v>
                </c:pt>
                <c:pt idx="4">
                  <c:v>30295</c:v>
                </c:pt>
                <c:pt idx="5">
                  <c:v>6452</c:v>
                </c:pt>
                <c:pt idx="6">
                  <c:v>2137</c:v>
                </c:pt>
                <c:pt idx="7">
                  <c:v>7381</c:v>
                </c:pt>
                <c:pt idx="8">
                  <c:v>7749</c:v>
                </c:pt>
                <c:pt idx="9">
                  <c:v>19878</c:v>
                </c:pt>
                <c:pt idx="10">
                  <c:v>3263</c:v>
                </c:pt>
              </c:numCache>
            </c:numRef>
          </c:val>
          <c:extLst>
            <c:ext xmlns:c16="http://schemas.microsoft.com/office/drawing/2014/chart" uri="{C3380CC4-5D6E-409C-BE32-E72D297353CC}">
              <c16:uniqueId val="{00000000-4519-438A-ADF6-38546C57D502}"/>
            </c:ext>
          </c:extLst>
        </c:ser>
        <c:ser>
          <c:idx val="1"/>
          <c:order val="1"/>
          <c:tx>
            <c:strRef>
              <c:f>'chart-slicer-timeline'!$C$50</c:f>
              <c:strCache>
                <c:ptCount val="1"/>
                <c:pt idx="0">
                  <c:v>Sum of Profit</c:v>
                </c:pt>
              </c:strCache>
            </c:strRef>
          </c:tx>
          <c:spPr>
            <a:solidFill>
              <a:schemeClr val="accent2"/>
            </a:solidFill>
            <a:ln>
              <a:noFill/>
            </a:ln>
            <a:effectLst/>
          </c:spPr>
          <c:invertIfNegative val="0"/>
          <c:cat>
            <c:strRef>
              <c:f>'chart-slicer-timeline'!$A$51:$A$62</c:f>
              <c:strCache>
                <c:ptCount val="11"/>
                <c:pt idx="0">
                  <c:v>Bielefeld</c:v>
                </c:pt>
                <c:pt idx="1">
                  <c:v>Copenhagen</c:v>
                </c:pt>
                <c:pt idx="2">
                  <c:v>Esbjerg</c:v>
                </c:pt>
                <c:pt idx="3">
                  <c:v>Gandia</c:v>
                </c:pt>
                <c:pt idx="4">
                  <c:v>Langen</c:v>
                </c:pt>
                <c:pt idx="5">
                  <c:v>Leuven</c:v>
                </c:pt>
                <c:pt idx="6">
                  <c:v>Mumbai</c:v>
                </c:pt>
                <c:pt idx="7">
                  <c:v>Patna</c:v>
                </c:pt>
                <c:pt idx="8">
                  <c:v>Pune</c:v>
                </c:pt>
                <c:pt idx="9">
                  <c:v>Vienna</c:v>
                </c:pt>
                <c:pt idx="10">
                  <c:v>Villiers-sur-Marne</c:v>
                </c:pt>
              </c:strCache>
            </c:strRef>
          </c:cat>
          <c:val>
            <c:numRef>
              <c:f>'chart-slicer-timeline'!$C$51:$C$62</c:f>
              <c:numCache>
                <c:formatCode>General</c:formatCode>
                <c:ptCount val="11"/>
                <c:pt idx="0">
                  <c:v>2210</c:v>
                </c:pt>
                <c:pt idx="1">
                  <c:v>5349</c:v>
                </c:pt>
                <c:pt idx="2">
                  <c:v>1603</c:v>
                </c:pt>
                <c:pt idx="3">
                  <c:v>5207</c:v>
                </c:pt>
                <c:pt idx="4">
                  <c:v>20660</c:v>
                </c:pt>
                <c:pt idx="5">
                  <c:v>4982</c:v>
                </c:pt>
                <c:pt idx="6">
                  <c:v>1325</c:v>
                </c:pt>
                <c:pt idx="7">
                  <c:v>5472</c:v>
                </c:pt>
                <c:pt idx="8">
                  <c:v>5532</c:v>
                </c:pt>
                <c:pt idx="9">
                  <c:v>13168</c:v>
                </c:pt>
                <c:pt idx="10">
                  <c:v>2545</c:v>
                </c:pt>
              </c:numCache>
            </c:numRef>
          </c:val>
          <c:extLst>
            <c:ext xmlns:c16="http://schemas.microsoft.com/office/drawing/2014/chart" uri="{C3380CC4-5D6E-409C-BE32-E72D297353CC}">
              <c16:uniqueId val="{00000001-4519-438A-ADF6-38546C57D502}"/>
            </c:ext>
          </c:extLst>
        </c:ser>
        <c:ser>
          <c:idx val="2"/>
          <c:order val="2"/>
          <c:tx>
            <c:strRef>
              <c:f>'chart-slicer-timeline'!$D$50</c:f>
              <c:strCache>
                <c:ptCount val="1"/>
                <c:pt idx="0">
                  <c:v>Number of customers</c:v>
                </c:pt>
              </c:strCache>
            </c:strRef>
          </c:tx>
          <c:spPr>
            <a:solidFill>
              <a:schemeClr val="accent3"/>
            </a:solidFill>
            <a:ln>
              <a:noFill/>
            </a:ln>
            <a:effectLst/>
          </c:spPr>
          <c:invertIfNegative val="0"/>
          <c:cat>
            <c:strRef>
              <c:f>'chart-slicer-timeline'!$A$51:$A$62</c:f>
              <c:strCache>
                <c:ptCount val="11"/>
                <c:pt idx="0">
                  <c:v>Bielefeld</c:v>
                </c:pt>
                <c:pt idx="1">
                  <c:v>Copenhagen</c:v>
                </c:pt>
                <c:pt idx="2">
                  <c:v>Esbjerg</c:v>
                </c:pt>
                <c:pt idx="3">
                  <c:v>Gandia</c:v>
                </c:pt>
                <c:pt idx="4">
                  <c:v>Langen</c:v>
                </c:pt>
                <c:pt idx="5">
                  <c:v>Leuven</c:v>
                </c:pt>
                <c:pt idx="6">
                  <c:v>Mumbai</c:v>
                </c:pt>
                <c:pt idx="7">
                  <c:v>Patna</c:v>
                </c:pt>
                <c:pt idx="8">
                  <c:v>Pune</c:v>
                </c:pt>
                <c:pt idx="9">
                  <c:v>Vienna</c:v>
                </c:pt>
                <c:pt idx="10">
                  <c:v>Villiers-sur-Marne</c:v>
                </c:pt>
              </c:strCache>
            </c:strRef>
          </c:cat>
          <c:val>
            <c:numRef>
              <c:f>'chart-slicer-timeline'!$D$51:$D$62</c:f>
              <c:numCache>
                <c:formatCode>General</c:formatCode>
                <c:ptCount val="11"/>
                <c:pt idx="0">
                  <c:v>1</c:v>
                </c:pt>
                <c:pt idx="1">
                  <c:v>2</c:v>
                </c:pt>
                <c:pt idx="2">
                  <c:v>1</c:v>
                </c:pt>
                <c:pt idx="3">
                  <c:v>2</c:v>
                </c:pt>
                <c:pt idx="4">
                  <c:v>10</c:v>
                </c:pt>
                <c:pt idx="5">
                  <c:v>2</c:v>
                </c:pt>
                <c:pt idx="6">
                  <c:v>1</c:v>
                </c:pt>
                <c:pt idx="7">
                  <c:v>2</c:v>
                </c:pt>
                <c:pt idx="8">
                  <c:v>3</c:v>
                </c:pt>
                <c:pt idx="9">
                  <c:v>6</c:v>
                </c:pt>
                <c:pt idx="10">
                  <c:v>1</c:v>
                </c:pt>
              </c:numCache>
            </c:numRef>
          </c:val>
          <c:extLst>
            <c:ext xmlns:c16="http://schemas.microsoft.com/office/drawing/2014/chart" uri="{C3380CC4-5D6E-409C-BE32-E72D297353CC}">
              <c16:uniqueId val="{00000002-4519-438A-ADF6-38546C57D502}"/>
            </c:ext>
          </c:extLst>
        </c:ser>
        <c:dLbls>
          <c:showLegendKey val="0"/>
          <c:showVal val="0"/>
          <c:showCatName val="0"/>
          <c:showSerName val="0"/>
          <c:showPercent val="0"/>
          <c:showBubbleSize val="0"/>
        </c:dLbls>
        <c:gapWidth val="219"/>
        <c:overlap val="-27"/>
        <c:axId val="10756896"/>
        <c:axId val="10754016"/>
      </c:barChart>
      <c:catAx>
        <c:axId val="1075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4016"/>
        <c:crosses val="autoZero"/>
        <c:auto val="1"/>
        <c:lblAlgn val="ctr"/>
        <c:lblOffset val="100"/>
        <c:noMultiLvlLbl val="0"/>
      </c:catAx>
      <c:valAx>
        <c:axId val="1075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6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487680</xdr:colOff>
      <xdr:row>6</xdr:row>
      <xdr:rowOff>92579</xdr:rowOff>
    </xdr:from>
    <xdr:to>
      <xdr:col>12</xdr:col>
      <xdr:colOff>411480</xdr:colOff>
      <xdr:row>21</xdr:row>
      <xdr:rowOff>30480</xdr:rowOff>
    </xdr:to>
    <xdr:graphicFrame macro="">
      <xdr:nvGraphicFramePr>
        <xdr:cNvPr id="2" name="Chart 1">
          <a:extLst>
            <a:ext uri="{FF2B5EF4-FFF2-40B4-BE49-F238E27FC236}">
              <a16:creationId xmlns:a16="http://schemas.microsoft.com/office/drawing/2014/main" id="{A3F6C4F5-92C7-1318-53C0-B5672076A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590369</xdr:colOff>
      <xdr:row>27</xdr:row>
      <xdr:rowOff>2255</xdr:rowOff>
    </xdr:from>
    <xdr:to>
      <xdr:col>7</xdr:col>
      <xdr:colOff>156086</xdr:colOff>
      <xdr:row>30</xdr:row>
      <xdr:rowOff>311359</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B6221234-C897-3817-4E53-7FB8794BC73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321694" y="5504489"/>
              <a:ext cx="3116879" cy="843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685802</xdr:colOff>
      <xdr:row>42</xdr:row>
      <xdr:rowOff>40640</xdr:rowOff>
    </xdr:from>
    <xdr:to>
      <xdr:col>12</xdr:col>
      <xdr:colOff>14963</xdr:colOff>
      <xdr:row>49</xdr:row>
      <xdr:rowOff>23707</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600C47D1-5BE5-FB19-2D6F-3AF55334E8D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178633" y="8571082"/>
              <a:ext cx="3783726" cy="13190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13</xdr:col>
      <xdr:colOff>239301</xdr:colOff>
      <xdr:row>0</xdr:row>
      <xdr:rowOff>314969</xdr:rowOff>
    </xdr:from>
    <xdr:ext cx="6379028" cy="3558309"/>
    <xdr:sp macro="" textlink="">
      <xdr:nvSpPr>
        <xdr:cNvPr id="5" name="TextBox 4">
          <a:extLst>
            <a:ext uri="{FF2B5EF4-FFF2-40B4-BE49-F238E27FC236}">
              <a16:creationId xmlns:a16="http://schemas.microsoft.com/office/drawing/2014/main" id="{7A647EBD-3836-A2D1-D9B3-A2E0131DF197}"/>
            </a:ext>
          </a:extLst>
        </xdr:cNvPr>
        <xdr:cNvSpPr txBox="1">
          <a:spLocks/>
        </xdr:cNvSpPr>
      </xdr:nvSpPr>
      <xdr:spPr>
        <a:xfrm>
          <a:off x="9715455" y="314969"/>
          <a:ext cx="6379028" cy="3558309"/>
        </a:xfrm>
        <a:prstGeom prst="rect">
          <a:avLst/>
        </a:prstGeom>
        <a:solidFill>
          <a:schemeClr val="accent3">
            <a:lumMod val="40000"/>
            <a:lumOff val="6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sz="1800" b="1" u="sng">
              <a:solidFill>
                <a:srgbClr val="C00000"/>
              </a:solidFill>
            </a:rPr>
            <a:t>note:</a:t>
          </a:r>
        </a:p>
        <a:p>
          <a:r>
            <a:rPr lang="en-IN" sz="1400"/>
            <a:t>1. go</a:t>
          </a:r>
          <a:r>
            <a:rPr lang="en-IN" sz="1400" baseline="0"/>
            <a:t> to </a:t>
          </a:r>
          <a:r>
            <a:rPr lang="en-IN" sz="1400" baseline="0">
              <a:solidFill>
                <a:srgbClr val="C00000"/>
              </a:solidFill>
            </a:rPr>
            <a:t>slicer</a:t>
          </a:r>
          <a:r>
            <a:rPr lang="en-IN" sz="1400" baseline="0"/>
            <a:t> settings and report connections to connect multiple pivot tables with slicer. Change column numbers to show options in slicer in columns. go to </a:t>
          </a:r>
          <a:r>
            <a:rPr lang="en-IN" sz="1400" baseline="0">
              <a:solidFill>
                <a:srgbClr val="C00000"/>
              </a:solidFill>
            </a:rPr>
            <a:t>slicer style </a:t>
          </a:r>
          <a:r>
            <a:rPr lang="en-IN" sz="1400" baseline="0"/>
            <a:t>and new style to create custom slicer style.</a:t>
          </a:r>
        </a:p>
        <a:p>
          <a:endParaRPr lang="en-IN" sz="1400"/>
        </a:p>
        <a:p>
          <a:r>
            <a:rPr lang="en-IN" sz="1400"/>
            <a:t>2. go to </a:t>
          </a:r>
          <a:r>
            <a:rPr lang="en-IN" sz="1400">
              <a:solidFill>
                <a:srgbClr val="C00000"/>
              </a:solidFill>
            </a:rPr>
            <a:t>pivot table options </a:t>
          </a:r>
          <a:r>
            <a:rPr lang="en-IN" sz="1400"/>
            <a:t>and uncheck </a:t>
          </a:r>
          <a:r>
            <a:rPr lang="en-IN" sz="1400">
              <a:solidFill>
                <a:srgbClr val="FF0000"/>
              </a:solidFill>
            </a:rPr>
            <a:t>autofit column width on update</a:t>
          </a:r>
          <a:r>
            <a:rPr lang="en-IN" sz="1400"/>
            <a:t>. You</a:t>
          </a:r>
          <a:r>
            <a:rPr lang="en-IN" sz="1400" baseline="0"/>
            <a:t> can change option For empty cells show to 0.</a:t>
          </a:r>
        </a:p>
        <a:p>
          <a:endParaRPr lang="en-IN" sz="1400" baseline="0"/>
        </a:p>
        <a:p>
          <a:r>
            <a:rPr lang="en-IN" sz="1400" baseline="0"/>
            <a:t>3. </a:t>
          </a:r>
          <a:r>
            <a:rPr lang="en-IN" sz="1400" baseline="0">
              <a:solidFill>
                <a:srgbClr val="C00000"/>
              </a:solidFill>
            </a:rPr>
            <a:t>Timeline</a:t>
          </a:r>
          <a:r>
            <a:rPr lang="en-IN" sz="1400" baseline="0"/>
            <a:t> can be used only when there is a date column in dataset.</a:t>
          </a:r>
        </a:p>
        <a:p>
          <a:r>
            <a:rPr lang="en-IN" sz="1400" baseline="0"/>
            <a:t>4. Change </a:t>
          </a:r>
          <a:r>
            <a:rPr lang="en-IN" sz="1400" baseline="0">
              <a:solidFill>
                <a:srgbClr val="FF0000"/>
              </a:solidFill>
            </a:rPr>
            <a:t>pivot table column name </a:t>
          </a:r>
          <a:r>
            <a:rPr lang="en-IN" sz="1400" baseline="0"/>
            <a:t>from formula bar.</a:t>
          </a:r>
        </a:p>
        <a:p>
          <a:endParaRPr lang="en-IN" sz="1200" baseline="0"/>
        </a:p>
        <a:p>
          <a:r>
            <a:rPr lang="en-IN" sz="1200" baseline="0"/>
            <a:t>5. if you want </a:t>
          </a:r>
          <a:r>
            <a:rPr lang="en-IN" sz="1200" baseline="0">
              <a:solidFill>
                <a:srgbClr val="FF0000"/>
              </a:solidFill>
            </a:rPr>
            <a:t>more than one filter fileds in a row</a:t>
          </a:r>
          <a:r>
            <a:rPr lang="en-IN" sz="1200" baseline="0"/>
            <a:t> : go to pivot table options -&gt; display fields in report field area to 'over, then down' -&gt; change filter fields per row.</a:t>
          </a:r>
        </a:p>
        <a:p>
          <a:endParaRPr lang="en-IN" sz="1200" baseline="0"/>
        </a:p>
        <a:p>
          <a:r>
            <a:rPr lang="en-IN" sz="1200" baseline="0"/>
            <a:t>6.</a:t>
          </a:r>
        </a:p>
        <a:p>
          <a:endParaRPr lang="en-IN" sz="1200" baseline="0"/>
        </a:p>
      </xdr:txBody>
    </xdr:sp>
    <xdr:clientData/>
  </xdr:oneCellAnchor>
  <xdr:twoCellAnchor>
    <xdr:from>
      <xdr:col>4</xdr:col>
      <xdr:colOff>330199</xdr:colOff>
      <xdr:row>52</xdr:row>
      <xdr:rowOff>21166</xdr:rowOff>
    </xdr:from>
    <xdr:to>
      <xdr:col>11</xdr:col>
      <xdr:colOff>414868</xdr:colOff>
      <xdr:row>66</xdr:row>
      <xdr:rowOff>2</xdr:rowOff>
    </xdr:to>
    <xdr:graphicFrame macro="">
      <xdr:nvGraphicFramePr>
        <xdr:cNvPr id="6" name="Chart 5">
          <a:extLst>
            <a:ext uri="{FF2B5EF4-FFF2-40B4-BE49-F238E27FC236}">
              <a16:creationId xmlns:a16="http://schemas.microsoft.com/office/drawing/2014/main" id="{5A2DE9CB-DB22-05D1-FBC8-D86D3AA3A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7</xdr:col>
      <xdr:colOff>441960</xdr:colOff>
      <xdr:row>2</xdr:row>
      <xdr:rowOff>1</xdr:rowOff>
    </xdr:from>
    <xdr:ext cx="3474720" cy="2378087"/>
    <xdr:sp macro="" textlink="">
      <xdr:nvSpPr>
        <xdr:cNvPr id="2" name="TextBox 1">
          <a:extLst>
            <a:ext uri="{FF2B5EF4-FFF2-40B4-BE49-F238E27FC236}">
              <a16:creationId xmlns:a16="http://schemas.microsoft.com/office/drawing/2014/main" id="{CC76E09B-56DA-77AC-57AC-A1A26887D027}"/>
            </a:ext>
          </a:extLst>
        </xdr:cNvPr>
        <xdr:cNvSpPr txBox="1"/>
      </xdr:nvSpPr>
      <xdr:spPr>
        <a:xfrm>
          <a:off x="6278880" y="365761"/>
          <a:ext cx="3474720" cy="2378087"/>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IN" sz="1400" u="sng">
              <a:solidFill>
                <a:srgbClr val="FF0000"/>
              </a:solidFill>
            </a:rPr>
            <a:t>note:</a:t>
          </a:r>
        </a:p>
        <a:p>
          <a:r>
            <a:rPr lang="en-IN" sz="1200"/>
            <a:t>1.</a:t>
          </a:r>
          <a:r>
            <a:rPr lang="en-IN" sz="1200" baseline="0"/>
            <a:t> go to pivot table analyse -&gt; grouping ( or right click on pivot table -&gt; grouping.</a:t>
          </a:r>
        </a:p>
        <a:p>
          <a:endParaRPr lang="en-IN" sz="1200" baseline="0"/>
        </a:p>
        <a:p>
          <a:r>
            <a:rPr lang="en-IN" sz="1200" baseline="0"/>
            <a:t>2. custom grouping: select data whom you want to group and click grouping. change column name form formula bar</a:t>
          </a:r>
        </a:p>
        <a:p>
          <a:endParaRPr lang="en-IN" sz="1200" baseline="0"/>
        </a:p>
        <a:p>
          <a:r>
            <a:rPr lang="en-IN" sz="1200" baseline="0"/>
            <a:t>3. merge and center cell in pivot table using pivot table options</a:t>
          </a:r>
        </a:p>
        <a:p>
          <a:endParaRPr lang="en-IN" sz="1200" baseline="0"/>
        </a:p>
        <a:p>
          <a:endParaRPr lang="en-IN" sz="12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10</xdr:col>
      <xdr:colOff>648017</xdr:colOff>
      <xdr:row>19</xdr:row>
      <xdr:rowOff>2143</xdr:rowOff>
    </xdr:from>
    <xdr:to>
      <xdr:col>22</xdr:col>
      <xdr:colOff>131990</xdr:colOff>
      <xdr:row>43</xdr:row>
      <xdr:rowOff>43111</xdr:rowOff>
    </xdr:to>
    <xdr:pic>
      <xdr:nvPicPr>
        <xdr:cNvPr id="6" name="Picture 5">
          <a:extLst>
            <a:ext uri="{FF2B5EF4-FFF2-40B4-BE49-F238E27FC236}">
              <a16:creationId xmlns:a16="http://schemas.microsoft.com/office/drawing/2014/main" id="{4FF40196-1229-6CCF-4188-AB64F10039A4}"/>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rightnessContrast bright="20000" contrast="-20000"/>
                  </a14:imgEffect>
                </a14:imgLayer>
              </a14:imgProps>
            </a:ext>
            <a:ext uri="{28A0092B-C50C-407E-A947-70E740481C1C}">
              <a14:useLocalDpi xmlns:a14="http://schemas.microsoft.com/office/drawing/2010/main" val="0"/>
            </a:ext>
          </a:extLst>
        </a:blip>
        <a:srcRect l="2003" r="2488"/>
        <a:stretch/>
      </xdr:blipFill>
      <xdr:spPr>
        <a:xfrm>
          <a:off x="9381709" y="3577681"/>
          <a:ext cx="7445793" cy="4542630"/>
        </a:xfrm>
        <a:prstGeom prst="rect">
          <a:avLst/>
        </a:prstGeom>
        <a:effectLst>
          <a:reflection endPos="0" dist="50800" dir="5400000" sy="-100000" algn="bl" rotWithShape="0"/>
        </a:effectLst>
      </xdr:spPr>
    </xdr:pic>
    <xdr:clientData/>
  </xdr:twoCellAnchor>
  <xdr:oneCellAnchor>
    <xdr:from>
      <xdr:col>13</xdr:col>
      <xdr:colOff>8214</xdr:colOff>
      <xdr:row>1</xdr:row>
      <xdr:rowOff>102489</xdr:rowOff>
    </xdr:from>
    <xdr:ext cx="5437976" cy="2905678"/>
    <xdr:sp macro="" textlink="">
      <xdr:nvSpPr>
        <xdr:cNvPr id="2" name="TextBox 1">
          <a:extLst>
            <a:ext uri="{FF2B5EF4-FFF2-40B4-BE49-F238E27FC236}">
              <a16:creationId xmlns:a16="http://schemas.microsoft.com/office/drawing/2014/main" id="{776F1896-365C-1456-FDAE-329B831B1963}"/>
            </a:ext>
          </a:extLst>
        </xdr:cNvPr>
        <xdr:cNvSpPr txBox="1"/>
      </xdr:nvSpPr>
      <xdr:spPr>
        <a:xfrm>
          <a:off x="11192029" y="301781"/>
          <a:ext cx="5437976" cy="290567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a:latin typeface="Verdana" panose="020B0604030504040204" pitchFamily="34" charset="0"/>
              <a:ea typeface="Verdana" panose="020B0604030504040204" pitchFamily="34" charset="0"/>
            </a:rPr>
            <a:t>Let’s say we had 11 rows of data at first and created a PivotTable with that data. Later, if we add new rows to the data source, those rows will not be reflected in the PivotTable even after refreshing it.</a:t>
          </a:r>
        </a:p>
        <a:p>
          <a:r>
            <a:rPr lang="en-IN">
              <a:latin typeface="Verdana" panose="020B0604030504040204" pitchFamily="34" charset="0"/>
              <a:ea typeface="Verdana" panose="020B0604030504040204" pitchFamily="34" charset="0"/>
            </a:rPr>
            <a:t> </a:t>
          </a:r>
        </a:p>
        <a:p>
          <a:r>
            <a:rPr lang="en-IN">
              <a:solidFill>
                <a:srgbClr val="FF0000"/>
              </a:solidFill>
              <a:latin typeface="Verdana" panose="020B0604030504040204" pitchFamily="34" charset="0"/>
              <a:ea typeface="Verdana" panose="020B0604030504040204" pitchFamily="34" charset="0"/>
            </a:rPr>
            <a:t>One option </a:t>
          </a:r>
          <a:r>
            <a:rPr lang="en-IN">
              <a:latin typeface="Verdana" panose="020B0604030504040204" pitchFamily="34" charset="0"/>
              <a:ea typeface="Verdana" panose="020B0604030504040204" pitchFamily="34" charset="0"/>
            </a:rPr>
            <a:t>to solve this problem is to change the data source: go to </a:t>
          </a:r>
          <a:r>
            <a:rPr lang="en-IN" b="1">
              <a:latin typeface="Verdana" panose="020B0604030504040204" pitchFamily="34" charset="0"/>
              <a:ea typeface="Verdana" panose="020B0604030504040204" pitchFamily="34" charset="0"/>
            </a:rPr>
            <a:t>PivotTable Analyze</a:t>
          </a:r>
          <a:r>
            <a:rPr lang="en-IN">
              <a:latin typeface="Verdana" panose="020B0604030504040204" pitchFamily="34" charset="0"/>
              <a:ea typeface="Verdana" panose="020B0604030504040204" pitchFamily="34" charset="0"/>
            </a:rPr>
            <a:t> -&gt; </a:t>
          </a:r>
          <a:r>
            <a:rPr lang="en-IN" b="1">
              <a:latin typeface="Verdana" panose="020B0604030504040204" pitchFamily="34" charset="0"/>
              <a:ea typeface="Verdana" panose="020B0604030504040204" pitchFamily="34" charset="0"/>
            </a:rPr>
            <a:t>Change Data Source</a:t>
          </a:r>
          <a:r>
            <a:rPr lang="en-IN">
              <a:latin typeface="Verdana" panose="020B0604030504040204" pitchFamily="34" charset="0"/>
              <a:ea typeface="Verdana" panose="020B0604030504040204" pitchFamily="34" charset="0"/>
            </a:rPr>
            <a:t>, and then select the data again. </a:t>
          </a:r>
        </a:p>
        <a:p>
          <a:endParaRPr lang="en-IN">
            <a:latin typeface="Verdana" panose="020B0604030504040204" pitchFamily="34" charset="0"/>
            <a:ea typeface="Verdana" panose="020B0604030504040204" pitchFamily="34" charset="0"/>
          </a:endParaRPr>
        </a:p>
        <a:p>
          <a:r>
            <a:rPr lang="en-IN">
              <a:solidFill>
                <a:srgbClr val="FF0000"/>
              </a:solidFill>
              <a:latin typeface="Verdana" panose="020B0604030504040204" pitchFamily="34" charset="0"/>
              <a:ea typeface="Verdana" panose="020B0604030504040204" pitchFamily="34" charset="0"/>
            </a:rPr>
            <a:t>Second option </a:t>
          </a:r>
          <a:r>
            <a:rPr lang="en-IN">
              <a:latin typeface="Verdana" panose="020B0604030504040204" pitchFamily="34" charset="0"/>
              <a:ea typeface="Verdana" panose="020B0604030504040204" pitchFamily="34" charset="0"/>
            </a:rPr>
            <a:t>is to convert the </a:t>
          </a:r>
          <a:r>
            <a:rPr lang="en-IN">
              <a:solidFill>
                <a:srgbClr val="FF0000"/>
              </a:solidFill>
              <a:latin typeface="Verdana" panose="020B0604030504040204" pitchFamily="34" charset="0"/>
              <a:ea typeface="Verdana" panose="020B0604030504040204" pitchFamily="34" charset="0"/>
            </a:rPr>
            <a:t>data source into a Table </a:t>
          </a:r>
          <a:r>
            <a:rPr lang="en-IN">
              <a:latin typeface="Verdana" panose="020B0604030504040204" pitchFamily="34" charset="0"/>
              <a:ea typeface="Verdana" panose="020B0604030504040204" pitchFamily="34" charset="0"/>
            </a:rPr>
            <a:t>(Insert -&gt; Table). When your data is in Table format, any new rows you add will be automatically included in the PivotTable after you refresh it.</a:t>
          </a:r>
        </a:p>
        <a:p>
          <a:endParaRPr lang="en-IN">
            <a:latin typeface="Verdana" panose="020B0604030504040204" pitchFamily="34" charset="0"/>
            <a:ea typeface="Verdana" panose="020B0604030504040204" pitchFamily="34" charset="0"/>
          </a:endParaRPr>
        </a:p>
        <a:p>
          <a:r>
            <a:rPr lang="en-IN">
              <a:solidFill>
                <a:srgbClr val="FF0000"/>
              </a:solidFill>
              <a:latin typeface="Verdana" panose="020B0604030504040204" pitchFamily="34" charset="0"/>
              <a:ea typeface="Verdana" panose="020B0604030504040204" pitchFamily="34" charset="0"/>
            </a:rPr>
            <a:t>Third option </a:t>
          </a:r>
          <a:r>
            <a:rPr lang="en-IN">
              <a:latin typeface="Verdana" panose="020B0604030504040204" pitchFamily="34" charset="0"/>
              <a:ea typeface="Verdana" panose="020B0604030504040204" pitchFamily="34" charset="0"/>
            </a:rPr>
            <a:t>is using</a:t>
          </a:r>
          <a:r>
            <a:rPr lang="en-IN" baseline="0">
              <a:latin typeface="Verdana" panose="020B0604030504040204" pitchFamily="34" charset="0"/>
              <a:ea typeface="Verdana" panose="020B0604030504040204" pitchFamily="34" charset="0"/>
            </a:rPr>
            <a:t> </a:t>
          </a:r>
          <a:r>
            <a:rPr lang="en-IN" baseline="0">
              <a:solidFill>
                <a:srgbClr val="FF0000"/>
              </a:solidFill>
              <a:latin typeface="Verdana" panose="020B0604030504040204" pitchFamily="34" charset="0"/>
              <a:ea typeface="Verdana" panose="020B0604030504040204" pitchFamily="34" charset="0"/>
            </a:rPr>
            <a:t>OFFSET</a:t>
          </a:r>
          <a:r>
            <a:rPr lang="en-IN" baseline="0">
              <a:latin typeface="Verdana" panose="020B0604030504040204" pitchFamily="34" charset="0"/>
              <a:ea typeface="Verdana" panose="020B0604030504040204" pitchFamily="34" charset="0"/>
            </a:rPr>
            <a:t>, offset </a:t>
          </a:r>
          <a:r>
            <a:rPr lang="en-IN">
              <a:latin typeface="Verdana" panose="020B0604030504040204" pitchFamily="34" charset="0"/>
              <a:ea typeface="Verdana" panose="020B0604030504040204" pitchFamily="34" charset="0"/>
            </a:rPr>
            <a:t>is a </a:t>
          </a:r>
          <a:r>
            <a:rPr lang="en-IN" b="1">
              <a:latin typeface="Verdana" panose="020B0604030504040204" pitchFamily="34" charset="0"/>
              <a:ea typeface="Verdana" panose="020B0604030504040204" pitchFamily="34" charset="0"/>
            </a:rPr>
            <a:t>dynamic range formula</a:t>
          </a:r>
          <a:r>
            <a:rPr lang="en-IN">
              <a:latin typeface="Verdana" panose="020B0604030504040204" pitchFamily="34" charset="0"/>
              <a:ea typeface="Verdana" panose="020B0604030504040204" pitchFamily="34" charset="0"/>
            </a:rPr>
            <a:t> in Excel. </a:t>
          </a:r>
          <a:endParaRPr lang="en-IN">
            <a:solidFill>
              <a:srgbClr val="FF0000"/>
            </a:solidFill>
            <a:latin typeface="Verdana" panose="020B0604030504040204" pitchFamily="34" charset="0"/>
            <a:ea typeface="Verdana" panose="020B0604030504040204" pitchFamily="34" charset="0"/>
          </a:endParaRPr>
        </a:p>
        <a:p>
          <a:endParaRPr lang="en-IN" sz="1100" baseline="0">
            <a:latin typeface="Verdana" panose="020B0604030504040204" pitchFamily="34" charset="0"/>
            <a:ea typeface="Verdana" panose="020B0604030504040204" pitchFamily="34" charset="0"/>
          </a:endParaRPr>
        </a:p>
        <a:p>
          <a:r>
            <a:rPr lang="en-IN" sz="1100" baseline="0">
              <a:latin typeface="Verdana" panose="020B0604030504040204" pitchFamily="34" charset="0"/>
              <a:ea typeface="Verdana" panose="020B0604030504040204" pitchFamily="34" charset="0"/>
            </a:rPr>
            <a:t>=OFFSET($A$4,0,0,COUNTA($A$4:$A$1048576),COUNTA($A$4:$E$4))</a:t>
          </a:r>
        </a:p>
        <a:p>
          <a:endParaRPr lang="en-IN" sz="1100" baseline="0">
            <a:latin typeface="Verdana" panose="020B0604030504040204" pitchFamily="34" charset="0"/>
            <a:ea typeface="Verdana" panose="020B0604030504040204"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10</xdr:col>
      <xdr:colOff>381000</xdr:colOff>
      <xdr:row>2</xdr:row>
      <xdr:rowOff>91440</xdr:rowOff>
    </xdr:from>
    <xdr:to>
      <xdr:col>19</xdr:col>
      <xdr:colOff>53340</xdr:colOff>
      <xdr:row>19</xdr:row>
      <xdr:rowOff>106680</xdr:rowOff>
    </xdr:to>
    <xdr:sp macro="" textlink="">
      <xdr:nvSpPr>
        <xdr:cNvPr id="2" name="TextBox 1">
          <a:extLst>
            <a:ext uri="{FF2B5EF4-FFF2-40B4-BE49-F238E27FC236}">
              <a16:creationId xmlns:a16="http://schemas.microsoft.com/office/drawing/2014/main" id="{15C99843-CAA1-EE33-FDF8-B24A392CABDB}"/>
            </a:ext>
          </a:extLst>
        </xdr:cNvPr>
        <xdr:cNvSpPr txBox="1"/>
      </xdr:nvSpPr>
      <xdr:spPr>
        <a:xfrm>
          <a:off x="9517380" y="457200"/>
          <a:ext cx="5158740" cy="31242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u="sng"/>
            <a:t>Renaming a Named Range in Excel</a:t>
          </a:r>
        </a:p>
        <a:p>
          <a:endParaRPr lang="en-IN" sz="1200" b="1"/>
        </a:p>
        <a:p>
          <a:r>
            <a:rPr lang="en-IN" sz="1200" b="1"/>
            <a:t>✅ 1. Open the Name Manager</a:t>
          </a:r>
        </a:p>
        <a:p>
          <a:pPr marL="171450" indent="-171450">
            <a:buFont typeface="Arial" panose="020B0604020202020204" pitchFamily="34" charset="0"/>
            <a:buChar char="•"/>
          </a:pPr>
          <a:r>
            <a:rPr lang="en-IN" sz="1200"/>
            <a:t>Go to the </a:t>
          </a:r>
          <a:r>
            <a:rPr lang="en-IN" sz="1200" b="1"/>
            <a:t>Formulas</a:t>
          </a:r>
          <a:r>
            <a:rPr lang="en-IN" sz="1200"/>
            <a:t> tab.</a:t>
          </a:r>
        </a:p>
        <a:p>
          <a:pPr marL="171450" indent="-171450">
            <a:buFont typeface="Arial" panose="020B0604020202020204" pitchFamily="34" charset="0"/>
            <a:buChar char="•"/>
          </a:pPr>
          <a:r>
            <a:rPr lang="en-IN" sz="1200"/>
            <a:t>Click </a:t>
          </a:r>
          <a:r>
            <a:rPr lang="en-IN" sz="1200" b="1"/>
            <a:t>Name Manager</a:t>
          </a:r>
          <a:r>
            <a:rPr lang="en-IN" sz="1200"/>
            <a:t>.</a:t>
          </a:r>
        </a:p>
        <a:p>
          <a:r>
            <a:rPr lang="en-IN" sz="1200" b="1"/>
            <a:t>✅ 2. Select the Named Range</a:t>
          </a:r>
        </a:p>
        <a:p>
          <a:pPr marL="171450" indent="-171450">
            <a:buFont typeface="Arial" panose="020B0604020202020204" pitchFamily="34" charset="0"/>
            <a:buChar char="•"/>
          </a:pPr>
          <a:r>
            <a:rPr lang="en-IN" sz="1200"/>
            <a:t>In the </a:t>
          </a:r>
          <a:r>
            <a:rPr lang="en-IN" sz="1200" b="1"/>
            <a:t>Name Manager</a:t>
          </a:r>
          <a:r>
            <a:rPr lang="en-IN" sz="1200"/>
            <a:t> window, find the range name you want to rename.</a:t>
          </a:r>
        </a:p>
        <a:p>
          <a:pPr marL="171450" indent="-171450">
            <a:buFont typeface="Arial" panose="020B0604020202020204" pitchFamily="34" charset="0"/>
            <a:buChar char="•"/>
          </a:pPr>
          <a:r>
            <a:rPr lang="en-IN" sz="1200"/>
            <a:t>Click on it.</a:t>
          </a:r>
        </a:p>
        <a:p>
          <a:r>
            <a:rPr lang="en-IN" sz="1200" b="1"/>
            <a:t>✅ 3. Click Edit</a:t>
          </a:r>
        </a:p>
        <a:p>
          <a:pPr marL="171450" indent="-171450">
            <a:buFont typeface="Arial" panose="020B0604020202020204" pitchFamily="34" charset="0"/>
            <a:buChar char="•"/>
          </a:pPr>
          <a:r>
            <a:rPr lang="en-IN" sz="1200"/>
            <a:t>Click the </a:t>
          </a:r>
          <a:r>
            <a:rPr lang="en-IN" sz="1200" b="1"/>
            <a:t>Edit</a:t>
          </a:r>
          <a:r>
            <a:rPr lang="en-IN" sz="1200"/>
            <a:t> button in the Name Manager window.</a:t>
          </a:r>
        </a:p>
        <a:p>
          <a:pPr marL="171450" indent="-171450">
            <a:buFont typeface="Arial" panose="020B0604020202020204" pitchFamily="34" charset="0"/>
            <a:buChar char="•"/>
          </a:pPr>
          <a:r>
            <a:rPr lang="en-IN" sz="1200"/>
            <a:t>In the </a:t>
          </a:r>
          <a:r>
            <a:rPr lang="en-IN" sz="1200" b="1"/>
            <a:t>Edit Name</a:t>
          </a:r>
          <a:r>
            <a:rPr lang="en-IN" sz="1200"/>
            <a:t> dialog, change the </a:t>
          </a:r>
          <a:r>
            <a:rPr lang="en-IN" sz="1200" b="1"/>
            <a:t>Name</a:t>
          </a:r>
          <a:r>
            <a:rPr lang="en-IN" sz="1200"/>
            <a:t> to whatever you want.</a:t>
          </a:r>
        </a:p>
        <a:p>
          <a:pPr marL="171450" indent="-171450">
            <a:buFont typeface="Arial" panose="020B0604020202020204" pitchFamily="34" charset="0"/>
            <a:buChar char="•"/>
          </a:pPr>
          <a:r>
            <a:rPr lang="en-IN" sz="1200"/>
            <a:t>Click </a:t>
          </a:r>
          <a:r>
            <a:rPr lang="en-IN" sz="1200" b="1"/>
            <a:t>OK</a:t>
          </a:r>
          <a:r>
            <a:rPr lang="en-IN" sz="1200"/>
            <a:t>.</a:t>
          </a:r>
        </a:p>
        <a:p>
          <a:r>
            <a:rPr lang="en-IN" sz="1200" b="1"/>
            <a:t>✅ 4. Close the Name Manager</a:t>
          </a:r>
        </a:p>
        <a:p>
          <a:pPr marL="171450" indent="-171450">
            <a:buFont typeface="Arial" panose="020B0604020202020204" pitchFamily="34" charset="0"/>
            <a:buChar char="•"/>
          </a:pPr>
          <a:r>
            <a:rPr lang="en-IN" sz="1200"/>
            <a:t>Click </a:t>
          </a:r>
          <a:r>
            <a:rPr lang="en-IN" sz="1200" b="1"/>
            <a:t>Close</a:t>
          </a:r>
          <a:r>
            <a:rPr lang="en-IN" sz="1200"/>
            <a:t> to save the changes.</a:t>
          </a:r>
        </a:p>
        <a:p>
          <a:endParaRPr lang="en-IN"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02.141073842591" createdVersion="8" refreshedVersion="8" minRefreshableVersion="3" recordCount="14" xr:uid="{20BB8519-8254-4F46-9A78-A05847DB0AAD}">
  <cacheSource type="worksheet">
    <worksheetSource name="MyDynamicTableRange"/>
  </cacheSource>
  <cacheFields count="4">
    <cacheField name="Zone" numFmtId="0">
      <sharedItems/>
    </cacheField>
    <cacheField name="Customer Type" numFmtId="0">
      <sharedItems count="6">
        <s v="Cash"/>
        <s v="Online"/>
        <s v="Credit"/>
        <s v="Debit"/>
        <s v="singh"/>
        <s v="row"/>
      </sharedItems>
    </cacheField>
    <cacheField name="Revenue" numFmtId="0">
      <sharedItems containsSemiMixedTypes="0" containsString="0" containsNumber="1" containsInteger="1" minValue="10" maxValue="6566"/>
    </cacheField>
    <cacheField name="new column" numFmtId="0">
      <sharedItems containsString="0" containsBlank="1" containsNumber="1" containsInteger="1" minValue="10"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02.141078125002" createdVersion="8" refreshedVersion="8" minRefreshableVersion="3" recordCount="365" xr:uid="{D0857B5D-2129-4B61-A017-7923A357BF79}">
  <cacheSource type="worksheet">
    <worksheetSource ref="A1:I366" sheet="raw_data"/>
  </cacheSource>
  <cacheFields count="14">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11"/>
    </cacheField>
    <cacheField name="Customer Name" numFmtId="0">
      <sharedItems count="21">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haredItems>
    </cacheField>
    <cacheField name="Country" numFmtId="0">
      <sharedItems count="7">
        <s v="Austria"/>
        <s v="Germany"/>
        <s v="Denmark"/>
        <s v="Spain"/>
        <s v="India"/>
        <s v="France"/>
        <s v="Belgium"/>
      </sharedItems>
      <fieldGroup par="9"/>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Country2" numFmtId="0" databaseField="0">
      <fieldGroup base="3">
        <discretePr count="7">
          <x v="1"/>
          <x v="0"/>
          <x v="1"/>
          <x v="0"/>
          <x v="0"/>
          <x v="1"/>
          <x v="1"/>
        </discretePr>
        <groupItems count="2">
          <s v="Group2"/>
          <s v="Group1"/>
        </groupItems>
      </fieldGroup>
    </cacheField>
    <cacheField name="Months (Order Date)" numFmtId="0" databaseField="0">
      <fieldGroup base="1">
        <rangePr groupBy="months" startDate="2018-01-01T00:00:00" endDate="2019-01-01T00:00:00"/>
        <groupItems count="14">
          <s v="&lt;01-01-2018"/>
          <s v="Jan"/>
          <s v="Feb"/>
          <s v="Mar"/>
          <s v="Apr"/>
          <s v="May"/>
          <s v="Jun"/>
          <s v="Jul"/>
          <s v="Aug"/>
          <s v="Sep"/>
          <s v="Oct"/>
          <s v="Nov"/>
          <s v="Dec"/>
          <s v="&gt;01-01-2019"/>
        </groupItems>
      </fieldGroup>
    </cacheField>
    <cacheField name="Quarters (Order Date)" numFmtId="0" databaseField="0">
      <fieldGroup base="1">
        <rangePr groupBy="quarters" startDate="2018-01-01T00:00:00" endDate="2019-01-01T00:00:00"/>
        <groupItems count="6">
          <s v="&lt;01-01-2018"/>
          <s v="Qtr1"/>
          <s v="Qtr2"/>
          <s v="Qtr3"/>
          <s v="Qtr4"/>
          <s v="&gt;01-01-2019"/>
        </groupItems>
      </fieldGroup>
    </cacheField>
    <cacheField name="incentive" numFmtId="0" formula="Sales*1%" databaseField="0"/>
    <cacheField name="conditional incentive" numFmtId="0" formula="IF(Sales&gt;=60000,Sales*2%, IF(Sales&gt;=50000,Sales*1%,Sales*0%) )"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02.141080671296" createdVersion="8" refreshedVersion="8" minRefreshableVersion="3" recordCount="365" xr:uid="{4ECB1B36-152B-4255-AF2C-C6A1576DE57E}">
  <cacheSource type="worksheet">
    <worksheetSource ref="B1:I366" sheet="raw_data"/>
  </cacheSource>
  <cacheFields count="8">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204190318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02.141081365742" createdVersion="8" refreshedVersion="8" minRefreshableVersion="3" recordCount="17" xr:uid="{97F351E3-76FB-490A-957F-BF7C01E4BEFA}">
  <cacheSource type="worksheet">
    <worksheetSource ref="A5:D22" sheet="calculated-items"/>
  </cacheSource>
  <cacheFields count="4">
    <cacheField name="Month" numFmtId="0">
      <sharedItems count="3">
        <s v="January"/>
        <s v="February"/>
        <s v="March"/>
      </sharedItems>
    </cacheField>
    <cacheField name="Type" numFmtId="0">
      <sharedItems/>
    </cacheField>
    <cacheField name="Credit/Debit" numFmtId="0">
      <sharedItems count="3">
        <s v="Credit"/>
        <s v="Debit"/>
        <s v="Debit % of Total(debit+credit)" f="1"/>
      </sharedItems>
    </cacheField>
    <cacheField name="Amount" numFmtId="0">
      <sharedItems containsSemiMixedTypes="0" containsString="0" containsNumber="1" containsInteger="1" minValue="2530" maxValue="3862"/>
    </cacheField>
  </cacheFields>
  <calculatedItems count="1">
    <calculatedItem formula="IF('Credit/Debit'[Debit]=0, 0,'Credit/Debit'[Debit]/('Credit/Debit'[Debit]+'Credit/Debit'[Credit]))">
      <pivotArea cacheIndex="1" outline="0" fieldPosition="0">
        <references count="1">
          <reference field="2" count="1">
            <x v="2"/>
          </reference>
        </references>
      </pivotArea>
    </calculatedItem>
  </calculatedItem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02.141081712965" createdVersion="8" refreshedVersion="8" minRefreshableVersion="3" recordCount="20" xr:uid="{F7CB5888-10B1-4D85-8A0B-A8157CD1F284}">
  <cacheSource type="worksheet">
    <worksheetSource ref="A27:C47" sheet="calculated-items"/>
  </cacheSource>
  <cacheFields count="3">
    <cacheField name="id" numFmtId="0">
      <sharedItems containsSemiMixedTypes="0" containsString="0" containsNumber="1" containsInteger="1" minValue="1" maxValue="20"/>
    </cacheField>
    <cacheField name="indian states" numFmtId="0">
      <sharedItems count="18">
        <s v="Maharashtra"/>
        <s v="Kerala"/>
        <s v="Bihar"/>
        <s v="Gujarat"/>
        <s v="Tamil Nadu"/>
        <s v="Assam"/>
        <s v="Rajasthan"/>
        <s v="Karnataka"/>
        <s v="West Bengal"/>
        <s v="Uttar Pradesh"/>
        <s v="Odisha"/>
        <s v="Telangana"/>
        <s v="Madhya Pradesh"/>
        <s v="Jharkhand"/>
        <s v="Andhra Pradesh"/>
        <s v="North" f="1"/>
        <s v="East" f="1"/>
        <s v="South" f="1"/>
      </sharedItems>
    </cacheField>
    <cacheField name="sales" numFmtId="0">
      <sharedItems containsSemiMixedTypes="0" containsString="0" containsNumber="1" containsInteger="1" minValue="2345" maxValue="8976"/>
    </cacheField>
  </cacheFields>
  <calculatedItems count="3">
    <calculatedItem formula="'indian states'['Uttar Pradesh']+'indian states'[Gujarat]+'indian states'['Madhya Pradesh']+'indian states'[Rajasthan]">
      <pivotArea cacheIndex="1" outline="0" fieldPosition="0">
        <references count="1">
          <reference field="1" count="1">
            <x v="15"/>
          </reference>
        </references>
      </pivotArea>
    </calculatedItem>
    <calculatedItem formula="'indian states'[Assam]+'indian states'[Bihar]+'indian states'[Jharkhand]+'indian states'['West Bengal']+'indian states'[Odisha]">
      <pivotArea cacheIndex="1" outline="0" fieldPosition="0">
        <references count="1">
          <reference field="1" count="1">
            <x v="16"/>
          </reference>
        </references>
      </pivotArea>
    </calculatedItem>
    <calculatedItem formula="'indian states'['Andhra Pradesh']+'indian states'[Karnataka]+'indian states'[Kerala]+'indian states'[Maharashtra]+'indian states'['Tamil Nadu']+'indian states'[Telangana]">
      <pivotArea cacheIndex="1" outline="0" fieldPosition="0">
        <references count="1">
          <reference field="1" count="1">
            <x v="17"/>
          </reference>
        </references>
      </pivotArea>
    </calculatedItem>
  </calculatedItem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02.141082175927" createdVersion="8" refreshedVersion="8" minRefreshableVersion="3" recordCount="7" xr:uid="{36A67984-BE8F-4818-8410-28FAF9F90712}">
  <cacheSource type="worksheet">
    <worksheetSource ref="A4:C11" sheet="dynamic-pivot-table"/>
  </cacheSource>
  <cacheFields count="3">
    <cacheField name="Zone" numFmtId="0">
      <sharedItems/>
    </cacheField>
    <cacheField name="Customer Type" numFmtId="0">
      <sharedItems containsBlank="1" count="5">
        <s v="Cash"/>
        <s v="Online"/>
        <s v="Credit" u="1"/>
        <s v="Debit" u="1"/>
        <m u="1"/>
      </sharedItems>
    </cacheField>
    <cacheField name="Revenue" numFmtId="0">
      <sharedItems containsSemiMixedTypes="0" containsString="0" containsNumber="1" containsInteger="1" minValue="2750" maxValue="330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02.154686689813" createdVersion="8" refreshedVersion="8" minRefreshableVersion="3" recordCount="500" xr:uid="{8F693688-C964-4504-87B5-14DC876475B7}">
  <cacheSource type="worksheet">
    <worksheetSource ref="A3:H503" sheet="GetPivotData-formula"/>
  </cacheSource>
  <cacheFields count="8">
    <cacheField name="ORDER ID" numFmtId="0">
      <sharedItems/>
    </cacheField>
    <cacheField name="BRAND" numFmtId="0">
      <sharedItems count="10">
        <s v="Fila"/>
        <s v="Asics"/>
        <s v="Adidas"/>
        <s v="New Balance"/>
        <s v="Puma"/>
        <s v="Skechers"/>
        <s v="Converse"/>
        <s v="Nike"/>
        <s v="Under Armour"/>
        <s v="Reebok"/>
      </sharedItems>
    </cacheField>
    <cacheField name="MONTH" numFmtId="0">
      <sharedItems count="12">
        <s v="June"/>
        <s v="May"/>
        <s v="December"/>
        <s v="October"/>
        <s v="April"/>
        <s v="January"/>
        <s v="July"/>
        <s v="February"/>
        <s v="November"/>
        <s v="March"/>
        <s v="September"/>
        <s v="August"/>
      </sharedItems>
    </cacheField>
    <cacheField name="Region" numFmtId="0">
      <sharedItems/>
    </cacheField>
    <cacheField name="STATE" numFmtId="0">
      <sharedItems/>
    </cacheField>
    <cacheField name="CITY" numFmtId="0">
      <sharedItems/>
    </cacheField>
    <cacheField name="QTY" numFmtId="0">
      <sharedItems containsSemiMixedTypes="0" containsString="0" containsNumber="1" containsInteger="1" minValue="1" maxValue="10"/>
    </cacheField>
    <cacheField name="AMT" numFmtId="0">
      <sharedItems containsSemiMixedTypes="0" containsString="0" containsNumber="1" minValue="20.010000000000002" maxValue="299.5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01.517132523149" createdVersion="8" refreshedVersion="8" minRefreshableVersion="3" recordCount="63" xr:uid="{3C3B2763-7C03-452F-BD6C-2376233F9ECB}">
  <cacheSource type="worksheet">
    <worksheetSource ref="A1:I64" sheet="raw_data"/>
  </cacheSource>
  <cacheFields count="9">
    <cacheField name="Order ID" numFmtId="0">
      <sharedItems/>
    </cacheField>
    <cacheField name="Order Date" numFmtId="14">
      <sharedItems containsSemiMixedTypes="0" containsNonDate="0" containsDate="1" containsString="0" minDate="2018-01-01T00:00:00" maxDate="2018-03-05T00:00:00"/>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691704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South"/>
    <x v="0"/>
    <n v="2838"/>
    <n v="10"/>
  </r>
  <r>
    <s v="East"/>
    <x v="1"/>
    <n v="3035"/>
    <n v="10"/>
  </r>
  <r>
    <s v="South"/>
    <x v="1"/>
    <n v="3048"/>
    <n v="20"/>
  </r>
  <r>
    <s v="East"/>
    <x v="0"/>
    <n v="2750"/>
    <n v="20"/>
  </r>
  <r>
    <s v="North"/>
    <x v="1"/>
    <n v="3305"/>
    <m/>
  </r>
  <r>
    <s v="West"/>
    <x v="0"/>
    <n v="3116"/>
    <m/>
  </r>
  <r>
    <s v="South"/>
    <x v="1"/>
    <n v="3048"/>
    <m/>
  </r>
  <r>
    <s v="East"/>
    <x v="0"/>
    <n v="2750"/>
    <m/>
  </r>
  <r>
    <s v="North"/>
    <x v="1"/>
    <n v="3305"/>
    <m/>
  </r>
  <r>
    <s v="West"/>
    <x v="0"/>
    <n v="3116"/>
    <m/>
  </r>
  <r>
    <s v="East"/>
    <x v="2"/>
    <n v="6565"/>
    <m/>
  </r>
  <r>
    <s v="East"/>
    <x v="3"/>
    <n v="6566"/>
    <m/>
  </r>
  <r>
    <s v="rohit"/>
    <x v="4"/>
    <n v="10"/>
    <m/>
  </r>
  <r>
    <s v="new"/>
    <x v="5"/>
    <n v="2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x v="0"/>
    <x v="0"/>
    <x v="0"/>
    <s v="Vienna"/>
    <x v="0"/>
    <n v="2934"/>
    <n v="1819"/>
  </r>
  <r>
    <s v="KL-2018-5607032"/>
    <x v="1"/>
    <x v="1"/>
    <x v="0"/>
    <x v="0"/>
    <s v="Vienna"/>
    <x v="0"/>
    <n v="4354"/>
    <n v="2787"/>
  </r>
  <r>
    <s v="KL-2018-5607033"/>
    <x v="2"/>
    <x v="2"/>
    <x v="0"/>
    <x v="0"/>
    <s v="Vienna"/>
    <x v="0"/>
    <n v="2102"/>
    <n v="1534"/>
  </r>
  <r>
    <s v="KL-2018-5607034"/>
    <x v="3"/>
    <x v="3"/>
    <x v="1"/>
    <x v="1"/>
    <s v="Langen"/>
    <x v="0"/>
    <n v="3261"/>
    <n v="2446"/>
  </r>
  <r>
    <s v="KL-2018-5607035"/>
    <x v="4"/>
    <x v="4"/>
    <x v="1"/>
    <x v="1"/>
    <s v="Langen"/>
    <x v="0"/>
    <n v="2577"/>
    <n v="1907"/>
  </r>
  <r>
    <s v="KL-2018-5607036"/>
    <x v="5"/>
    <x v="5"/>
    <x v="1"/>
    <x v="1"/>
    <s v="Langen"/>
    <x v="0"/>
    <n v="3131"/>
    <n v="1973"/>
  </r>
  <r>
    <s v="KL-2018-5607037"/>
    <x v="6"/>
    <x v="6"/>
    <x v="1"/>
    <x v="1"/>
    <s v="Langen"/>
    <x v="0"/>
    <n v="2683"/>
    <n v="1798"/>
  </r>
  <r>
    <s v="KL-2018-5607038"/>
    <x v="7"/>
    <x v="7"/>
    <x v="1"/>
    <x v="1"/>
    <s v="Langen"/>
    <x v="0"/>
    <n v="2613"/>
    <n v="1751"/>
  </r>
  <r>
    <s v="KL-2018-5607039"/>
    <x v="8"/>
    <x v="8"/>
    <x v="2"/>
    <x v="2"/>
    <s v="Copenhagen"/>
    <x v="1"/>
    <n v="4076"/>
    <n v="2609"/>
  </r>
  <r>
    <s v="KL-2018-5607040"/>
    <x v="9"/>
    <x v="9"/>
    <x v="3"/>
    <x v="3"/>
    <s v="Gandia"/>
    <x v="2"/>
    <n v="4400"/>
    <n v="3432"/>
  </r>
  <r>
    <s v="KL-2018-5607041"/>
    <x v="10"/>
    <x v="10"/>
    <x v="2"/>
    <x v="4"/>
    <s v="Esbjerg"/>
    <x v="1"/>
    <n v="2466"/>
    <n v="1603"/>
  </r>
  <r>
    <s v="KL-2018-5607042"/>
    <x v="11"/>
    <x v="11"/>
    <x v="4"/>
    <x v="5"/>
    <s v="Mumbai"/>
    <x v="2"/>
    <n v="2137"/>
    <n v="1325"/>
  </r>
  <r>
    <s v="KL-2018-5607043"/>
    <x v="12"/>
    <x v="12"/>
    <x v="4"/>
    <x v="6"/>
    <s v="Patna"/>
    <x v="2"/>
    <n v="4216"/>
    <n v="3162"/>
  </r>
  <r>
    <s v="KL-2018-5607044"/>
    <x v="13"/>
    <x v="13"/>
    <x v="4"/>
    <x v="6"/>
    <s v="Patna"/>
    <x v="2"/>
    <n v="3165"/>
    <n v="2310"/>
  </r>
  <r>
    <s v="KL-2018-5607045"/>
    <x v="14"/>
    <x v="14"/>
    <x v="5"/>
    <x v="7"/>
    <s v="Villiers-sur-Marne"/>
    <x v="0"/>
    <n v="3263"/>
    <n v="2545"/>
  </r>
  <r>
    <s v="KL-2018-5607046"/>
    <x v="15"/>
    <x v="15"/>
    <x v="1"/>
    <x v="8"/>
    <s v="Bielefeld"/>
    <x v="0"/>
    <n v="2946"/>
    <n v="2210"/>
  </r>
  <r>
    <s v="KL-2018-5607047"/>
    <x v="16"/>
    <x v="16"/>
    <x v="6"/>
    <x v="9"/>
    <s v="Leuven"/>
    <x v="0"/>
    <n v="2989"/>
    <n v="2212"/>
  </r>
  <r>
    <s v="KL-2018-5607048"/>
    <x v="17"/>
    <x v="17"/>
    <x v="6"/>
    <x v="9"/>
    <s v="Leuven"/>
    <x v="0"/>
    <n v="3463"/>
    <n v="2770"/>
  </r>
  <r>
    <s v="KL-2018-5607049"/>
    <x v="18"/>
    <x v="18"/>
    <x v="4"/>
    <x v="5"/>
    <s v="Pune"/>
    <x v="2"/>
    <n v="2677"/>
    <n v="2088"/>
  </r>
  <r>
    <s v="KL-2018-5607050"/>
    <x v="19"/>
    <x v="19"/>
    <x v="4"/>
    <x v="5"/>
    <s v="Pune"/>
    <x v="2"/>
    <n v="2966"/>
    <n v="1928"/>
  </r>
  <r>
    <s v="KL-2018-5607051"/>
    <x v="20"/>
    <x v="20"/>
    <x v="4"/>
    <x v="5"/>
    <s v="Pune"/>
    <x v="2"/>
    <n v="2106"/>
    <n v="1516"/>
  </r>
  <r>
    <s v="KL-2018-5607031"/>
    <x v="21"/>
    <x v="0"/>
    <x v="0"/>
    <x v="0"/>
    <s v="Vienna"/>
    <x v="0"/>
    <n v="3664"/>
    <n v="2272"/>
  </r>
  <r>
    <s v="KL-2018-5607032"/>
    <x v="22"/>
    <x v="1"/>
    <x v="0"/>
    <x v="0"/>
    <s v="Vienna"/>
    <x v="0"/>
    <n v="3069"/>
    <n v="2240"/>
  </r>
  <r>
    <s v="KL-2018-5607033"/>
    <x v="23"/>
    <x v="2"/>
    <x v="0"/>
    <x v="0"/>
    <s v="Vienna"/>
    <x v="0"/>
    <n v="3755"/>
    <n v="2516"/>
  </r>
  <r>
    <s v="KL-2018-5607034"/>
    <x v="24"/>
    <x v="3"/>
    <x v="1"/>
    <x v="1"/>
    <s v="Langen"/>
    <x v="0"/>
    <n v="3215"/>
    <n v="2058"/>
  </r>
  <r>
    <s v="KL-2018-5607035"/>
    <x v="25"/>
    <x v="4"/>
    <x v="1"/>
    <x v="1"/>
    <s v="Langen"/>
    <x v="0"/>
    <n v="3685"/>
    <n v="2543"/>
  </r>
  <r>
    <s v="KL-2018-5607036"/>
    <x v="26"/>
    <x v="5"/>
    <x v="1"/>
    <x v="1"/>
    <s v="Langen"/>
    <x v="0"/>
    <n v="4015"/>
    <n v="2730"/>
  </r>
  <r>
    <s v="KL-2018-5607037"/>
    <x v="27"/>
    <x v="6"/>
    <x v="1"/>
    <x v="1"/>
    <s v="Langen"/>
    <x v="0"/>
    <n v="2517"/>
    <n v="1661"/>
  </r>
  <r>
    <s v="KL-2018-5607038"/>
    <x v="28"/>
    <x v="7"/>
    <x v="1"/>
    <x v="1"/>
    <s v="Langen"/>
    <x v="0"/>
    <n v="2598"/>
    <n v="1793"/>
  </r>
  <r>
    <s v="KL-2018-5607039"/>
    <x v="29"/>
    <x v="8"/>
    <x v="2"/>
    <x v="2"/>
    <s v="Copenhagen"/>
    <x v="1"/>
    <n v="3513"/>
    <n v="2740"/>
  </r>
  <r>
    <s v="KL-2018-5607040"/>
    <x v="30"/>
    <x v="9"/>
    <x v="3"/>
    <x v="3"/>
    <s v="Gandia"/>
    <x v="2"/>
    <n v="2247"/>
    <n v="1775"/>
  </r>
  <r>
    <s v="KL-2018-5607041"/>
    <x v="31"/>
    <x v="10"/>
    <x v="2"/>
    <x v="4"/>
    <s v="Esbjerg"/>
    <x v="1"/>
    <n v="2878"/>
    <n v="1784"/>
  </r>
  <r>
    <s v="KL-2018-5607042"/>
    <x v="32"/>
    <x v="11"/>
    <x v="4"/>
    <x v="5"/>
    <s v="Mumbai"/>
    <x v="2"/>
    <n v="3425"/>
    <n v="2706"/>
  </r>
  <r>
    <s v="KL-2018-5607043"/>
    <x v="33"/>
    <x v="12"/>
    <x v="4"/>
    <x v="6"/>
    <s v="Patna"/>
    <x v="2"/>
    <n v="2865"/>
    <n v="2091"/>
  </r>
  <r>
    <s v="KL-2018-5607044"/>
    <x v="34"/>
    <x v="13"/>
    <x v="4"/>
    <x v="6"/>
    <s v="Patna"/>
    <x v="2"/>
    <n v="2393"/>
    <n v="1723"/>
  </r>
  <r>
    <s v="KL-2018-5607045"/>
    <x v="35"/>
    <x v="14"/>
    <x v="5"/>
    <x v="7"/>
    <s v="Villiers-sur-Marne"/>
    <x v="0"/>
    <n v="3149"/>
    <n v="2299"/>
  </r>
  <r>
    <s v="KL-2018-5607046"/>
    <x v="36"/>
    <x v="15"/>
    <x v="1"/>
    <x v="8"/>
    <s v="Bielefeld"/>
    <x v="0"/>
    <n v="3277"/>
    <n v="2130"/>
  </r>
  <r>
    <s v="KL-2018-5607047"/>
    <x v="37"/>
    <x v="16"/>
    <x v="6"/>
    <x v="9"/>
    <s v="Leuven"/>
    <x v="0"/>
    <n v="2713"/>
    <n v="1682"/>
  </r>
  <r>
    <s v="KL-2018-5607048"/>
    <x v="38"/>
    <x v="17"/>
    <x v="6"/>
    <x v="9"/>
    <s v="Leuven"/>
    <x v="0"/>
    <n v="3381"/>
    <n v="2231"/>
  </r>
  <r>
    <s v="KL-2018-5607049"/>
    <x v="39"/>
    <x v="18"/>
    <x v="4"/>
    <x v="5"/>
    <s v="Pune"/>
    <x v="2"/>
    <n v="2545"/>
    <n v="2011"/>
  </r>
  <r>
    <s v="KL-2018-5607050"/>
    <x v="40"/>
    <x v="19"/>
    <x v="4"/>
    <x v="5"/>
    <s v="Pune"/>
    <x v="2"/>
    <n v="4473"/>
    <n v="2729"/>
  </r>
  <r>
    <s v="KL-2018-5607051"/>
    <x v="41"/>
    <x v="20"/>
    <x v="4"/>
    <x v="5"/>
    <s v="Pune"/>
    <x v="2"/>
    <n v="3332"/>
    <n v="2132"/>
  </r>
  <r>
    <s v="KL-2018-5607031"/>
    <x v="42"/>
    <x v="0"/>
    <x v="0"/>
    <x v="0"/>
    <s v="Vienna"/>
    <x v="0"/>
    <n v="2283"/>
    <n v="1438"/>
  </r>
  <r>
    <s v="KL-2018-5607032"/>
    <x v="43"/>
    <x v="1"/>
    <x v="0"/>
    <x v="0"/>
    <s v="Vienna"/>
    <x v="0"/>
    <n v="2696"/>
    <n v="1833"/>
  </r>
  <r>
    <s v="KL-2018-5607033"/>
    <x v="44"/>
    <x v="2"/>
    <x v="0"/>
    <x v="0"/>
    <s v="Vienna"/>
    <x v="0"/>
    <n v="4061"/>
    <n v="3127"/>
  </r>
  <r>
    <s v="KL-2018-5607034"/>
    <x v="45"/>
    <x v="3"/>
    <x v="1"/>
    <x v="1"/>
    <s v="Langen"/>
    <x v="0"/>
    <n v="2382"/>
    <n v="1548"/>
  </r>
  <r>
    <s v="KL-2018-5607035"/>
    <x v="46"/>
    <x v="4"/>
    <x v="1"/>
    <x v="1"/>
    <s v="Langen"/>
    <x v="0"/>
    <n v="4336"/>
    <n v="2602"/>
  </r>
  <r>
    <s v="KL-2018-5607036"/>
    <x v="47"/>
    <x v="5"/>
    <x v="1"/>
    <x v="1"/>
    <s v="Langen"/>
    <x v="0"/>
    <n v="2602"/>
    <n v="2004"/>
  </r>
  <r>
    <s v="KL-2018-5607037"/>
    <x v="48"/>
    <x v="6"/>
    <x v="1"/>
    <x v="1"/>
    <s v="Langen"/>
    <x v="0"/>
    <n v="3094"/>
    <n v="2073"/>
  </r>
  <r>
    <s v="KL-2018-5607038"/>
    <x v="49"/>
    <x v="7"/>
    <x v="1"/>
    <x v="1"/>
    <s v="Langen"/>
    <x v="0"/>
    <n v="3510"/>
    <n v="2141"/>
  </r>
  <r>
    <s v="KL-2018-5607039"/>
    <x v="50"/>
    <x v="8"/>
    <x v="2"/>
    <x v="2"/>
    <s v="Copenhagen"/>
    <x v="1"/>
    <n v="2134"/>
    <n v="1536"/>
  </r>
  <r>
    <s v="KL-2018-5607040"/>
    <x v="51"/>
    <x v="9"/>
    <x v="3"/>
    <x v="3"/>
    <s v="Gandia"/>
    <x v="2"/>
    <n v="2661"/>
    <n v="2022"/>
  </r>
  <r>
    <s v="KL-2018-5607041"/>
    <x v="52"/>
    <x v="10"/>
    <x v="2"/>
    <x v="4"/>
    <s v="Esbjerg"/>
    <x v="1"/>
    <n v="2901"/>
    <n v="1741"/>
  </r>
  <r>
    <s v="KL-2018-5607042"/>
    <x v="53"/>
    <x v="11"/>
    <x v="4"/>
    <x v="5"/>
    <s v="Mumbai"/>
    <x v="2"/>
    <n v="3784"/>
    <n v="2384"/>
  </r>
  <r>
    <s v="KL-2018-5607043"/>
    <x v="54"/>
    <x v="12"/>
    <x v="4"/>
    <x v="6"/>
    <s v="Patna"/>
    <x v="2"/>
    <n v="3135"/>
    <n v="2445"/>
  </r>
  <r>
    <s v="KL-2018-5607044"/>
    <x v="55"/>
    <x v="13"/>
    <x v="4"/>
    <x v="6"/>
    <s v="Patna"/>
    <x v="2"/>
    <n v="2802"/>
    <n v="1877"/>
  </r>
  <r>
    <s v="KL-2018-5607045"/>
    <x v="56"/>
    <x v="14"/>
    <x v="5"/>
    <x v="7"/>
    <s v="Villiers-sur-Marne"/>
    <x v="0"/>
    <n v="3486"/>
    <n v="2789"/>
  </r>
  <r>
    <s v="KL-2018-5607046"/>
    <x v="57"/>
    <x v="15"/>
    <x v="1"/>
    <x v="8"/>
    <s v="Bielefeld"/>
    <x v="0"/>
    <n v="3422"/>
    <n v="2122"/>
  </r>
  <r>
    <s v="KL-2018-5607047"/>
    <x v="58"/>
    <x v="16"/>
    <x v="6"/>
    <x v="9"/>
    <s v="Leuven"/>
    <x v="0"/>
    <n v="2842"/>
    <n v="2188"/>
  </r>
  <r>
    <s v="KL-2018-5607048"/>
    <x v="59"/>
    <x v="17"/>
    <x v="6"/>
    <x v="9"/>
    <s v="Leuven"/>
    <x v="0"/>
    <n v="3846"/>
    <n v="2500"/>
  </r>
  <r>
    <s v="KL-2018-5607049"/>
    <x v="60"/>
    <x v="18"/>
    <x v="4"/>
    <x v="5"/>
    <s v="Pune"/>
    <x v="2"/>
    <n v="3131"/>
    <n v="2380"/>
  </r>
  <r>
    <s v="KL-2018-5607050"/>
    <x v="61"/>
    <x v="19"/>
    <x v="4"/>
    <x v="5"/>
    <s v="Pune"/>
    <x v="2"/>
    <n v="3825"/>
    <n v="2333"/>
  </r>
  <r>
    <s v="KL-2018-5607051"/>
    <x v="62"/>
    <x v="20"/>
    <x v="4"/>
    <x v="5"/>
    <s v="Pune"/>
    <x v="2"/>
    <n v="4362"/>
    <n v="3446"/>
  </r>
  <r>
    <s v="KL-2018-5607052"/>
    <x v="63"/>
    <x v="0"/>
    <x v="0"/>
    <x v="0"/>
    <s v="Vienna"/>
    <x v="0"/>
    <n v="2934"/>
    <n v="1819"/>
  </r>
  <r>
    <s v="KL-2018-5607053"/>
    <x v="64"/>
    <x v="1"/>
    <x v="0"/>
    <x v="0"/>
    <s v="Vienna"/>
    <x v="0"/>
    <n v="4354"/>
    <n v="2787"/>
  </r>
  <r>
    <s v="KL-2018-5607054"/>
    <x v="65"/>
    <x v="2"/>
    <x v="0"/>
    <x v="0"/>
    <s v="Vienna"/>
    <x v="0"/>
    <n v="2102"/>
    <n v="1534"/>
  </r>
  <r>
    <s v="KL-2018-5607055"/>
    <x v="66"/>
    <x v="3"/>
    <x v="1"/>
    <x v="1"/>
    <s v="Langen"/>
    <x v="0"/>
    <n v="3261"/>
    <n v="2446"/>
  </r>
  <r>
    <s v="KL-2018-5607056"/>
    <x v="67"/>
    <x v="4"/>
    <x v="1"/>
    <x v="1"/>
    <s v="Langen"/>
    <x v="0"/>
    <n v="2577"/>
    <n v="1907"/>
  </r>
  <r>
    <s v="KL-2018-5607057"/>
    <x v="68"/>
    <x v="5"/>
    <x v="1"/>
    <x v="1"/>
    <s v="Langen"/>
    <x v="0"/>
    <n v="3131"/>
    <n v="1973"/>
  </r>
  <r>
    <s v="KL-2018-5607058"/>
    <x v="69"/>
    <x v="6"/>
    <x v="1"/>
    <x v="1"/>
    <s v="Langen"/>
    <x v="0"/>
    <n v="2683"/>
    <n v="1798"/>
  </r>
  <r>
    <s v="KL-2018-5607059"/>
    <x v="70"/>
    <x v="7"/>
    <x v="1"/>
    <x v="1"/>
    <s v="Langen"/>
    <x v="0"/>
    <n v="2613"/>
    <n v="1751"/>
  </r>
  <r>
    <s v="KL-2018-5607060"/>
    <x v="71"/>
    <x v="8"/>
    <x v="2"/>
    <x v="2"/>
    <s v="Copenhagen"/>
    <x v="1"/>
    <n v="4076"/>
    <n v="2609"/>
  </r>
  <r>
    <s v="KL-2018-5607061"/>
    <x v="72"/>
    <x v="9"/>
    <x v="3"/>
    <x v="3"/>
    <s v="Gandia"/>
    <x v="2"/>
    <n v="4400"/>
    <n v="3432"/>
  </r>
  <r>
    <s v="KL-2018-5607062"/>
    <x v="73"/>
    <x v="10"/>
    <x v="2"/>
    <x v="4"/>
    <s v="Esbjerg"/>
    <x v="1"/>
    <n v="2466"/>
    <n v="1603"/>
  </r>
  <r>
    <s v="KL-2018-5607063"/>
    <x v="74"/>
    <x v="11"/>
    <x v="4"/>
    <x v="5"/>
    <s v="Mumbai"/>
    <x v="2"/>
    <n v="2137"/>
    <n v="1325"/>
  </r>
  <r>
    <s v="KL-2018-5607064"/>
    <x v="75"/>
    <x v="12"/>
    <x v="4"/>
    <x v="6"/>
    <s v="Patna"/>
    <x v="2"/>
    <n v="4216"/>
    <n v="3162"/>
  </r>
  <r>
    <s v="KL-2018-5607065"/>
    <x v="76"/>
    <x v="13"/>
    <x v="4"/>
    <x v="6"/>
    <s v="Patna"/>
    <x v="2"/>
    <n v="3165"/>
    <n v="2310"/>
  </r>
  <r>
    <s v="KL-2018-5607066"/>
    <x v="77"/>
    <x v="14"/>
    <x v="5"/>
    <x v="7"/>
    <s v="Villiers-sur-Marne"/>
    <x v="0"/>
    <n v="3263"/>
    <n v="2545"/>
  </r>
  <r>
    <s v="KL-2018-5607067"/>
    <x v="78"/>
    <x v="15"/>
    <x v="1"/>
    <x v="8"/>
    <s v="Bielefeld"/>
    <x v="0"/>
    <n v="2946"/>
    <n v="2210"/>
  </r>
  <r>
    <s v="KL-2018-5607068"/>
    <x v="79"/>
    <x v="16"/>
    <x v="6"/>
    <x v="9"/>
    <s v="Leuven"/>
    <x v="0"/>
    <n v="2989"/>
    <n v="2212"/>
  </r>
  <r>
    <s v="KL-2018-5607069"/>
    <x v="80"/>
    <x v="17"/>
    <x v="6"/>
    <x v="9"/>
    <s v="Leuven"/>
    <x v="0"/>
    <n v="3463"/>
    <n v="2770"/>
  </r>
  <r>
    <s v="KL-2018-5607070"/>
    <x v="81"/>
    <x v="18"/>
    <x v="4"/>
    <x v="5"/>
    <s v="Pune"/>
    <x v="2"/>
    <n v="2677"/>
    <n v="2088"/>
  </r>
  <r>
    <s v="KL-2018-5607071"/>
    <x v="82"/>
    <x v="19"/>
    <x v="4"/>
    <x v="5"/>
    <s v="Pune"/>
    <x v="2"/>
    <n v="2966"/>
    <n v="1928"/>
  </r>
  <r>
    <s v="KL-2018-5607072"/>
    <x v="83"/>
    <x v="20"/>
    <x v="4"/>
    <x v="5"/>
    <s v="Pune"/>
    <x v="2"/>
    <n v="2106"/>
    <n v="1516"/>
  </r>
  <r>
    <s v="KL-2018-5607073"/>
    <x v="84"/>
    <x v="0"/>
    <x v="0"/>
    <x v="0"/>
    <s v="Vienna"/>
    <x v="0"/>
    <n v="3664"/>
    <n v="2272"/>
  </r>
  <r>
    <s v="KL-2018-5607074"/>
    <x v="85"/>
    <x v="1"/>
    <x v="0"/>
    <x v="0"/>
    <s v="Vienna"/>
    <x v="0"/>
    <n v="3069"/>
    <n v="2240"/>
  </r>
  <r>
    <s v="KL-2018-5607075"/>
    <x v="86"/>
    <x v="2"/>
    <x v="0"/>
    <x v="0"/>
    <s v="Vienna"/>
    <x v="0"/>
    <n v="3755"/>
    <n v="2516"/>
  </r>
  <r>
    <s v="KL-2018-5607076"/>
    <x v="87"/>
    <x v="3"/>
    <x v="1"/>
    <x v="1"/>
    <s v="Langen"/>
    <x v="0"/>
    <n v="3215"/>
    <n v="2058"/>
  </r>
  <r>
    <s v="KL-2018-5607077"/>
    <x v="88"/>
    <x v="4"/>
    <x v="1"/>
    <x v="1"/>
    <s v="Langen"/>
    <x v="0"/>
    <n v="3685"/>
    <n v="2543"/>
  </r>
  <r>
    <s v="KL-2018-5607078"/>
    <x v="89"/>
    <x v="5"/>
    <x v="1"/>
    <x v="1"/>
    <s v="Langen"/>
    <x v="0"/>
    <n v="4015"/>
    <n v="2730"/>
  </r>
  <r>
    <s v="KL-2018-5607079"/>
    <x v="90"/>
    <x v="6"/>
    <x v="1"/>
    <x v="1"/>
    <s v="Langen"/>
    <x v="0"/>
    <n v="2517"/>
    <n v="1661"/>
  </r>
  <r>
    <s v="KL-2018-5607080"/>
    <x v="91"/>
    <x v="7"/>
    <x v="1"/>
    <x v="1"/>
    <s v="Langen"/>
    <x v="0"/>
    <n v="2598"/>
    <n v="1793"/>
  </r>
  <r>
    <s v="KL-2018-5607081"/>
    <x v="92"/>
    <x v="8"/>
    <x v="2"/>
    <x v="2"/>
    <s v="Copenhagen"/>
    <x v="1"/>
    <n v="3513"/>
    <n v="2740"/>
  </r>
  <r>
    <s v="KL-2018-5607082"/>
    <x v="93"/>
    <x v="9"/>
    <x v="3"/>
    <x v="3"/>
    <s v="Gandia"/>
    <x v="2"/>
    <n v="2247"/>
    <n v="1775"/>
  </r>
  <r>
    <s v="KL-2018-5607083"/>
    <x v="94"/>
    <x v="10"/>
    <x v="2"/>
    <x v="4"/>
    <s v="Esbjerg"/>
    <x v="1"/>
    <n v="2878"/>
    <n v="1784"/>
  </r>
  <r>
    <s v="KL-2018-5607084"/>
    <x v="95"/>
    <x v="11"/>
    <x v="4"/>
    <x v="5"/>
    <s v="Mumbai"/>
    <x v="2"/>
    <n v="3425"/>
    <n v="2706"/>
  </r>
  <r>
    <s v="KL-2018-5607085"/>
    <x v="96"/>
    <x v="12"/>
    <x v="4"/>
    <x v="6"/>
    <s v="Patna"/>
    <x v="2"/>
    <n v="2865"/>
    <n v="2091"/>
  </r>
  <r>
    <s v="KL-2018-5607086"/>
    <x v="97"/>
    <x v="13"/>
    <x v="4"/>
    <x v="6"/>
    <s v="Patna"/>
    <x v="2"/>
    <n v="2393"/>
    <n v="1723"/>
  </r>
  <r>
    <s v="KL-2018-5607087"/>
    <x v="98"/>
    <x v="14"/>
    <x v="5"/>
    <x v="7"/>
    <s v="Villiers-sur-Marne"/>
    <x v="0"/>
    <n v="3149"/>
    <n v="2299"/>
  </r>
  <r>
    <s v="KL-2018-5607088"/>
    <x v="99"/>
    <x v="15"/>
    <x v="1"/>
    <x v="8"/>
    <s v="Bielefeld"/>
    <x v="0"/>
    <n v="3277"/>
    <n v="2130"/>
  </r>
  <r>
    <s v="KL-2018-5607089"/>
    <x v="100"/>
    <x v="16"/>
    <x v="6"/>
    <x v="9"/>
    <s v="Leuven"/>
    <x v="0"/>
    <n v="2713"/>
    <n v="1682"/>
  </r>
  <r>
    <s v="KL-2018-5607090"/>
    <x v="101"/>
    <x v="17"/>
    <x v="6"/>
    <x v="9"/>
    <s v="Leuven"/>
    <x v="0"/>
    <n v="3381"/>
    <n v="2231"/>
  </r>
  <r>
    <s v="KL-2018-5607091"/>
    <x v="102"/>
    <x v="18"/>
    <x v="4"/>
    <x v="5"/>
    <s v="Pune"/>
    <x v="2"/>
    <n v="2545"/>
    <n v="2011"/>
  </r>
  <r>
    <s v="KL-2018-5607092"/>
    <x v="103"/>
    <x v="19"/>
    <x v="4"/>
    <x v="5"/>
    <s v="Pune"/>
    <x v="2"/>
    <n v="4473"/>
    <n v="2729"/>
  </r>
  <r>
    <s v="KL-2018-5607093"/>
    <x v="104"/>
    <x v="20"/>
    <x v="4"/>
    <x v="5"/>
    <s v="Pune"/>
    <x v="2"/>
    <n v="3332"/>
    <n v="2132"/>
  </r>
  <r>
    <s v="KL-2018-5607094"/>
    <x v="105"/>
    <x v="0"/>
    <x v="0"/>
    <x v="0"/>
    <s v="Vienna"/>
    <x v="0"/>
    <n v="2283"/>
    <n v="1438"/>
  </r>
  <r>
    <s v="KL-2018-5607095"/>
    <x v="106"/>
    <x v="1"/>
    <x v="0"/>
    <x v="0"/>
    <s v="Vienna"/>
    <x v="0"/>
    <n v="2696"/>
    <n v="1833"/>
  </r>
  <r>
    <s v="KL-2018-5607096"/>
    <x v="107"/>
    <x v="2"/>
    <x v="0"/>
    <x v="0"/>
    <s v="Vienna"/>
    <x v="0"/>
    <n v="4061"/>
    <n v="3127"/>
  </r>
  <r>
    <s v="KL-2018-5607097"/>
    <x v="108"/>
    <x v="3"/>
    <x v="1"/>
    <x v="1"/>
    <s v="Langen"/>
    <x v="0"/>
    <n v="2382"/>
    <n v="1548"/>
  </r>
  <r>
    <s v="KL-2018-5607098"/>
    <x v="109"/>
    <x v="4"/>
    <x v="1"/>
    <x v="1"/>
    <s v="Langen"/>
    <x v="0"/>
    <n v="4336"/>
    <n v="2602"/>
  </r>
  <r>
    <s v="KL-2018-5607099"/>
    <x v="110"/>
    <x v="5"/>
    <x v="1"/>
    <x v="1"/>
    <s v="Langen"/>
    <x v="0"/>
    <n v="2602"/>
    <n v="2004"/>
  </r>
  <r>
    <s v="KL-2018-5607100"/>
    <x v="111"/>
    <x v="6"/>
    <x v="1"/>
    <x v="1"/>
    <s v="Langen"/>
    <x v="0"/>
    <n v="3094"/>
    <n v="2073"/>
  </r>
  <r>
    <s v="KL-2018-5607101"/>
    <x v="112"/>
    <x v="7"/>
    <x v="1"/>
    <x v="1"/>
    <s v="Langen"/>
    <x v="0"/>
    <n v="3510"/>
    <n v="2141"/>
  </r>
  <r>
    <s v="KL-2018-5607102"/>
    <x v="113"/>
    <x v="8"/>
    <x v="2"/>
    <x v="2"/>
    <s v="Copenhagen"/>
    <x v="1"/>
    <n v="2134"/>
    <n v="1536"/>
  </r>
  <r>
    <s v="KL-2018-5607103"/>
    <x v="114"/>
    <x v="9"/>
    <x v="3"/>
    <x v="3"/>
    <s v="Gandia"/>
    <x v="2"/>
    <n v="2661"/>
    <n v="2022"/>
  </r>
  <r>
    <s v="KL-2018-5607104"/>
    <x v="115"/>
    <x v="10"/>
    <x v="2"/>
    <x v="4"/>
    <s v="Esbjerg"/>
    <x v="1"/>
    <n v="2901"/>
    <n v="1741"/>
  </r>
  <r>
    <s v="KL-2018-5607105"/>
    <x v="116"/>
    <x v="11"/>
    <x v="4"/>
    <x v="5"/>
    <s v="Mumbai"/>
    <x v="2"/>
    <n v="3784"/>
    <n v="2384"/>
  </r>
  <r>
    <s v="KL-2018-5607106"/>
    <x v="117"/>
    <x v="12"/>
    <x v="4"/>
    <x v="6"/>
    <s v="Patna"/>
    <x v="2"/>
    <n v="3135"/>
    <n v="2445"/>
  </r>
  <r>
    <s v="KL-2018-5607107"/>
    <x v="118"/>
    <x v="13"/>
    <x v="4"/>
    <x v="6"/>
    <s v="Patna"/>
    <x v="2"/>
    <n v="2802"/>
    <n v="1877"/>
  </r>
  <r>
    <s v="KL-2018-5607108"/>
    <x v="119"/>
    <x v="14"/>
    <x v="5"/>
    <x v="7"/>
    <s v="Villiers-sur-Marne"/>
    <x v="0"/>
    <n v="3486"/>
    <n v="2789"/>
  </r>
  <r>
    <s v="KL-2018-5607109"/>
    <x v="120"/>
    <x v="15"/>
    <x v="1"/>
    <x v="8"/>
    <s v="Bielefeld"/>
    <x v="0"/>
    <n v="3422"/>
    <n v="2122"/>
  </r>
  <r>
    <s v="KL-2018-5607110"/>
    <x v="121"/>
    <x v="16"/>
    <x v="6"/>
    <x v="9"/>
    <s v="Leuven"/>
    <x v="0"/>
    <n v="2842"/>
    <n v="2188"/>
  </r>
  <r>
    <s v="KL-2018-5607111"/>
    <x v="122"/>
    <x v="17"/>
    <x v="6"/>
    <x v="9"/>
    <s v="Leuven"/>
    <x v="0"/>
    <n v="3846"/>
    <n v="2500"/>
  </r>
  <r>
    <s v="KL-2018-5607112"/>
    <x v="123"/>
    <x v="18"/>
    <x v="4"/>
    <x v="5"/>
    <s v="Pune"/>
    <x v="2"/>
    <n v="3131"/>
    <n v="2380"/>
  </r>
  <r>
    <s v="KL-2018-5607113"/>
    <x v="124"/>
    <x v="19"/>
    <x v="4"/>
    <x v="5"/>
    <s v="Pune"/>
    <x v="2"/>
    <n v="3825"/>
    <n v="2333"/>
  </r>
  <r>
    <s v="KL-2018-5607114"/>
    <x v="125"/>
    <x v="20"/>
    <x v="4"/>
    <x v="5"/>
    <s v="Pune"/>
    <x v="2"/>
    <n v="4362"/>
    <n v="3446"/>
  </r>
  <r>
    <s v="KL-2018-5607115"/>
    <x v="126"/>
    <x v="0"/>
    <x v="0"/>
    <x v="0"/>
    <s v="Vienna"/>
    <x v="0"/>
    <n v="2934"/>
    <n v="1819"/>
  </r>
  <r>
    <s v="KL-2018-5607116"/>
    <x v="127"/>
    <x v="1"/>
    <x v="0"/>
    <x v="0"/>
    <s v="Vienna"/>
    <x v="0"/>
    <n v="4354"/>
    <n v="2787"/>
  </r>
  <r>
    <s v="KL-2018-5607117"/>
    <x v="128"/>
    <x v="2"/>
    <x v="0"/>
    <x v="0"/>
    <s v="Vienna"/>
    <x v="0"/>
    <n v="2102"/>
    <n v="1534"/>
  </r>
  <r>
    <s v="KL-2018-5607118"/>
    <x v="129"/>
    <x v="3"/>
    <x v="1"/>
    <x v="1"/>
    <s v="Langen"/>
    <x v="0"/>
    <n v="3261"/>
    <n v="2446"/>
  </r>
  <r>
    <s v="KL-2018-5607119"/>
    <x v="130"/>
    <x v="4"/>
    <x v="1"/>
    <x v="1"/>
    <s v="Langen"/>
    <x v="0"/>
    <n v="2577"/>
    <n v="1907"/>
  </r>
  <r>
    <s v="KL-2018-5607120"/>
    <x v="131"/>
    <x v="5"/>
    <x v="1"/>
    <x v="1"/>
    <s v="Langen"/>
    <x v="0"/>
    <n v="3131"/>
    <n v="1973"/>
  </r>
  <r>
    <s v="KL-2018-5607121"/>
    <x v="132"/>
    <x v="6"/>
    <x v="1"/>
    <x v="1"/>
    <s v="Langen"/>
    <x v="0"/>
    <n v="2683"/>
    <n v="1798"/>
  </r>
  <r>
    <s v="KL-2018-5607122"/>
    <x v="133"/>
    <x v="7"/>
    <x v="1"/>
    <x v="1"/>
    <s v="Langen"/>
    <x v="0"/>
    <n v="2613"/>
    <n v="1751"/>
  </r>
  <r>
    <s v="KL-2018-5607123"/>
    <x v="134"/>
    <x v="8"/>
    <x v="2"/>
    <x v="2"/>
    <s v="Copenhagen"/>
    <x v="1"/>
    <n v="4076"/>
    <n v="2609"/>
  </r>
  <r>
    <s v="KL-2018-5607124"/>
    <x v="135"/>
    <x v="9"/>
    <x v="3"/>
    <x v="3"/>
    <s v="Gandia"/>
    <x v="2"/>
    <n v="4400"/>
    <n v="3432"/>
  </r>
  <r>
    <s v="KL-2018-5607125"/>
    <x v="136"/>
    <x v="10"/>
    <x v="2"/>
    <x v="4"/>
    <s v="Esbjerg"/>
    <x v="1"/>
    <n v="2466"/>
    <n v="1603"/>
  </r>
  <r>
    <s v="KL-2018-5607126"/>
    <x v="137"/>
    <x v="11"/>
    <x v="4"/>
    <x v="5"/>
    <s v="Mumbai"/>
    <x v="2"/>
    <n v="2137"/>
    <n v="1325"/>
  </r>
  <r>
    <s v="KL-2018-5607127"/>
    <x v="138"/>
    <x v="12"/>
    <x v="4"/>
    <x v="6"/>
    <s v="Patna"/>
    <x v="2"/>
    <n v="4216"/>
    <n v="3162"/>
  </r>
  <r>
    <s v="KL-2018-5607128"/>
    <x v="139"/>
    <x v="13"/>
    <x v="4"/>
    <x v="6"/>
    <s v="Patna"/>
    <x v="2"/>
    <n v="3165"/>
    <n v="2310"/>
  </r>
  <r>
    <s v="KL-2018-5607129"/>
    <x v="140"/>
    <x v="14"/>
    <x v="5"/>
    <x v="7"/>
    <s v="Villiers-sur-Marne"/>
    <x v="0"/>
    <n v="3263"/>
    <n v="2545"/>
  </r>
  <r>
    <s v="KL-2018-5607130"/>
    <x v="141"/>
    <x v="15"/>
    <x v="1"/>
    <x v="8"/>
    <s v="Bielefeld"/>
    <x v="0"/>
    <n v="2946"/>
    <n v="2210"/>
  </r>
  <r>
    <s v="KL-2018-5607131"/>
    <x v="142"/>
    <x v="16"/>
    <x v="6"/>
    <x v="9"/>
    <s v="Leuven"/>
    <x v="0"/>
    <n v="2989"/>
    <n v="2212"/>
  </r>
  <r>
    <s v="KL-2018-5607132"/>
    <x v="143"/>
    <x v="17"/>
    <x v="6"/>
    <x v="9"/>
    <s v="Leuven"/>
    <x v="0"/>
    <n v="3463"/>
    <n v="2770"/>
  </r>
  <r>
    <s v="KL-2018-5607133"/>
    <x v="144"/>
    <x v="18"/>
    <x v="4"/>
    <x v="5"/>
    <s v="Pune"/>
    <x v="2"/>
    <n v="2677"/>
    <n v="2088"/>
  </r>
  <r>
    <s v="KL-2018-5607134"/>
    <x v="145"/>
    <x v="19"/>
    <x v="4"/>
    <x v="5"/>
    <s v="Pune"/>
    <x v="2"/>
    <n v="2966"/>
    <n v="1928"/>
  </r>
  <r>
    <s v="KL-2018-5607135"/>
    <x v="146"/>
    <x v="20"/>
    <x v="4"/>
    <x v="5"/>
    <s v="Pune"/>
    <x v="2"/>
    <n v="2106"/>
    <n v="1516"/>
  </r>
  <r>
    <s v="KL-2018-5607136"/>
    <x v="147"/>
    <x v="0"/>
    <x v="0"/>
    <x v="0"/>
    <s v="Vienna"/>
    <x v="0"/>
    <n v="3664"/>
    <n v="2272"/>
  </r>
  <r>
    <s v="KL-2018-5607137"/>
    <x v="148"/>
    <x v="1"/>
    <x v="0"/>
    <x v="0"/>
    <s v="Vienna"/>
    <x v="0"/>
    <n v="3069"/>
    <n v="2240"/>
  </r>
  <r>
    <s v="KL-2018-5607138"/>
    <x v="149"/>
    <x v="2"/>
    <x v="0"/>
    <x v="0"/>
    <s v="Vienna"/>
    <x v="0"/>
    <n v="3755"/>
    <n v="2516"/>
  </r>
  <r>
    <s v="KL-2018-5607139"/>
    <x v="150"/>
    <x v="3"/>
    <x v="1"/>
    <x v="1"/>
    <s v="Langen"/>
    <x v="0"/>
    <n v="3215"/>
    <n v="2058"/>
  </r>
  <r>
    <s v="KL-2018-5607140"/>
    <x v="151"/>
    <x v="4"/>
    <x v="1"/>
    <x v="1"/>
    <s v="Langen"/>
    <x v="0"/>
    <n v="3685"/>
    <n v="2543"/>
  </r>
  <r>
    <s v="KL-2018-5607141"/>
    <x v="152"/>
    <x v="5"/>
    <x v="1"/>
    <x v="1"/>
    <s v="Langen"/>
    <x v="0"/>
    <n v="4015"/>
    <n v="2730"/>
  </r>
  <r>
    <s v="KL-2018-5607142"/>
    <x v="153"/>
    <x v="6"/>
    <x v="1"/>
    <x v="1"/>
    <s v="Langen"/>
    <x v="0"/>
    <n v="2517"/>
    <n v="1661"/>
  </r>
  <r>
    <s v="KL-2018-5607143"/>
    <x v="154"/>
    <x v="7"/>
    <x v="1"/>
    <x v="1"/>
    <s v="Langen"/>
    <x v="0"/>
    <n v="2598"/>
    <n v="1793"/>
  </r>
  <r>
    <s v="KL-2018-5607144"/>
    <x v="155"/>
    <x v="8"/>
    <x v="2"/>
    <x v="2"/>
    <s v="Copenhagen"/>
    <x v="1"/>
    <n v="3513"/>
    <n v="2740"/>
  </r>
  <r>
    <s v="KL-2018-5607145"/>
    <x v="156"/>
    <x v="9"/>
    <x v="3"/>
    <x v="3"/>
    <s v="Gandia"/>
    <x v="2"/>
    <n v="2247"/>
    <n v="1775"/>
  </r>
  <r>
    <s v="KL-2018-5607146"/>
    <x v="157"/>
    <x v="10"/>
    <x v="2"/>
    <x v="4"/>
    <s v="Esbjerg"/>
    <x v="1"/>
    <n v="2878"/>
    <n v="1784"/>
  </r>
  <r>
    <s v="KL-2018-5607147"/>
    <x v="158"/>
    <x v="11"/>
    <x v="4"/>
    <x v="5"/>
    <s v="Mumbai"/>
    <x v="2"/>
    <n v="3425"/>
    <n v="2706"/>
  </r>
  <r>
    <s v="KL-2018-5607148"/>
    <x v="159"/>
    <x v="12"/>
    <x v="4"/>
    <x v="6"/>
    <s v="Patna"/>
    <x v="2"/>
    <n v="2865"/>
    <n v="2091"/>
  </r>
  <r>
    <s v="KL-2018-5607149"/>
    <x v="160"/>
    <x v="13"/>
    <x v="4"/>
    <x v="6"/>
    <s v="Patna"/>
    <x v="2"/>
    <n v="2393"/>
    <n v="1723"/>
  </r>
  <r>
    <s v="KL-2018-5607150"/>
    <x v="161"/>
    <x v="14"/>
    <x v="5"/>
    <x v="7"/>
    <s v="Villiers-sur-Marne"/>
    <x v="0"/>
    <n v="3149"/>
    <n v="2299"/>
  </r>
  <r>
    <s v="KL-2018-5607151"/>
    <x v="162"/>
    <x v="15"/>
    <x v="1"/>
    <x v="8"/>
    <s v="Bielefeld"/>
    <x v="0"/>
    <n v="3277"/>
    <n v="2130"/>
  </r>
  <r>
    <s v="KL-2018-5607152"/>
    <x v="163"/>
    <x v="16"/>
    <x v="6"/>
    <x v="9"/>
    <s v="Leuven"/>
    <x v="0"/>
    <n v="2713"/>
    <n v="1682"/>
  </r>
  <r>
    <s v="KL-2018-5607153"/>
    <x v="164"/>
    <x v="17"/>
    <x v="6"/>
    <x v="9"/>
    <s v="Leuven"/>
    <x v="0"/>
    <n v="3381"/>
    <n v="2231"/>
  </r>
  <r>
    <s v="KL-2018-5607154"/>
    <x v="165"/>
    <x v="18"/>
    <x v="4"/>
    <x v="5"/>
    <s v="Pune"/>
    <x v="2"/>
    <n v="2545"/>
    <n v="2011"/>
  </r>
  <r>
    <s v="KL-2018-5607155"/>
    <x v="166"/>
    <x v="19"/>
    <x v="4"/>
    <x v="5"/>
    <s v="Pune"/>
    <x v="2"/>
    <n v="4473"/>
    <n v="2729"/>
  </r>
  <r>
    <s v="KL-2018-5607156"/>
    <x v="167"/>
    <x v="20"/>
    <x v="4"/>
    <x v="5"/>
    <s v="Pune"/>
    <x v="2"/>
    <n v="3332"/>
    <n v="2132"/>
  </r>
  <r>
    <s v="KL-2018-5607157"/>
    <x v="168"/>
    <x v="0"/>
    <x v="0"/>
    <x v="0"/>
    <s v="Vienna"/>
    <x v="0"/>
    <n v="2283"/>
    <n v="1438"/>
  </r>
  <r>
    <s v="KL-2018-5607158"/>
    <x v="169"/>
    <x v="1"/>
    <x v="0"/>
    <x v="0"/>
    <s v="Vienna"/>
    <x v="0"/>
    <n v="2696"/>
    <n v="1833"/>
  </r>
  <r>
    <s v="KL-2018-5607159"/>
    <x v="170"/>
    <x v="2"/>
    <x v="0"/>
    <x v="0"/>
    <s v="Vienna"/>
    <x v="0"/>
    <n v="4061"/>
    <n v="3127"/>
  </r>
  <r>
    <s v="KL-2018-5607160"/>
    <x v="171"/>
    <x v="3"/>
    <x v="1"/>
    <x v="1"/>
    <s v="Langen"/>
    <x v="0"/>
    <n v="2382"/>
    <n v="1548"/>
  </r>
  <r>
    <s v="KL-2018-5607161"/>
    <x v="172"/>
    <x v="4"/>
    <x v="1"/>
    <x v="1"/>
    <s v="Langen"/>
    <x v="0"/>
    <n v="4336"/>
    <n v="2602"/>
  </r>
  <r>
    <s v="KL-2018-5607162"/>
    <x v="173"/>
    <x v="5"/>
    <x v="1"/>
    <x v="1"/>
    <s v="Langen"/>
    <x v="0"/>
    <n v="2602"/>
    <n v="2004"/>
  </r>
  <r>
    <s v="KL-2018-5607163"/>
    <x v="174"/>
    <x v="6"/>
    <x v="1"/>
    <x v="1"/>
    <s v="Langen"/>
    <x v="0"/>
    <n v="3094"/>
    <n v="2073"/>
  </r>
  <r>
    <s v="KL-2018-5607164"/>
    <x v="175"/>
    <x v="7"/>
    <x v="1"/>
    <x v="1"/>
    <s v="Langen"/>
    <x v="0"/>
    <n v="3510"/>
    <n v="2141"/>
  </r>
  <r>
    <s v="KL-2018-5607165"/>
    <x v="176"/>
    <x v="8"/>
    <x v="2"/>
    <x v="2"/>
    <s v="Copenhagen"/>
    <x v="1"/>
    <n v="2134"/>
    <n v="1536"/>
  </r>
  <r>
    <s v="KL-2018-5607166"/>
    <x v="177"/>
    <x v="9"/>
    <x v="3"/>
    <x v="3"/>
    <s v="Gandia"/>
    <x v="2"/>
    <n v="2661"/>
    <n v="2022"/>
  </r>
  <r>
    <s v="KL-2018-5607167"/>
    <x v="178"/>
    <x v="10"/>
    <x v="2"/>
    <x v="4"/>
    <s v="Esbjerg"/>
    <x v="1"/>
    <n v="2901"/>
    <n v="1741"/>
  </r>
  <r>
    <s v="KL-2018-5607168"/>
    <x v="179"/>
    <x v="11"/>
    <x v="4"/>
    <x v="5"/>
    <s v="Mumbai"/>
    <x v="2"/>
    <n v="3784"/>
    <n v="2384"/>
  </r>
  <r>
    <s v="KL-2018-5607169"/>
    <x v="180"/>
    <x v="12"/>
    <x v="4"/>
    <x v="6"/>
    <s v="Patna"/>
    <x v="2"/>
    <n v="3135"/>
    <n v="2445"/>
  </r>
  <r>
    <s v="KL-2018-5607170"/>
    <x v="181"/>
    <x v="13"/>
    <x v="4"/>
    <x v="6"/>
    <s v="Patna"/>
    <x v="2"/>
    <n v="2802"/>
    <n v="1877"/>
  </r>
  <r>
    <s v="KL-2018-5607171"/>
    <x v="182"/>
    <x v="14"/>
    <x v="5"/>
    <x v="7"/>
    <s v="Villiers-sur-Marne"/>
    <x v="0"/>
    <n v="3486"/>
    <n v="2789"/>
  </r>
  <r>
    <s v="KL-2018-5607172"/>
    <x v="183"/>
    <x v="15"/>
    <x v="1"/>
    <x v="8"/>
    <s v="Bielefeld"/>
    <x v="0"/>
    <n v="3422"/>
    <n v="2122"/>
  </r>
  <r>
    <s v="KL-2018-5607173"/>
    <x v="184"/>
    <x v="16"/>
    <x v="6"/>
    <x v="9"/>
    <s v="Leuven"/>
    <x v="0"/>
    <n v="2842"/>
    <n v="2188"/>
  </r>
  <r>
    <s v="KL-2018-5607174"/>
    <x v="185"/>
    <x v="17"/>
    <x v="6"/>
    <x v="9"/>
    <s v="Leuven"/>
    <x v="0"/>
    <n v="3846"/>
    <n v="2500"/>
  </r>
  <r>
    <s v="KL-2018-5607175"/>
    <x v="186"/>
    <x v="18"/>
    <x v="4"/>
    <x v="5"/>
    <s v="Pune"/>
    <x v="2"/>
    <n v="3131"/>
    <n v="2380"/>
  </r>
  <r>
    <s v="KL-2018-5607176"/>
    <x v="187"/>
    <x v="19"/>
    <x v="4"/>
    <x v="5"/>
    <s v="Pune"/>
    <x v="2"/>
    <n v="3825"/>
    <n v="2333"/>
  </r>
  <r>
    <s v="KL-2018-5607177"/>
    <x v="188"/>
    <x v="20"/>
    <x v="4"/>
    <x v="5"/>
    <s v="Pune"/>
    <x v="2"/>
    <n v="4362"/>
    <n v="3446"/>
  </r>
  <r>
    <s v="KL-2018-5607178"/>
    <x v="189"/>
    <x v="0"/>
    <x v="0"/>
    <x v="0"/>
    <s v="Vienna"/>
    <x v="0"/>
    <n v="2934"/>
    <n v="1819"/>
  </r>
  <r>
    <s v="KL-2018-5607179"/>
    <x v="190"/>
    <x v="1"/>
    <x v="0"/>
    <x v="0"/>
    <s v="Vienna"/>
    <x v="0"/>
    <n v="4354"/>
    <n v="2787"/>
  </r>
  <r>
    <s v="KL-2018-5607180"/>
    <x v="191"/>
    <x v="2"/>
    <x v="0"/>
    <x v="0"/>
    <s v="Vienna"/>
    <x v="0"/>
    <n v="2102"/>
    <n v="1534"/>
  </r>
  <r>
    <s v="KL-2018-5607181"/>
    <x v="192"/>
    <x v="3"/>
    <x v="1"/>
    <x v="1"/>
    <s v="Langen"/>
    <x v="0"/>
    <n v="3261"/>
    <n v="2446"/>
  </r>
  <r>
    <s v="KL-2018-5607182"/>
    <x v="193"/>
    <x v="4"/>
    <x v="1"/>
    <x v="1"/>
    <s v="Langen"/>
    <x v="0"/>
    <n v="2577"/>
    <n v="1907"/>
  </r>
  <r>
    <s v="KL-2018-5607183"/>
    <x v="194"/>
    <x v="5"/>
    <x v="1"/>
    <x v="1"/>
    <s v="Langen"/>
    <x v="0"/>
    <n v="3131"/>
    <n v="1973"/>
  </r>
  <r>
    <s v="KL-2018-5607184"/>
    <x v="195"/>
    <x v="6"/>
    <x v="1"/>
    <x v="1"/>
    <s v="Langen"/>
    <x v="0"/>
    <n v="2683"/>
    <n v="1798"/>
  </r>
  <r>
    <s v="KL-2018-5607185"/>
    <x v="196"/>
    <x v="7"/>
    <x v="1"/>
    <x v="1"/>
    <s v="Langen"/>
    <x v="0"/>
    <n v="2613"/>
    <n v="1751"/>
  </r>
  <r>
    <s v="KL-2018-5607186"/>
    <x v="197"/>
    <x v="8"/>
    <x v="2"/>
    <x v="2"/>
    <s v="Copenhagen"/>
    <x v="1"/>
    <n v="4076"/>
    <n v="2609"/>
  </r>
  <r>
    <s v="KL-2018-5607187"/>
    <x v="198"/>
    <x v="9"/>
    <x v="3"/>
    <x v="3"/>
    <s v="Gandia"/>
    <x v="2"/>
    <n v="4400"/>
    <n v="3432"/>
  </r>
  <r>
    <s v="KL-2018-5607188"/>
    <x v="199"/>
    <x v="10"/>
    <x v="2"/>
    <x v="4"/>
    <s v="Esbjerg"/>
    <x v="1"/>
    <n v="2466"/>
    <n v="1603"/>
  </r>
  <r>
    <s v="KL-2018-5607189"/>
    <x v="200"/>
    <x v="11"/>
    <x v="4"/>
    <x v="5"/>
    <s v="Mumbai"/>
    <x v="2"/>
    <n v="2137"/>
    <n v="1325"/>
  </r>
  <r>
    <s v="KL-2018-5607190"/>
    <x v="201"/>
    <x v="12"/>
    <x v="4"/>
    <x v="6"/>
    <s v="Patna"/>
    <x v="2"/>
    <n v="4216"/>
    <n v="3162"/>
  </r>
  <r>
    <s v="KL-2018-5607191"/>
    <x v="202"/>
    <x v="13"/>
    <x v="4"/>
    <x v="6"/>
    <s v="Patna"/>
    <x v="2"/>
    <n v="3165"/>
    <n v="2310"/>
  </r>
  <r>
    <s v="KL-2018-5607192"/>
    <x v="203"/>
    <x v="14"/>
    <x v="5"/>
    <x v="7"/>
    <s v="Villiers-sur-Marne"/>
    <x v="0"/>
    <n v="3263"/>
    <n v="2545"/>
  </r>
  <r>
    <s v="KL-2018-5607193"/>
    <x v="204"/>
    <x v="15"/>
    <x v="1"/>
    <x v="8"/>
    <s v="Bielefeld"/>
    <x v="0"/>
    <n v="2946"/>
    <n v="2210"/>
  </r>
  <r>
    <s v="KL-2018-5607194"/>
    <x v="205"/>
    <x v="16"/>
    <x v="6"/>
    <x v="9"/>
    <s v="Leuven"/>
    <x v="0"/>
    <n v="2989"/>
    <n v="2212"/>
  </r>
  <r>
    <s v="KL-2018-5607195"/>
    <x v="206"/>
    <x v="17"/>
    <x v="6"/>
    <x v="9"/>
    <s v="Leuven"/>
    <x v="0"/>
    <n v="3463"/>
    <n v="2770"/>
  </r>
  <r>
    <s v="KL-2018-5607196"/>
    <x v="207"/>
    <x v="18"/>
    <x v="4"/>
    <x v="5"/>
    <s v="Pune"/>
    <x v="2"/>
    <n v="2677"/>
    <n v="2088"/>
  </r>
  <r>
    <s v="KL-2018-5607197"/>
    <x v="208"/>
    <x v="19"/>
    <x v="4"/>
    <x v="5"/>
    <s v="Pune"/>
    <x v="2"/>
    <n v="2966"/>
    <n v="1928"/>
  </r>
  <r>
    <s v="KL-2018-5607198"/>
    <x v="209"/>
    <x v="20"/>
    <x v="4"/>
    <x v="5"/>
    <s v="Pune"/>
    <x v="2"/>
    <n v="2106"/>
    <n v="1516"/>
  </r>
  <r>
    <s v="KL-2018-5607199"/>
    <x v="210"/>
    <x v="0"/>
    <x v="0"/>
    <x v="0"/>
    <s v="Vienna"/>
    <x v="0"/>
    <n v="3664"/>
    <n v="2272"/>
  </r>
  <r>
    <s v="KL-2018-5607200"/>
    <x v="211"/>
    <x v="1"/>
    <x v="0"/>
    <x v="0"/>
    <s v="Vienna"/>
    <x v="0"/>
    <n v="3069"/>
    <n v="2240"/>
  </r>
  <r>
    <s v="KL-2018-5607201"/>
    <x v="212"/>
    <x v="2"/>
    <x v="0"/>
    <x v="0"/>
    <s v="Vienna"/>
    <x v="0"/>
    <n v="3755"/>
    <n v="2516"/>
  </r>
  <r>
    <s v="KL-2018-5607202"/>
    <x v="213"/>
    <x v="3"/>
    <x v="1"/>
    <x v="1"/>
    <s v="Langen"/>
    <x v="0"/>
    <n v="3215"/>
    <n v="2058"/>
  </r>
  <r>
    <s v="KL-2018-5607203"/>
    <x v="214"/>
    <x v="4"/>
    <x v="1"/>
    <x v="1"/>
    <s v="Langen"/>
    <x v="0"/>
    <n v="3685"/>
    <n v="2543"/>
  </r>
  <r>
    <s v="KL-2018-5607204"/>
    <x v="215"/>
    <x v="5"/>
    <x v="1"/>
    <x v="1"/>
    <s v="Langen"/>
    <x v="0"/>
    <n v="4015"/>
    <n v="2730"/>
  </r>
  <r>
    <s v="KL-2018-5607205"/>
    <x v="216"/>
    <x v="6"/>
    <x v="1"/>
    <x v="1"/>
    <s v="Langen"/>
    <x v="0"/>
    <n v="2517"/>
    <n v="1661"/>
  </r>
  <r>
    <s v="KL-2018-5607206"/>
    <x v="217"/>
    <x v="7"/>
    <x v="1"/>
    <x v="1"/>
    <s v="Langen"/>
    <x v="0"/>
    <n v="2598"/>
    <n v="1793"/>
  </r>
  <r>
    <s v="KL-2018-5607207"/>
    <x v="218"/>
    <x v="8"/>
    <x v="2"/>
    <x v="2"/>
    <s v="Copenhagen"/>
    <x v="1"/>
    <n v="3513"/>
    <n v="2740"/>
  </r>
  <r>
    <s v="KL-2018-5607208"/>
    <x v="219"/>
    <x v="9"/>
    <x v="3"/>
    <x v="3"/>
    <s v="Gandia"/>
    <x v="2"/>
    <n v="2247"/>
    <n v="1775"/>
  </r>
  <r>
    <s v="KL-2018-5607209"/>
    <x v="220"/>
    <x v="10"/>
    <x v="2"/>
    <x v="4"/>
    <s v="Esbjerg"/>
    <x v="1"/>
    <n v="2878"/>
    <n v="1784"/>
  </r>
  <r>
    <s v="KL-2018-5607210"/>
    <x v="221"/>
    <x v="11"/>
    <x v="4"/>
    <x v="5"/>
    <s v="Mumbai"/>
    <x v="2"/>
    <n v="3425"/>
    <n v="2706"/>
  </r>
  <r>
    <s v="KL-2018-5607211"/>
    <x v="222"/>
    <x v="12"/>
    <x v="4"/>
    <x v="6"/>
    <s v="Patna"/>
    <x v="2"/>
    <n v="2865"/>
    <n v="2091"/>
  </r>
  <r>
    <s v="KL-2018-5607212"/>
    <x v="223"/>
    <x v="13"/>
    <x v="4"/>
    <x v="6"/>
    <s v="Patna"/>
    <x v="2"/>
    <n v="2393"/>
    <n v="1723"/>
  </r>
  <r>
    <s v="KL-2018-5607213"/>
    <x v="224"/>
    <x v="14"/>
    <x v="5"/>
    <x v="7"/>
    <s v="Villiers-sur-Marne"/>
    <x v="0"/>
    <n v="3149"/>
    <n v="2299"/>
  </r>
  <r>
    <s v="KL-2018-5607214"/>
    <x v="225"/>
    <x v="15"/>
    <x v="1"/>
    <x v="8"/>
    <s v="Bielefeld"/>
    <x v="0"/>
    <n v="3277"/>
    <n v="2130"/>
  </r>
  <r>
    <s v="KL-2018-5607215"/>
    <x v="226"/>
    <x v="16"/>
    <x v="6"/>
    <x v="9"/>
    <s v="Leuven"/>
    <x v="0"/>
    <n v="2713"/>
    <n v="1682"/>
  </r>
  <r>
    <s v="KL-2018-5607216"/>
    <x v="227"/>
    <x v="17"/>
    <x v="6"/>
    <x v="9"/>
    <s v="Leuven"/>
    <x v="0"/>
    <n v="3381"/>
    <n v="2231"/>
  </r>
  <r>
    <s v="KL-2018-5607217"/>
    <x v="228"/>
    <x v="18"/>
    <x v="4"/>
    <x v="5"/>
    <s v="Pune"/>
    <x v="2"/>
    <n v="2545"/>
    <n v="2011"/>
  </r>
  <r>
    <s v="KL-2018-5607218"/>
    <x v="229"/>
    <x v="19"/>
    <x v="4"/>
    <x v="5"/>
    <s v="Pune"/>
    <x v="2"/>
    <n v="4473"/>
    <n v="2729"/>
  </r>
  <r>
    <s v="KL-2018-5607219"/>
    <x v="230"/>
    <x v="20"/>
    <x v="4"/>
    <x v="5"/>
    <s v="Pune"/>
    <x v="2"/>
    <n v="3332"/>
    <n v="2132"/>
  </r>
  <r>
    <s v="KL-2018-5607220"/>
    <x v="231"/>
    <x v="0"/>
    <x v="0"/>
    <x v="0"/>
    <s v="Vienna"/>
    <x v="0"/>
    <n v="2283"/>
    <n v="1438"/>
  </r>
  <r>
    <s v="KL-2018-5607221"/>
    <x v="232"/>
    <x v="1"/>
    <x v="0"/>
    <x v="0"/>
    <s v="Vienna"/>
    <x v="0"/>
    <n v="2696"/>
    <n v="1833"/>
  </r>
  <r>
    <s v="KL-2018-5607222"/>
    <x v="233"/>
    <x v="2"/>
    <x v="0"/>
    <x v="0"/>
    <s v="Vienna"/>
    <x v="0"/>
    <n v="4061"/>
    <n v="3127"/>
  </r>
  <r>
    <s v="KL-2018-5607223"/>
    <x v="234"/>
    <x v="3"/>
    <x v="1"/>
    <x v="1"/>
    <s v="Langen"/>
    <x v="0"/>
    <n v="2382"/>
    <n v="1548"/>
  </r>
  <r>
    <s v="KL-2018-5607224"/>
    <x v="235"/>
    <x v="4"/>
    <x v="1"/>
    <x v="1"/>
    <s v="Langen"/>
    <x v="0"/>
    <n v="4336"/>
    <n v="2602"/>
  </r>
  <r>
    <s v="KL-2018-5607225"/>
    <x v="236"/>
    <x v="5"/>
    <x v="1"/>
    <x v="1"/>
    <s v="Langen"/>
    <x v="0"/>
    <n v="2602"/>
    <n v="2004"/>
  </r>
  <r>
    <s v="KL-2018-5607226"/>
    <x v="237"/>
    <x v="6"/>
    <x v="1"/>
    <x v="1"/>
    <s v="Langen"/>
    <x v="0"/>
    <n v="3094"/>
    <n v="2073"/>
  </r>
  <r>
    <s v="KL-2018-5607227"/>
    <x v="238"/>
    <x v="7"/>
    <x v="1"/>
    <x v="1"/>
    <s v="Langen"/>
    <x v="0"/>
    <n v="3510"/>
    <n v="2141"/>
  </r>
  <r>
    <s v="KL-2018-5607228"/>
    <x v="239"/>
    <x v="8"/>
    <x v="2"/>
    <x v="2"/>
    <s v="Copenhagen"/>
    <x v="1"/>
    <n v="2134"/>
    <n v="1536"/>
  </r>
  <r>
    <s v="KL-2018-5607229"/>
    <x v="240"/>
    <x v="9"/>
    <x v="3"/>
    <x v="3"/>
    <s v="Gandia"/>
    <x v="2"/>
    <n v="2661"/>
    <n v="2022"/>
  </r>
  <r>
    <s v="KL-2018-5607230"/>
    <x v="241"/>
    <x v="10"/>
    <x v="2"/>
    <x v="4"/>
    <s v="Esbjerg"/>
    <x v="1"/>
    <n v="2901"/>
    <n v="1741"/>
  </r>
  <r>
    <s v="KL-2018-5607231"/>
    <x v="242"/>
    <x v="11"/>
    <x v="4"/>
    <x v="5"/>
    <s v="Mumbai"/>
    <x v="2"/>
    <n v="3784"/>
    <n v="2384"/>
  </r>
  <r>
    <s v="KL-2018-5607232"/>
    <x v="243"/>
    <x v="12"/>
    <x v="4"/>
    <x v="6"/>
    <s v="Patna"/>
    <x v="2"/>
    <n v="3135"/>
    <n v="2445"/>
  </r>
  <r>
    <s v="KL-2018-5607233"/>
    <x v="244"/>
    <x v="13"/>
    <x v="4"/>
    <x v="6"/>
    <s v="Patna"/>
    <x v="2"/>
    <n v="2802"/>
    <n v="1877"/>
  </r>
  <r>
    <s v="KL-2018-5607234"/>
    <x v="245"/>
    <x v="14"/>
    <x v="5"/>
    <x v="7"/>
    <s v="Villiers-sur-Marne"/>
    <x v="0"/>
    <n v="3486"/>
    <n v="2789"/>
  </r>
  <r>
    <s v="KL-2018-5607235"/>
    <x v="246"/>
    <x v="15"/>
    <x v="1"/>
    <x v="8"/>
    <s v="Bielefeld"/>
    <x v="0"/>
    <n v="3422"/>
    <n v="2122"/>
  </r>
  <r>
    <s v="KL-2018-5607236"/>
    <x v="247"/>
    <x v="16"/>
    <x v="6"/>
    <x v="9"/>
    <s v="Leuven"/>
    <x v="0"/>
    <n v="2842"/>
    <n v="2188"/>
  </r>
  <r>
    <s v="KL-2018-5607237"/>
    <x v="248"/>
    <x v="17"/>
    <x v="6"/>
    <x v="9"/>
    <s v="Leuven"/>
    <x v="0"/>
    <n v="3846"/>
    <n v="2500"/>
  </r>
  <r>
    <s v="KL-2018-5607238"/>
    <x v="249"/>
    <x v="18"/>
    <x v="4"/>
    <x v="5"/>
    <s v="Pune"/>
    <x v="2"/>
    <n v="3131"/>
    <n v="2380"/>
  </r>
  <r>
    <s v="KL-2018-5607239"/>
    <x v="250"/>
    <x v="19"/>
    <x v="4"/>
    <x v="5"/>
    <s v="Pune"/>
    <x v="2"/>
    <n v="3825"/>
    <n v="2333"/>
  </r>
  <r>
    <s v="KL-2018-5607240"/>
    <x v="251"/>
    <x v="20"/>
    <x v="4"/>
    <x v="5"/>
    <s v="Pune"/>
    <x v="2"/>
    <n v="4362"/>
    <n v="3446"/>
  </r>
  <r>
    <s v="KL-2018-5607241"/>
    <x v="252"/>
    <x v="0"/>
    <x v="0"/>
    <x v="0"/>
    <s v="Vienna"/>
    <x v="0"/>
    <n v="2934"/>
    <n v="1819"/>
  </r>
  <r>
    <s v="KL-2018-5607242"/>
    <x v="253"/>
    <x v="1"/>
    <x v="0"/>
    <x v="0"/>
    <s v="Vienna"/>
    <x v="0"/>
    <n v="4354"/>
    <n v="2787"/>
  </r>
  <r>
    <s v="KL-2018-5607243"/>
    <x v="254"/>
    <x v="2"/>
    <x v="0"/>
    <x v="0"/>
    <s v="Vienna"/>
    <x v="0"/>
    <n v="2102"/>
    <n v="1534"/>
  </r>
  <r>
    <s v="KL-2018-5607244"/>
    <x v="255"/>
    <x v="3"/>
    <x v="1"/>
    <x v="1"/>
    <s v="Langen"/>
    <x v="0"/>
    <n v="3261"/>
    <n v="2446"/>
  </r>
  <r>
    <s v="KL-2018-5607245"/>
    <x v="256"/>
    <x v="4"/>
    <x v="1"/>
    <x v="1"/>
    <s v="Langen"/>
    <x v="0"/>
    <n v="2577"/>
    <n v="1907"/>
  </r>
  <r>
    <s v="KL-2018-5607246"/>
    <x v="257"/>
    <x v="5"/>
    <x v="1"/>
    <x v="1"/>
    <s v="Langen"/>
    <x v="0"/>
    <n v="3131"/>
    <n v="1973"/>
  </r>
  <r>
    <s v="KL-2018-5607247"/>
    <x v="258"/>
    <x v="6"/>
    <x v="1"/>
    <x v="1"/>
    <s v="Langen"/>
    <x v="0"/>
    <n v="2683"/>
    <n v="1798"/>
  </r>
  <r>
    <s v="KL-2018-5607248"/>
    <x v="259"/>
    <x v="7"/>
    <x v="1"/>
    <x v="1"/>
    <s v="Langen"/>
    <x v="0"/>
    <n v="2613"/>
    <n v="1751"/>
  </r>
  <r>
    <s v="KL-2018-5607249"/>
    <x v="260"/>
    <x v="8"/>
    <x v="2"/>
    <x v="2"/>
    <s v="Copenhagen"/>
    <x v="1"/>
    <n v="4076"/>
    <n v="2609"/>
  </r>
  <r>
    <s v="KL-2018-5607250"/>
    <x v="261"/>
    <x v="9"/>
    <x v="3"/>
    <x v="3"/>
    <s v="Gandia"/>
    <x v="2"/>
    <n v="4400"/>
    <n v="3432"/>
  </r>
  <r>
    <s v="KL-2018-5607251"/>
    <x v="262"/>
    <x v="10"/>
    <x v="2"/>
    <x v="4"/>
    <s v="Esbjerg"/>
    <x v="1"/>
    <n v="2466"/>
    <n v="1603"/>
  </r>
  <r>
    <s v="KL-2018-5607252"/>
    <x v="263"/>
    <x v="11"/>
    <x v="4"/>
    <x v="5"/>
    <s v="Mumbai"/>
    <x v="2"/>
    <n v="2137"/>
    <n v="1325"/>
  </r>
  <r>
    <s v="KL-2018-5607253"/>
    <x v="264"/>
    <x v="12"/>
    <x v="4"/>
    <x v="6"/>
    <s v="Patna"/>
    <x v="2"/>
    <n v="4216"/>
    <n v="3162"/>
  </r>
  <r>
    <s v="KL-2018-5607254"/>
    <x v="265"/>
    <x v="13"/>
    <x v="4"/>
    <x v="6"/>
    <s v="Patna"/>
    <x v="2"/>
    <n v="3165"/>
    <n v="2310"/>
  </r>
  <r>
    <s v="KL-2018-5607255"/>
    <x v="266"/>
    <x v="14"/>
    <x v="5"/>
    <x v="7"/>
    <s v="Villiers-sur-Marne"/>
    <x v="0"/>
    <n v="3263"/>
    <n v="2545"/>
  </r>
  <r>
    <s v="KL-2018-5607256"/>
    <x v="267"/>
    <x v="15"/>
    <x v="1"/>
    <x v="8"/>
    <s v="Bielefeld"/>
    <x v="0"/>
    <n v="2946"/>
    <n v="2210"/>
  </r>
  <r>
    <s v="KL-2018-5607257"/>
    <x v="268"/>
    <x v="16"/>
    <x v="6"/>
    <x v="9"/>
    <s v="Leuven"/>
    <x v="0"/>
    <n v="2989"/>
    <n v="2212"/>
  </r>
  <r>
    <s v="KL-2018-5607258"/>
    <x v="269"/>
    <x v="17"/>
    <x v="6"/>
    <x v="9"/>
    <s v="Leuven"/>
    <x v="0"/>
    <n v="3463"/>
    <n v="2770"/>
  </r>
  <r>
    <s v="KL-2018-5607259"/>
    <x v="270"/>
    <x v="18"/>
    <x v="4"/>
    <x v="5"/>
    <s v="Pune"/>
    <x v="2"/>
    <n v="2677"/>
    <n v="2088"/>
  </r>
  <r>
    <s v="KL-2018-5607260"/>
    <x v="271"/>
    <x v="19"/>
    <x v="4"/>
    <x v="5"/>
    <s v="Pune"/>
    <x v="2"/>
    <n v="2966"/>
    <n v="1928"/>
  </r>
  <r>
    <s v="KL-2018-5607261"/>
    <x v="272"/>
    <x v="20"/>
    <x v="4"/>
    <x v="5"/>
    <s v="Pune"/>
    <x v="2"/>
    <n v="2106"/>
    <n v="1516"/>
  </r>
  <r>
    <s v="KL-2018-5607262"/>
    <x v="273"/>
    <x v="0"/>
    <x v="0"/>
    <x v="0"/>
    <s v="Vienna"/>
    <x v="0"/>
    <n v="3664"/>
    <n v="2272"/>
  </r>
  <r>
    <s v="KL-2018-5607263"/>
    <x v="274"/>
    <x v="1"/>
    <x v="0"/>
    <x v="0"/>
    <s v="Vienna"/>
    <x v="0"/>
    <n v="3069"/>
    <n v="2240"/>
  </r>
  <r>
    <s v="KL-2018-5607264"/>
    <x v="275"/>
    <x v="2"/>
    <x v="0"/>
    <x v="0"/>
    <s v="Vienna"/>
    <x v="0"/>
    <n v="3755"/>
    <n v="2516"/>
  </r>
  <r>
    <s v="KL-2018-5607265"/>
    <x v="276"/>
    <x v="3"/>
    <x v="1"/>
    <x v="1"/>
    <s v="Langen"/>
    <x v="0"/>
    <n v="3215"/>
    <n v="2058"/>
  </r>
  <r>
    <s v="KL-2018-5607266"/>
    <x v="277"/>
    <x v="4"/>
    <x v="1"/>
    <x v="1"/>
    <s v="Langen"/>
    <x v="0"/>
    <n v="3685"/>
    <n v="2543"/>
  </r>
  <r>
    <s v="KL-2018-5607267"/>
    <x v="278"/>
    <x v="5"/>
    <x v="1"/>
    <x v="1"/>
    <s v="Langen"/>
    <x v="0"/>
    <n v="4015"/>
    <n v="2730"/>
  </r>
  <r>
    <s v="KL-2018-5607268"/>
    <x v="279"/>
    <x v="6"/>
    <x v="1"/>
    <x v="1"/>
    <s v="Langen"/>
    <x v="0"/>
    <n v="2517"/>
    <n v="1661"/>
  </r>
  <r>
    <s v="KL-2018-5607269"/>
    <x v="280"/>
    <x v="7"/>
    <x v="1"/>
    <x v="1"/>
    <s v="Langen"/>
    <x v="0"/>
    <n v="2598"/>
    <n v="1793"/>
  </r>
  <r>
    <s v="KL-2018-5607270"/>
    <x v="281"/>
    <x v="8"/>
    <x v="2"/>
    <x v="2"/>
    <s v="Copenhagen"/>
    <x v="1"/>
    <n v="3513"/>
    <n v="2740"/>
  </r>
  <r>
    <s v="KL-2018-5607271"/>
    <x v="282"/>
    <x v="9"/>
    <x v="3"/>
    <x v="3"/>
    <s v="Gandia"/>
    <x v="2"/>
    <n v="2247"/>
    <n v="1775"/>
  </r>
  <r>
    <s v="KL-2018-5607272"/>
    <x v="283"/>
    <x v="10"/>
    <x v="2"/>
    <x v="4"/>
    <s v="Esbjerg"/>
    <x v="1"/>
    <n v="2878"/>
    <n v="1784"/>
  </r>
  <r>
    <s v="KL-2018-5607273"/>
    <x v="284"/>
    <x v="11"/>
    <x v="4"/>
    <x v="5"/>
    <s v="Mumbai"/>
    <x v="2"/>
    <n v="3425"/>
    <n v="2706"/>
  </r>
  <r>
    <s v="KL-2018-5607274"/>
    <x v="285"/>
    <x v="12"/>
    <x v="4"/>
    <x v="6"/>
    <s v="Patna"/>
    <x v="2"/>
    <n v="2865"/>
    <n v="2091"/>
  </r>
  <r>
    <s v="KL-2018-5607275"/>
    <x v="286"/>
    <x v="13"/>
    <x v="4"/>
    <x v="6"/>
    <s v="Patna"/>
    <x v="2"/>
    <n v="2393"/>
    <n v="1723"/>
  </r>
  <r>
    <s v="KL-2018-5607276"/>
    <x v="287"/>
    <x v="14"/>
    <x v="5"/>
    <x v="7"/>
    <s v="Villiers-sur-Marne"/>
    <x v="0"/>
    <n v="3149"/>
    <n v="2299"/>
  </r>
  <r>
    <s v="KL-2018-5607277"/>
    <x v="288"/>
    <x v="15"/>
    <x v="1"/>
    <x v="8"/>
    <s v="Bielefeld"/>
    <x v="0"/>
    <n v="3277"/>
    <n v="2130"/>
  </r>
  <r>
    <s v="KL-2018-5607278"/>
    <x v="289"/>
    <x v="16"/>
    <x v="6"/>
    <x v="9"/>
    <s v="Leuven"/>
    <x v="0"/>
    <n v="2713"/>
    <n v="1682"/>
  </r>
  <r>
    <s v="KL-2018-5607279"/>
    <x v="290"/>
    <x v="17"/>
    <x v="6"/>
    <x v="9"/>
    <s v="Leuven"/>
    <x v="0"/>
    <n v="3381"/>
    <n v="2231"/>
  </r>
  <r>
    <s v="KL-2018-5607280"/>
    <x v="291"/>
    <x v="18"/>
    <x v="4"/>
    <x v="5"/>
    <s v="Pune"/>
    <x v="2"/>
    <n v="2545"/>
    <n v="2011"/>
  </r>
  <r>
    <s v="KL-2018-5607281"/>
    <x v="292"/>
    <x v="19"/>
    <x v="4"/>
    <x v="5"/>
    <s v="Pune"/>
    <x v="2"/>
    <n v="4473"/>
    <n v="2729"/>
  </r>
  <r>
    <s v="KL-2018-5607282"/>
    <x v="293"/>
    <x v="20"/>
    <x v="4"/>
    <x v="5"/>
    <s v="Pune"/>
    <x v="2"/>
    <n v="3332"/>
    <n v="2132"/>
  </r>
  <r>
    <s v="KL-2018-5607283"/>
    <x v="294"/>
    <x v="0"/>
    <x v="0"/>
    <x v="0"/>
    <s v="Vienna"/>
    <x v="0"/>
    <n v="2283"/>
    <n v="1438"/>
  </r>
  <r>
    <s v="KL-2018-5607284"/>
    <x v="295"/>
    <x v="1"/>
    <x v="0"/>
    <x v="0"/>
    <s v="Vienna"/>
    <x v="0"/>
    <n v="2696"/>
    <n v="1833"/>
  </r>
  <r>
    <s v="KL-2018-5607285"/>
    <x v="296"/>
    <x v="2"/>
    <x v="0"/>
    <x v="0"/>
    <s v="Vienna"/>
    <x v="0"/>
    <n v="4061"/>
    <n v="3127"/>
  </r>
  <r>
    <s v="KL-2018-5607286"/>
    <x v="297"/>
    <x v="3"/>
    <x v="1"/>
    <x v="1"/>
    <s v="Langen"/>
    <x v="0"/>
    <n v="2382"/>
    <n v="1548"/>
  </r>
  <r>
    <s v="KL-2018-5607287"/>
    <x v="298"/>
    <x v="4"/>
    <x v="1"/>
    <x v="1"/>
    <s v="Langen"/>
    <x v="0"/>
    <n v="4336"/>
    <n v="2602"/>
  </r>
  <r>
    <s v="KL-2018-5607288"/>
    <x v="299"/>
    <x v="5"/>
    <x v="1"/>
    <x v="1"/>
    <s v="Langen"/>
    <x v="0"/>
    <n v="2602"/>
    <n v="2004"/>
  </r>
  <r>
    <s v="KL-2018-5607289"/>
    <x v="300"/>
    <x v="6"/>
    <x v="1"/>
    <x v="1"/>
    <s v="Langen"/>
    <x v="0"/>
    <n v="3094"/>
    <n v="2073"/>
  </r>
  <r>
    <s v="KL-2018-5607290"/>
    <x v="301"/>
    <x v="7"/>
    <x v="1"/>
    <x v="1"/>
    <s v="Langen"/>
    <x v="0"/>
    <n v="3510"/>
    <n v="2141"/>
  </r>
  <r>
    <s v="KL-2018-5607291"/>
    <x v="302"/>
    <x v="8"/>
    <x v="2"/>
    <x v="2"/>
    <s v="Copenhagen"/>
    <x v="1"/>
    <n v="2134"/>
    <n v="1536"/>
  </r>
  <r>
    <s v="KL-2018-5607292"/>
    <x v="303"/>
    <x v="9"/>
    <x v="3"/>
    <x v="3"/>
    <s v="Gandia"/>
    <x v="2"/>
    <n v="2661"/>
    <n v="2022"/>
  </r>
  <r>
    <s v="KL-2018-5607293"/>
    <x v="304"/>
    <x v="10"/>
    <x v="2"/>
    <x v="4"/>
    <s v="Esbjerg"/>
    <x v="1"/>
    <n v="2901"/>
    <n v="1741"/>
  </r>
  <r>
    <s v="KL-2018-5607294"/>
    <x v="305"/>
    <x v="11"/>
    <x v="4"/>
    <x v="5"/>
    <s v="Mumbai"/>
    <x v="2"/>
    <n v="3784"/>
    <n v="2384"/>
  </r>
  <r>
    <s v="KL-2018-5607295"/>
    <x v="306"/>
    <x v="12"/>
    <x v="4"/>
    <x v="6"/>
    <s v="Patna"/>
    <x v="2"/>
    <n v="3135"/>
    <n v="2445"/>
  </r>
  <r>
    <s v="KL-2018-5607296"/>
    <x v="307"/>
    <x v="13"/>
    <x v="4"/>
    <x v="6"/>
    <s v="Patna"/>
    <x v="2"/>
    <n v="2802"/>
    <n v="1877"/>
  </r>
  <r>
    <s v="KL-2018-5607297"/>
    <x v="308"/>
    <x v="14"/>
    <x v="5"/>
    <x v="7"/>
    <s v="Villiers-sur-Marne"/>
    <x v="0"/>
    <n v="3486"/>
    <n v="2789"/>
  </r>
  <r>
    <s v="KL-2018-5607298"/>
    <x v="309"/>
    <x v="15"/>
    <x v="1"/>
    <x v="8"/>
    <s v="Bielefeld"/>
    <x v="0"/>
    <n v="3422"/>
    <n v="2122"/>
  </r>
  <r>
    <s v="KL-2018-5607299"/>
    <x v="310"/>
    <x v="16"/>
    <x v="6"/>
    <x v="9"/>
    <s v="Leuven"/>
    <x v="0"/>
    <n v="2842"/>
    <n v="2188"/>
  </r>
  <r>
    <s v="KL-2018-5607300"/>
    <x v="311"/>
    <x v="17"/>
    <x v="6"/>
    <x v="9"/>
    <s v="Leuven"/>
    <x v="0"/>
    <n v="3846"/>
    <n v="2500"/>
  </r>
  <r>
    <s v="KL-2018-5607301"/>
    <x v="312"/>
    <x v="18"/>
    <x v="4"/>
    <x v="5"/>
    <s v="Pune"/>
    <x v="2"/>
    <n v="3131"/>
    <n v="2380"/>
  </r>
  <r>
    <s v="KL-2018-5607302"/>
    <x v="313"/>
    <x v="19"/>
    <x v="4"/>
    <x v="5"/>
    <s v="Pune"/>
    <x v="2"/>
    <n v="3825"/>
    <n v="2333"/>
  </r>
  <r>
    <s v="KL-2018-5607303"/>
    <x v="314"/>
    <x v="20"/>
    <x v="4"/>
    <x v="5"/>
    <s v="Pune"/>
    <x v="2"/>
    <n v="4362"/>
    <n v="3446"/>
  </r>
  <r>
    <s v="KL-2018-5607304"/>
    <x v="315"/>
    <x v="0"/>
    <x v="0"/>
    <x v="0"/>
    <s v="Vienna"/>
    <x v="0"/>
    <n v="2934"/>
    <n v="1819"/>
  </r>
  <r>
    <s v="KL-2018-5607305"/>
    <x v="316"/>
    <x v="1"/>
    <x v="0"/>
    <x v="0"/>
    <s v="Vienna"/>
    <x v="0"/>
    <n v="4354"/>
    <n v="2787"/>
  </r>
  <r>
    <s v="KL-2018-5607306"/>
    <x v="317"/>
    <x v="2"/>
    <x v="0"/>
    <x v="0"/>
    <s v="Vienna"/>
    <x v="0"/>
    <n v="2102"/>
    <n v="1534"/>
  </r>
  <r>
    <s v="KL-2018-5607307"/>
    <x v="318"/>
    <x v="3"/>
    <x v="1"/>
    <x v="1"/>
    <s v="Langen"/>
    <x v="0"/>
    <n v="3261"/>
    <n v="2446"/>
  </r>
  <r>
    <s v="KL-2018-5607308"/>
    <x v="319"/>
    <x v="4"/>
    <x v="1"/>
    <x v="1"/>
    <s v="Langen"/>
    <x v="0"/>
    <n v="2577"/>
    <n v="1907"/>
  </r>
  <r>
    <s v="KL-2018-5607309"/>
    <x v="320"/>
    <x v="5"/>
    <x v="1"/>
    <x v="1"/>
    <s v="Langen"/>
    <x v="0"/>
    <n v="3131"/>
    <n v="1973"/>
  </r>
  <r>
    <s v="KL-2018-5607310"/>
    <x v="321"/>
    <x v="6"/>
    <x v="1"/>
    <x v="1"/>
    <s v="Langen"/>
    <x v="0"/>
    <n v="2683"/>
    <n v="1798"/>
  </r>
  <r>
    <s v="KL-2018-5607311"/>
    <x v="322"/>
    <x v="7"/>
    <x v="1"/>
    <x v="1"/>
    <s v="Langen"/>
    <x v="0"/>
    <n v="2613"/>
    <n v="1751"/>
  </r>
  <r>
    <s v="KL-2018-5607312"/>
    <x v="323"/>
    <x v="8"/>
    <x v="2"/>
    <x v="2"/>
    <s v="Copenhagen"/>
    <x v="1"/>
    <n v="4076"/>
    <n v="2609"/>
  </r>
  <r>
    <s v="KL-2018-5607313"/>
    <x v="324"/>
    <x v="9"/>
    <x v="3"/>
    <x v="3"/>
    <s v="Gandia"/>
    <x v="2"/>
    <n v="4400"/>
    <n v="3432"/>
  </r>
  <r>
    <s v="KL-2018-5607314"/>
    <x v="325"/>
    <x v="10"/>
    <x v="2"/>
    <x v="4"/>
    <s v="Esbjerg"/>
    <x v="1"/>
    <n v="2466"/>
    <n v="1603"/>
  </r>
  <r>
    <s v="KL-2018-5607315"/>
    <x v="326"/>
    <x v="11"/>
    <x v="4"/>
    <x v="5"/>
    <s v="Mumbai"/>
    <x v="2"/>
    <n v="2137"/>
    <n v="1325"/>
  </r>
  <r>
    <s v="KL-2018-5607316"/>
    <x v="327"/>
    <x v="12"/>
    <x v="4"/>
    <x v="6"/>
    <s v="Patna"/>
    <x v="2"/>
    <n v="4216"/>
    <n v="3162"/>
  </r>
  <r>
    <s v="KL-2018-5607317"/>
    <x v="328"/>
    <x v="13"/>
    <x v="4"/>
    <x v="6"/>
    <s v="Patna"/>
    <x v="2"/>
    <n v="3165"/>
    <n v="2310"/>
  </r>
  <r>
    <s v="KL-2018-5607318"/>
    <x v="329"/>
    <x v="14"/>
    <x v="5"/>
    <x v="7"/>
    <s v="Villiers-sur-Marne"/>
    <x v="0"/>
    <n v="3263"/>
    <n v="2545"/>
  </r>
  <r>
    <s v="KL-2018-5607319"/>
    <x v="330"/>
    <x v="15"/>
    <x v="1"/>
    <x v="8"/>
    <s v="Bielefeld"/>
    <x v="0"/>
    <n v="2946"/>
    <n v="2210"/>
  </r>
  <r>
    <s v="KL-2018-5607320"/>
    <x v="331"/>
    <x v="16"/>
    <x v="6"/>
    <x v="9"/>
    <s v="Leuven"/>
    <x v="0"/>
    <n v="2989"/>
    <n v="2212"/>
  </r>
  <r>
    <s v="KL-2018-5607321"/>
    <x v="332"/>
    <x v="17"/>
    <x v="6"/>
    <x v="9"/>
    <s v="Leuven"/>
    <x v="0"/>
    <n v="3463"/>
    <n v="2770"/>
  </r>
  <r>
    <s v="KL-2018-5607322"/>
    <x v="333"/>
    <x v="18"/>
    <x v="4"/>
    <x v="5"/>
    <s v="Pune"/>
    <x v="2"/>
    <n v="2677"/>
    <n v="2088"/>
  </r>
  <r>
    <s v="KL-2018-5607323"/>
    <x v="334"/>
    <x v="19"/>
    <x v="4"/>
    <x v="5"/>
    <s v="Pune"/>
    <x v="2"/>
    <n v="2966"/>
    <n v="1928"/>
  </r>
  <r>
    <s v="KL-2018-5607324"/>
    <x v="335"/>
    <x v="20"/>
    <x v="4"/>
    <x v="5"/>
    <s v="Pune"/>
    <x v="2"/>
    <n v="2106"/>
    <n v="1516"/>
  </r>
  <r>
    <s v="KL-2018-5607325"/>
    <x v="336"/>
    <x v="0"/>
    <x v="0"/>
    <x v="0"/>
    <s v="Vienna"/>
    <x v="0"/>
    <n v="3664"/>
    <n v="2272"/>
  </r>
  <r>
    <s v="KL-2018-5607326"/>
    <x v="337"/>
    <x v="1"/>
    <x v="0"/>
    <x v="0"/>
    <s v="Vienna"/>
    <x v="0"/>
    <n v="3069"/>
    <n v="2240"/>
  </r>
  <r>
    <s v="KL-2018-5607327"/>
    <x v="338"/>
    <x v="2"/>
    <x v="0"/>
    <x v="0"/>
    <s v="Vienna"/>
    <x v="0"/>
    <n v="3755"/>
    <n v="2516"/>
  </r>
  <r>
    <s v="KL-2018-5607328"/>
    <x v="339"/>
    <x v="3"/>
    <x v="1"/>
    <x v="1"/>
    <s v="Langen"/>
    <x v="0"/>
    <n v="3215"/>
    <n v="2058"/>
  </r>
  <r>
    <s v="KL-2018-5607329"/>
    <x v="340"/>
    <x v="4"/>
    <x v="1"/>
    <x v="1"/>
    <s v="Langen"/>
    <x v="0"/>
    <n v="3685"/>
    <n v="2543"/>
  </r>
  <r>
    <s v="KL-2018-5607330"/>
    <x v="341"/>
    <x v="5"/>
    <x v="1"/>
    <x v="1"/>
    <s v="Langen"/>
    <x v="0"/>
    <n v="4015"/>
    <n v="2730"/>
  </r>
  <r>
    <s v="KL-2018-5607331"/>
    <x v="342"/>
    <x v="6"/>
    <x v="1"/>
    <x v="1"/>
    <s v="Langen"/>
    <x v="0"/>
    <n v="2517"/>
    <n v="1661"/>
  </r>
  <r>
    <s v="KL-2018-5607332"/>
    <x v="343"/>
    <x v="7"/>
    <x v="1"/>
    <x v="1"/>
    <s v="Langen"/>
    <x v="0"/>
    <n v="2598"/>
    <n v="1793"/>
  </r>
  <r>
    <s v="KL-2018-5607333"/>
    <x v="344"/>
    <x v="8"/>
    <x v="2"/>
    <x v="2"/>
    <s v="Copenhagen"/>
    <x v="1"/>
    <n v="3513"/>
    <n v="2740"/>
  </r>
  <r>
    <s v="KL-2018-5607334"/>
    <x v="345"/>
    <x v="9"/>
    <x v="3"/>
    <x v="3"/>
    <s v="Gandia"/>
    <x v="2"/>
    <n v="2247"/>
    <n v="1775"/>
  </r>
  <r>
    <s v="KL-2018-5607335"/>
    <x v="346"/>
    <x v="10"/>
    <x v="2"/>
    <x v="4"/>
    <s v="Esbjerg"/>
    <x v="1"/>
    <n v="2878"/>
    <n v="1784"/>
  </r>
  <r>
    <s v="KL-2018-5607336"/>
    <x v="347"/>
    <x v="11"/>
    <x v="4"/>
    <x v="5"/>
    <s v="Mumbai"/>
    <x v="2"/>
    <n v="3425"/>
    <n v="2706"/>
  </r>
  <r>
    <s v="KL-2018-5607337"/>
    <x v="348"/>
    <x v="12"/>
    <x v="4"/>
    <x v="6"/>
    <s v="Patna"/>
    <x v="2"/>
    <n v="2865"/>
    <n v="2091"/>
  </r>
  <r>
    <s v="KL-2018-5607338"/>
    <x v="349"/>
    <x v="13"/>
    <x v="4"/>
    <x v="6"/>
    <s v="Patna"/>
    <x v="2"/>
    <n v="2393"/>
    <n v="1723"/>
  </r>
  <r>
    <s v="KL-2018-5607339"/>
    <x v="350"/>
    <x v="14"/>
    <x v="5"/>
    <x v="7"/>
    <s v="Villiers-sur-Marne"/>
    <x v="0"/>
    <n v="3149"/>
    <n v="2299"/>
  </r>
  <r>
    <s v="KL-2018-5607340"/>
    <x v="351"/>
    <x v="15"/>
    <x v="1"/>
    <x v="8"/>
    <s v="Bielefeld"/>
    <x v="0"/>
    <n v="3277"/>
    <n v="2130"/>
  </r>
  <r>
    <s v="KL-2018-5607341"/>
    <x v="352"/>
    <x v="16"/>
    <x v="6"/>
    <x v="9"/>
    <s v="Leuven"/>
    <x v="0"/>
    <n v="2713"/>
    <n v="1682"/>
  </r>
  <r>
    <s v="KL-2018-5607342"/>
    <x v="353"/>
    <x v="17"/>
    <x v="6"/>
    <x v="9"/>
    <s v="Leuven"/>
    <x v="0"/>
    <n v="3381"/>
    <n v="2231"/>
  </r>
  <r>
    <s v="KL-2018-5607343"/>
    <x v="354"/>
    <x v="18"/>
    <x v="4"/>
    <x v="5"/>
    <s v="Pune"/>
    <x v="2"/>
    <n v="2545"/>
    <n v="2011"/>
  </r>
  <r>
    <s v="KL-2018-5607344"/>
    <x v="355"/>
    <x v="19"/>
    <x v="4"/>
    <x v="5"/>
    <s v="Pune"/>
    <x v="2"/>
    <n v="4473"/>
    <n v="2729"/>
  </r>
  <r>
    <s v="KL-2018-5607345"/>
    <x v="356"/>
    <x v="20"/>
    <x v="4"/>
    <x v="5"/>
    <s v="Pune"/>
    <x v="2"/>
    <n v="3332"/>
    <n v="2132"/>
  </r>
  <r>
    <s v="KL-2018-5607346"/>
    <x v="357"/>
    <x v="0"/>
    <x v="0"/>
    <x v="0"/>
    <s v="Vienna"/>
    <x v="0"/>
    <n v="2283"/>
    <n v="1438"/>
  </r>
  <r>
    <s v="KL-2018-5607347"/>
    <x v="358"/>
    <x v="1"/>
    <x v="0"/>
    <x v="0"/>
    <s v="Vienna"/>
    <x v="0"/>
    <n v="2696"/>
    <n v="1833"/>
  </r>
  <r>
    <s v="KL-2018-5607348"/>
    <x v="359"/>
    <x v="2"/>
    <x v="0"/>
    <x v="0"/>
    <s v="Vienna"/>
    <x v="0"/>
    <n v="4061"/>
    <n v="3127"/>
  </r>
  <r>
    <s v="KL-2018-5607349"/>
    <x v="360"/>
    <x v="3"/>
    <x v="1"/>
    <x v="1"/>
    <s v="Langen"/>
    <x v="0"/>
    <n v="2382"/>
    <n v="1548"/>
  </r>
  <r>
    <s v="KL-2018-5607350"/>
    <x v="361"/>
    <x v="4"/>
    <x v="1"/>
    <x v="1"/>
    <s v="Langen"/>
    <x v="0"/>
    <n v="4336"/>
    <n v="2602"/>
  </r>
  <r>
    <s v="KL-2018-5607351"/>
    <x v="362"/>
    <x v="5"/>
    <x v="1"/>
    <x v="1"/>
    <s v="Langen"/>
    <x v="0"/>
    <n v="2602"/>
    <n v="2004"/>
  </r>
  <r>
    <s v="KL-2018-5607352"/>
    <x v="363"/>
    <x v="6"/>
    <x v="1"/>
    <x v="1"/>
    <s v="Langen"/>
    <x v="0"/>
    <n v="3094"/>
    <n v="2073"/>
  </r>
  <r>
    <s v="KL-2018-5607353"/>
    <x v="364"/>
    <x v="7"/>
    <x v="1"/>
    <x v="1"/>
    <s v="Langen"/>
    <x v="0"/>
    <n v="3510"/>
    <n v="21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s v="Lani Bowers"/>
    <x v="0"/>
    <x v="0"/>
    <x v="0"/>
    <x v="0"/>
    <n v="2934"/>
    <n v="1819"/>
  </r>
  <r>
    <x v="1"/>
    <s v="Lana Adkins"/>
    <x v="0"/>
    <x v="0"/>
    <x v="0"/>
    <x v="0"/>
    <n v="4354"/>
    <n v="2787"/>
  </r>
  <r>
    <x v="2"/>
    <s v="Sopoline Noel"/>
    <x v="0"/>
    <x v="0"/>
    <x v="0"/>
    <x v="0"/>
    <n v="2102"/>
    <n v="1534"/>
  </r>
  <r>
    <x v="3"/>
    <s v="Abbot Horton"/>
    <x v="1"/>
    <x v="1"/>
    <x v="1"/>
    <x v="0"/>
    <n v="3261"/>
    <n v="2446"/>
  </r>
  <r>
    <x v="4"/>
    <s v="Hedda Livingston"/>
    <x v="1"/>
    <x v="1"/>
    <x v="1"/>
    <x v="0"/>
    <n v="2577"/>
    <n v="1907"/>
  </r>
  <r>
    <x v="5"/>
    <s v="Henry Hodges"/>
    <x v="1"/>
    <x v="1"/>
    <x v="1"/>
    <x v="0"/>
    <n v="3131"/>
    <n v="1973"/>
  </r>
  <r>
    <x v="6"/>
    <s v="Aristotle Barrett"/>
    <x v="1"/>
    <x v="1"/>
    <x v="1"/>
    <x v="0"/>
    <n v="2683"/>
    <n v="1798"/>
  </r>
  <r>
    <x v="7"/>
    <s v="Wendy Neal"/>
    <x v="1"/>
    <x v="1"/>
    <x v="1"/>
    <x v="0"/>
    <n v="2613"/>
    <n v="1751"/>
  </r>
  <r>
    <x v="8"/>
    <s v="Raymond Mckenzie"/>
    <x v="2"/>
    <x v="2"/>
    <x v="2"/>
    <x v="1"/>
    <n v="4076"/>
    <n v="2609"/>
  </r>
  <r>
    <x v="9"/>
    <s v="Zephr Hickman"/>
    <x v="3"/>
    <x v="3"/>
    <x v="3"/>
    <x v="2"/>
    <n v="4400"/>
    <n v="3432"/>
  </r>
  <r>
    <x v="10"/>
    <s v="Georgia Kane"/>
    <x v="2"/>
    <x v="4"/>
    <x v="4"/>
    <x v="1"/>
    <n v="2466"/>
    <n v="1603"/>
  </r>
  <r>
    <x v="11"/>
    <s v="Stella Dejesus"/>
    <x v="4"/>
    <x v="5"/>
    <x v="5"/>
    <x v="2"/>
    <n v="2137"/>
    <n v="1325"/>
  </r>
  <r>
    <x v="12"/>
    <s v="Dahlia Porter"/>
    <x v="4"/>
    <x v="6"/>
    <x v="6"/>
    <x v="2"/>
    <n v="4216"/>
    <n v="3162"/>
  </r>
  <r>
    <x v="13"/>
    <s v="Ria Foster"/>
    <x v="4"/>
    <x v="6"/>
    <x v="6"/>
    <x v="2"/>
    <n v="3165"/>
    <n v="2310"/>
  </r>
  <r>
    <x v="14"/>
    <s v="Kiona Moore"/>
    <x v="5"/>
    <x v="7"/>
    <x v="7"/>
    <x v="0"/>
    <n v="3263"/>
    <n v="2545"/>
  </r>
  <r>
    <x v="15"/>
    <s v="Guinevere Sullivan"/>
    <x v="1"/>
    <x v="8"/>
    <x v="8"/>
    <x v="0"/>
    <n v="2946"/>
    <n v="2210"/>
  </r>
  <r>
    <x v="16"/>
    <s v="Ingrid Barnes"/>
    <x v="6"/>
    <x v="9"/>
    <x v="9"/>
    <x v="0"/>
    <n v="2989"/>
    <n v="2212"/>
  </r>
  <r>
    <x v="17"/>
    <s v="Quinlan Holcomb"/>
    <x v="6"/>
    <x v="9"/>
    <x v="9"/>
    <x v="0"/>
    <n v="3463"/>
    <n v="2770"/>
  </r>
  <r>
    <x v="18"/>
    <s v="Blair Mccullough"/>
    <x v="4"/>
    <x v="5"/>
    <x v="10"/>
    <x v="2"/>
    <n v="2677"/>
    <n v="2088"/>
  </r>
  <r>
    <x v="19"/>
    <s v="Diana Guthrie"/>
    <x v="4"/>
    <x v="5"/>
    <x v="10"/>
    <x v="2"/>
    <n v="2966"/>
    <n v="1928"/>
  </r>
  <r>
    <x v="20"/>
    <s v="Neville Ashley"/>
    <x v="4"/>
    <x v="5"/>
    <x v="10"/>
    <x v="2"/>
    <n v="2106"/>
    <n v="1516"/>
  </r>
  <r>
    <x v="21"/>
    <s v="Lani Bowers"/>
    <x v="0"/>
    <x v="0"/>
    <x v="0"/>
    <x v="0"/>
    <n v="3664"/>
    <n v="2272"/>
  </r>
  <r>
    <x v="22"/>
    <s v="Lana Adkins"/>
    <x v="0"/>
    <x v="0"/>
    <x v="0"/>
    <x v="0"/>
    <n v="3069"/>
    <n v="2240"/>
  </r>
  <r>
    <x v="23"/>
    <s v="Sopoline Noel"/>
    <x v="0"/>
    <x v="0"/>
    <x v="0"/>
    <x v="0"/>
    <n v="3755"/>
    <n v="2516"/>
  </r>
  <r>
    <x v="24"/>
    <s v="Abbot Horton"/>
    <x v="1"/>
    <x v="1"/>
    <x v="1"/>
    <x v="0"/>
    <n v="3215"/>
    <n v="2058"/>
  </r>
  <r>
    <x v="25"/>
    <s v="Hedda Livingston"/>
    <x v="1"/>
    <x v="1"/>
    <x v="1"/>
    <x v="0"/>
    <n v="3685"/>
    <n v="2543"/>
  </r>
  <r>
    <x v="26"/>
    <s v="Henry Hodges"/>
    <x v="1"/>
    <x v="1"/>
    <x v="1"/>
    <x v="0"/>
    <n v="4015"/>
    <n v="2730"/>
  </r>
  <r>
    <x v="27"/>
    <s v="Aristotle Barrett"/>
    <x v="1"/>
    <x v="1"/>
    <x v="1"/>
    <x v="0"/>
    <n v="2517"/>
    <n v="1661"/>
  </r>
  <r>
    <x v="28"/>
    <s v="Wendy Neal"/>
    <x v="1"/>
    <x v="1"/>
    <x v="1"/>
    <x v="0"/>
    <n v="2598"/>
    <n v="1793"/>
  </r>
  <r>
    <x v="29"/>
    <s v="Raymond Mckenzie"/>
    <x v="2"/>
    <x v="2"/>
    <x v="2"/>
    <x v="1"/>
    <n v="3513"/>
    <n v="2740"/>
  </r>
  <r>
    <x v="30"/>
    <s v="Zephr Hickman"/>
    <x v="3"/>
    <x v="3"/>
    <x v="3"/>
    <x v="2"/>
    <n v="2247"/>
    <n v="1775"/>
  </r>
  <r>
    <x v="31"/>
    <s v="Georgia Kane"/>
    <x v="2"/>
    <x v="4"/>
    <x v="4"/>
    <x v="1"/>
    <n v="2878"/>
    <n v="1784"/>
  </r>
  <r>
    <x v="32"/>
    <s v="Stella Dejesus"/>
    <x v="4"/>
    <x v="5"/>
    <x v="5"/>
    <x v="2"/>
    <n v="3425"/>
    <n v="2706"/>
  </r>
  <r>
    <x v="33"/>
    <s v="Dahlia Porter"/>
    <x v="4"/>
    <x v="6"/>
    <x v="6"/>
    <x v="2"/>
    <n v="2865"/>
    <n v="2091"/>
  </r>
  <r>
    <x v="34"/>
    <s v="Ria Foster"/>
    <x v="4"/>
    <x v="6"/>
    <x v="6"/>
    <x v="2"/>
    <n v="2393"/>
    <n v="1723"/>
  </r>
  <r>
    <x v="35"/>
    <s v="Kiona Moore"/>
    <x v="5"/>
    <x v="7"/>
    <x v="7"/>
    <x v="0"/>
    <n v="3149"/>
    <n v="2299"/>
  </r>
  <r>
    <x v="36"/>
    <s v="Guinevere Sullivan"/>
    <x v="1"/>
    <x v="8"/>
    <x v="8"/>
    <x v="0"/>
    <n v="3277"/>
    <n v="2130"/>
  </r>
  <r>
    <x v="37"/>
    <s v="Ingrid Barnes"/>
    <x v="6"/>
    <x v="9"/>
    <x v="9"/>
    <x v="0"/>
    <n v="2713"/>
    <n v="1682"/>
  </r>
  <r>
    <x v="38"/>
    <s v="Quinlan Holcomb"/>
    <x v="6"/>
    <x v="9"/>
    <x v="9"/>
    <x v="0"/>
    <n v="3381"/>
    <n v="2231"/>
  </r>
  <r>
    <x v="39"/>
    <s v="Blair Mccullough"/>
    <x v="4"/>
    <x v="5"/>
    <x v="10"/>
    <x v="2"/>
    <n v="2545"/>
    <n v="2011"/>
  </r>
  <r>
    <x v="40"/>
    <s v="Diana Guthrie"/>
    <x v="4"/>
    <x v="5"/>
    <x v="10"/>
    <x v="2"/>
    <n v="4473"/>
    <n v="2729"/>
  </r>
  <r>
    <x v="41"/>
    <s v="Neville Ashley"/>
    <x v="4"/>
    <x v="5"/>
    <x v="10"/>
    <x v="2"/>
    <n v="3332"/>
    <n v="2132"/>
  </r>
  <r>
    <x v="42"/>
    <s v="Lani Bowers"/>
    <x v="0"/>
    <x v="0"/>
    <x v="0"/>
    <x v="0"/>
    <n v="2283"/>
    <n v="1438"/>
  </r>
  <r>
    <x v="43"/>
    <s v="Lana Adkins"/>
    <x v="0"/>
    <x v="0"/>
    <x v="0"/>
    <x v="0"/>
    <n v="2696"/>
    <n v="1833"/>
  </r>
  <r>
    <x v="44"/>
    <s v="Sopoline Noel"/>
    <x v="0"/>
    <x v="0"/>
    <x v="0"/>
    <x v="0"/>
    <n v="4061"/>
    <n v="3127"/>
  </r>
  <r>
    <x v="45"/>
    <s v="Abbot Horton"/>
    <x v="1"/>
    <x v="1"/>
    <x v="1"/>
    <x v="0"/>
    <n v="2382"/>
    <n v="1548"/>
  </r>
  <r>
    <x v="46"/>
    <s v="Hedda Livingston"/>
    <x v="1"/>
    <x v="1"/>
    <x v="1"/>
    <x v="0"/>
    <n v="4336"/>
    <n v="2602"/>
  </r>
  <r>
    <x v="47"/>
    <s v="Henry Hodges"/>
    <x v="1"/>
    <x v="1"/>
    <x v="1"/>
    <x v="0"/>
    <n v="2602"/>
    <n v="2004"/>
  </r>
  <r>
    <x v="48"/>
    <s v="Aristotle Barrett"/>
    <x v="1"/>
    <x v="1"/>
    <x v="1"/>
    <x v="0"/>
    <n v="3094"/>
    <n v="2073"/>
  </r>
  <r>
    <x v="49"/>
    <s v="Wendy Neal"/>
    <x v="1"/>
    <x v="1"/>
    <x v="1"/>
    <x v="0"/>
    <n v="3510"/>
    <n v="2141"/>
  </r>
  <r>
    <x v="50"/>
    <s v="Raymond Mckenzie"/>
    <x v="2"/>
    <x v="2"/>
    <x v="2"/>
    <x v="1"/>
    <n v="2134"/>
    <n v="1536"/>
  </r>
  <r>
    <x v="51"/>
    <s v="Zephr Hickman"/>
    <x v="3"/>
    <x v="3"/>
    <x v="3"/>
    <x v="2"/>
    <n v="2661"/>
    <n v="2022"/>
  </r>
  <r>
    <x v="52"/>
    <s v="Georgia Kane"/>
    <x v="2"/>
    <x v="4"/>
    <x v="4"/>
    <x v="1"/>
    <n v="2901"/>
    <n v="1741"/>
  </r>
  <r>
    <x v="53"/>
    <s v="Stella Dejesus"/>
    <x v="4"/>
    <x v="5"/>
    <x v="5"/>
    <x v="2"/>
    <n v="3784"/>
    <n v="2384"/>
  </r>
  <r>
    <x v="54"/>
    <s v="Dahlia Porter"/>
    <x v="4"/>
    <x v="6"/>
    <x v="6"/>
    <x v="2"/>
    <n v="3135"/>
    <n v="2445"/>
  </r>
  <r>
    <x v="55"/>
    <s v="Ria Foster"/>
    <x v="4"/>
    <x v="6"/>
    <x v="6"/>
    <x v="2"/>
    <n v="2802"/>
    <n v="1877"/>
  </r>
  <r>
    <x v="56"/>
    <s v="Kiona Moore"/>
    <x v="5"/>
    <x v="7"/>
    <x v="7"/>
    <x v="0"/>
    <n v="3486"/>
    <n v="2789"/>
  </r>
  <r>
    <x v="57"/>
    <s v="Guinevere Sullivan"/>
    <x v="1"/>
    <x v="8"/>
    <x v="8"/>
    <x v="0"/>
    <n v="3422"/>
    <n v="2122"/>
  </r>
  <r>
    <x v="58"/>
    <s v="Ingrid Barnes"/>
    <x v="6"/>
    <x v="9"/>
    <x v="9"/>
    <x v="0"/>
    <n v="2842"/>
    <n v="2188"/>
  </r>
  <r>
    <x v="59"/>
    <s v="Quinlan Holcomb"/>
    <x v="6"/>
    <x v="9"/>
    <x v="9"/>
    <x v="0"/>
    <n v="3846"/>
    <n v="2500"/>
  </r>
  <r>
    <x v="60"/>
    <s v="Blair Mccullough"/>
    <x v="4"/>
    <x v="5"/>
    <x v="10"/>
    <x v="2"/>
    <n v="3131"/>
    <n v="2380"/>
  </r>
  <r>
    <x v="61"/>
    <s v="Diana Guthrie"/>
    <x v="4"/>
    <x v="5"/>
    <x v="10"/>
    <x v="2"/>
    <n v="3825"/>
    <n v="2333"/>
  </r>
  <r>
    <x v="62"/>
    <s v="Neville Ashley"/>
    <x v="4"/>
    <x v="5"/>
    <x v="10"/>
    <x v="2"/>
    <n v="4362"/>
    <n v="3446"/>
  </r>
  <r>
    <x v="63"/>
    <s v="Lani Bowers"/>
    <x v="0"/>
    <x v="0"/>
    <x v="0"/>
    <x v="0"/>
    <n v="2934"/>
    <n v="1819"/>
  </r>
  <r>
    <x v="64"/>
    <s v="Lana Adkins"/>
    <x v="0"/>
    <x v="0"/>
    <x v="0"/>
    <x v="0"/>
    <n v="4354"/>
    <n v="2787"/>
  </r>
  <r>
    <x v="65"/>
    <s v="Sopoline Noel"/>
    <x v="0"/>
    <x v="0"/>
    <x v="0"/>
    <x v="0"/>
    <n v="2102"/>
    <n v="1534"/>
  </r>
  <r>
    <x v="66"/>
    <s v="Abbot Horton"/>
    <x v="1"/>
    <x v="1"/>
    <x v="1"/>
    <x v="0"/>
    <n v="3261"/>
    <n v="2446"/>
  </r>
  <r>
    <x v="67"/>
    <s v="Hedda Livingston"/>
    <x v="1"/>
    <x v="1"/>
    <x v="1"/>
    <x v="0"/>
    <n v="2577"/>
    <n v="1907"/>
  </r>
  <r>
    <x v="68"/>
    <s v="Henry Hodges"/>
    <x v="1"/>
    <x v="1"/>
    <x v="1"/>
    <x v="0"/>
    <n v="3131"/>
    <n v="1973"/>
  </r>
  <r>
    <x v="69"/>
    <s v="Aristotle Barrett"/>
    <x v="1"/>
    <x v="1"/>
    <x v="1"/>
    <x v="0"/>
    <n v="2683"/>
    <n v="1798"/>
  </r>
  <r>
    <x v="70"/>
    <s v="Wendy Neal"/>
    <x v="1"/>
    <x v="1"/>
    <x v="1"/>
    <x v="0"/>
    <n v="2613"/>
    <n v="1751"/>
  </r>
  <r>
    <x v="71"/>
    <s v="Raymond Mckenzie"/>
    <x v="2"/>
    <x v="2"/>
    <x v="2"/>
    <x v="1"/>
    <n v="4076"/>
    <n v="2609"/>
  </r>
  <r>
    <x v="72"/>
    <s v="Zephr Hickman"/>
    <x v="3"/>
    <x v="3"/>
    <x v="3"/>
    <x v="2"/>
    <n v="4400"/>
    <n v="3432"/>
  </r>
  <r>
    <x v="73"/>
    <s v="Georgia Kane"/>
    <x v="2"/>
    <x v="4"/>
    <x v="4"/>
    <x v="1"/>
    <n v="2466"/>
    <n v="1603"/>
  </r>
  <r>
    <x v="74"/>
    <s v="Stella Dejesus"/>
    <x v="4"/>
    <x v="5"/>
    <x v="5"/>
    <x v="2"/>
    <n v="2137"/>
    <n v="1325"/>
  </r>
  <r>
    <x v="75"/>
    <s v="Dahlia Porter"/>
    <x v="4"/>
    <x v="6"/>
    <x v="6"/>
    <x v="2"/>
    <n v="4216"/>
    <n v="3162"/>
  </r>
  <r>
    <x v="76"/>
    <s v="Ria Foster"/>
    <x v="4"/>
    <x v="6"/>
    <x v="6"/>
    <x v="2"/>
    <n v="3165"/>
    <n v="2310"/>
  </r>
  <r>
    <x v="77"/>
    <s v="Kiona Moore"/>
    <x v="5"/>
    <x v="7"/>
    <x v="7"/>
    <x v="0"/>
    <n v="3263"/>
    <n v="2545"/>
  </r>
  <r>
    <x v="78"/>
    <s v="Guinevere Sullivan"/>
    <x v="1"/>
    <x v="8"/>
    <x v="8"/>
    <x v="0"/>
    <n v="2946"/>
    <n v="2210"/>
  </r>
  <r>
    <x v="79"/>
    <s v="Ingrid Barnes"/>
    <x v="6"/>
    <x v="9"/>
    <x v="9"/>
    <x v="0"/>
    <n v="2989"/>
    <n v="2212"/>
  </r>
  <r>
    <x v="80"/>
    <s v="Quinlan Holcomb"/>
    <x v="6"/>
    <x v="9"/>
    <x v="9"/>
    <x v="0"/>
    <n v="3463"/>
    <n v="2770"/>
  </r>
  <r>
    <x v="81"/>
    <s v="Blair Mccullough"/>
    <x v="4"/>
    <x v="5"/>
    <x v="10"/>
    <x v="2"/>
    <n v="2677"/>
    <n v="2088"/>
  </r>
  <r>
    <x v="82"/>
    <s v="Diana Guthrie"/>
    <x v="4"/>
    <x v="5"/>
    <x v="10"/>
    <x v="2"/>
    <n v="2966"/>
    <n v="1928"/>
  </r>
  <r>
    <x v="83"/>
    <s v="Neville Ashley"/>
    <x v="4"/>
    <x v="5"/>
    <x v="10"/>
    <x v="2"/>
    <n v="2106"/>
    <n v="1516"/>
  </r>
  <r>
    <x v="84"/>
    <s v="Lani Bowers"/>
    <x v="0"/>
    <x v="0"/>
    <x v="0"/>
    <x v="0"/>
    <n v="3664"/>
    <n v="2272"/>
  </r>
  <r>
    <x v="85"/>
    <s v="Lana Adkins"/>
    <x v="0"/>
    <x v="0"/>
    <x v="0"/>
    <x v="0"/>
    <n v="3069"/>
    <n v="2240"/>
  </r>
  <r>
    <x v="86"/>
    <s v="Sopoline Noel"/>
    <x v="0"/>
    <x v="0"/>
    <x v="0"/>
    <x v="0"/>
    <n v="3755"/>
    <n v="2516"/>
  </r>
  <r>
    <x v="87"/>
    <s v="Abbot Horton"/>
    <x v="1"/>
    <x v="1"/>
    <x v="1"/>
    <x v="0"/>
    <n v="3215"/>
    <n v="2058"/>
  </r>
  <r>
    <x v="88"/>
    <s v="Hedda Livingston"/>
    <x v="1"/>
    <x v="1"/>
    <x v="1"/>
    <x v="0"/>
    <n v="3685"/>
    <n v="2543"/>
  </r>
  <r>
    <x v="89"/>
    <s v="Henry Hodges"/>
    <x v="1"/>
    <x v="1"/>
    <x v="1"/>
    <x v="0"/>
    <n v="4015"/>
    <n v="2730"/>
  </r>
  <r>
    <x v="90"/>
    <s v="Aristotle Barrett"/>
    <x v="1"/>
    <x v="1"/>
    <x v="1"/>
    <x v="0"/>
    <n v="2517"/>
    <n v="1661"/>
  </r>
  <r>
    <x v="91"/>
    <s v="Wendy Neal"/>
    <x v="1"/>
    <x v="1"/>
    <x v="1"/>
    <x v="0"/>
    <n v="2598"/>
    <n v="1793"/>
  </r>
  <r>
    <x v="92"/>
    <s v="Raymond Mckenzie"/>
    <x v="2"/>
    <x v="2"/>
    <x v="2"/>
    <x v="1"/>
    <n v="3513"/>
    <n v="2740"/>
  </r>
  <r>
    <x v="93"/>
    <s v="Zephr Hickman"/>
    <x v="3"/>
    <x v="3"/>
    <x v="3"/>
    <x v="2"/>
    <n v="2247"/>
    <n v="1775"/>
  </r>
  <r>
    <x v="94"/>
    <s v="Georgia Kane"/>
    <x v="2"/>
    <x v="4"/>
    <x v="4"/>
    <x v="1"/>
    <n v="2878"/>
    <n v="1784"/>
  </r>
  <r>
    <x v="95"/>
    <s v="Stella Dejesus"/>
    <x v="4"/>
    <x v="5"/>
    <x v="5"/>
    <x v="2"/>
    <n v="3425"/>
    <n v="2706"/>
  </r>
  <r>
    <x v="96"/>
    <s v="Dahlia Porter"/>
    <x v="4"/>
    <x v="6"/>
    <x v="6"/>
    <x v="2"/>
    <n v="2865"/>
    <n v="2091"/>
  </r>
  <r>
    <x v="97"/>
    <s v="Ria Foster"/>
    <x v="4"/>
    <x v="6"/>
    <x v="6"/>
    <x v="2"/>
    <n v="2393"/>
    <n v="1723"/>
  </r>
  <r>
    <x v="98"/>
    <s v="Kiona Moore"/>
    <x v="5"/>
    <x v="7"/>
    <x v="7"/>
    <x v="0"/>
    <n v="3149"/>
    <n v="2299"/>
  </r>
  <r>
    <x v="99"/>
    <s v="Guinevere Sullivan"/>
    <x v="1"/>
    <x v="8"/>
    <x v="8"/>
    <x v="0"/>
    <n v="3277"/>
    <n v="2130"/>
  </r>
  <r>
    <x v="100"/>
    <s v="Ingrid Barnes"/>
    <x v="6"/>
    <x v="9"/>
    <x v="9"/>
    <x v="0"/>
    <n v="2713"/>
    <n v="1682"/>
  </r>
  <r>
    <x v="101"/>
    <s v="Quinlan Holcomb"/>
    <x v="6"/>
    <x v="9"/>
    <x v="9"/>
    <x v="0"/>
    <n v="3381"/>
    <n v="2231"/>
  </r>
  <r>
    <x v="102"/>
    <s v="Blair Mccullough"/>
    <x v="4"/>
    <x v="5"/>
    <x v="10"/>
    <x v="2"/>
    <n v="2545"/>
    <n v="2011"/>
  </r>
  <r>
    <x v="103"/>
    <s v="Diana Guthrie"/>
    <x v="4"/>
    <x v="5"/>
    <x v="10"/>
    <x v="2"/>
    <n v="4473"/>
    <n v="2729"/>
  </r>
  <r>
    <x v="104"/>
    <s v="Neville Ashley"/>
    <x v="4"/>
    <x v="5"/>
    <x v="10"/>
    <x v="2"/>
    <n v="3332"/>
    <n v="2132"/>
  </r>
  <r>
    <x v="105"/>
    <s v="Lani Bowers"/>
    <x v="0"/>
    <x v="0"/>
    <x v="0"/>
    <x v="0"/>
    <n v="2283"/>
    <n v="1438"/>
  </r>
  <r>
    <x v="106"/>
    <s v="Lana Adkins"/>
    <x v="0"/>
    <x v="0"/>
    <x v="0"/>
    <x v="0"/>
    <n v="2696"/>
    <n v="1833"/>
  </r>
  <r>
    <x v="107"/>
    <s v="Sopoline Noel"/>
    <x v="0"/>
    <x v="0"/>
    <x v="0"/>
    <x v="0"/>
    <n v="4061"/>
    <n v="3127"/>
  </r>
  <r>
    <x v="108"/>
    <s v="Abbot Horton"/>
    <x v="1"/>
    <x v="1"/>
    <x v="1"/>
    <x v="0"/>
    <n v="2382"/>
    <n v="1548"/>
  </r>
  <r>
    <x v="109"/>
    <s v="Hedda Livingston"/>
    <x v="1"/>
    <x v="1"/>
    <x v="1"/>
    <x v="0"/>
    <n v="4336"/>
    <n v="2602"/>
  </r>
  <r>
    <x v="110"/>
    <s v="Henry Hodges"/>
    <x v="1"/>
    <x v="1"/>
    <x v="1"/>
    <x v="0"/>
    <n v="2602"/>
    <n v="2004"/>
  </r>
  <r>
    <x v="111"/>
    <s v="Aristotle Barrett"/>
    <x v="1"/>
    <x v="1"/>
    <x v="1"/>
    <x v="0"/>
    <n v="3094"/>
    <n v="2073"/>
  </r>
  <r>
    <x v="112"/>
    <s v="Wendy Neal"/>
    <x v="1"/>
    <x v="1"/>
    <x v="1"/>
    <x v="0"/>
    <n v="3510"/>
    <n v="2141"/>
  </r>
  <r>
    <x v="113"/>
    <s v="Raymond Mckenzie"/>
    <x v="2"/>
    <x v="2"/>
    <x v="2"/>
    <x v="1"/>
    <n v="2134"/>
    <n v="1536"/>
  </r>
  <r>
    <x v="114"/>
    <s v="Zephr Hickman"/>
    <x v="3"/>
    <x v="3"/>
    <x v="3"/>
    <x v="2"/>
    <n v="2661"/>
    <n v="2022"/>
  </r>
  <r>
    <x v="115"/>
    <s v="Georgia Kane"/>
    <x v="2"/>
    <x v="4"/>
    <x v="4"/>
    <x v="1"/>
    <n v="2901"/>
    <n v="1741"/>
  </r>
  <r>
    <x v="116"/>
    <s v="Stella Dejesus"/>
    <x v="4"/>
    <x v="5"/>
    <x v="5"/>
    <x v="2"/>
    <n v="3784"/>
    <n v="2384"/>
  </r>
  <r>
    <x v="117"/>
    <s v="Dahlia Porter"/>
    <x v="4"/>
    <x v="6"/>
    <x v="6"/>
    <x v="2"/>
    <n v="3135"/>
    <n v="2445"/>
  </r>
  <r>
    <x v="118"/>
    <s v="Ria Foster"/>
    <x v="4"/>
    <x v="6"/>
    <x v="6"/>
    <x v="2"/>
    <n v="2802"/>
    <n v="1877"/>
  </r>
  <r>
    <x v="119"/>
    <s v="Kiona Moore"/>
    <x v="5"/>
    <x v="7"/>
    <x v="7"/>
    <x v="0"/>
    <n v="3486"/>
    <n v="2789"/>
  </r>
  <r>
    <x v="120"/>
    <s v="Guinevere Sullivan"/>
    <x v="1"/>
    <x v="8"/>
    <x v="8"/>
    <x v="0"/>
    <n v="3422"/>
    <n v="2122"/>
  </r>
  <r>
    <x v="121"/>
    <s v="Ingrid Barnes"/>
    <x v="6"/>
    <x v="9"/>
    <x v="9"/>
    <x v="0"/>
    <n v="2842"/>
    <n v="2188"/>
  </r>
  <r>
    <x v="122"/>
    <s v="Quinlan Holcomb"/>
    <x v="6"/>
    <x v="9"/>
    <x v="9"/>
    <x v="0"/>
    <n v="3846"/>
    <n v="2500"/>
  </r>
  <r>
    <x v="123"/>
    <s v="Blair Mccullough"/>
    <x v="4"/>
    <x v="5"/>
    <x v="10"/>
    <x v="2"/>
    <n v="3131"/>
    <n v="2380"/>
  </r>
  <r>
    <x v="124"/>
    <s v="Diana Guthrie"/>
    <x v="4"/>
    <x v="5"/>
    <x v="10"/>
    <x v="2"/>
    <n v="3825"/>
    <n v="2333"/>
  </r>
  <r>
    <x v="125"/>
    <s v="Neville Ashley"/>
    <x v="4"/>
    <x v="5"/>
    <x v="10"/>
    <x v="2"/>
    <n v="4362"/>
    <n v="3446"/>
  </r>
  <r>
    <x v="126"/>
    <s v="Lani Bowers"/>
    <x v="0"/>
    <x v="0"/>
    <x v="0"/>
    <x v="0"/>
    <n v="2934"/>
    <n v="1819"/>
  </r>
  <r>
    <x v="127"/>
    <s v="Lana Adkins"/>
    <x v="0"/>
    <x v="0"/>
    <x v="0"/>
    <x v="0"/>
    <n v="4354"/>
    <n v="2787"/>
  </r>
  <r>
    <x v="128"/>
    <s v="Sopoline Noel"/>
    <x v="0"/>
    <x v="0"/>
    <x v="0"/>
    <x v="0"/>
    <n v="2102"/>
    <n v="1534"/>
  </r>
  <r>
    <x v="129"/>
    <s v="Abbot Horton"/>
    <x v="1"/>
    <x v="1"/>
    <x v="1"/>
    <x v="0"/>
    <n v="3261"/>
    <n v="2446"/>
  </r>
  <r>
    <x v="130"/>
    <s v="Hedda Livingston"/>
    <x v="1"/>
    <x v="1"/>
    <x v="1"/>
    <x v="0"/>
    <n v="2577"/>
    <n v="1907"/>
  </r>
  <r>
    <x v="131"/>
    <s v="Henry Hodges"/>
    <x v="1"/>
    <x v="1"/>
    <x v="1"/>
    <x v="0"/>
    <n v="3131"/>
    <n v="1973"/>
  </r>
  <r>
    <x v="132"/>
    <s v="Aristotle Barrett"/>
    <x v="1"/>
    <x v="1"/>
    <x v="1"/>
    <x v="0"/>
    <n v="2683"/>
    <n v="1798"/>
  </r>
  <r>
    <x v="133"/>
    <s v="Wendy Neal"/>
    <x v="1"/>
    <x v="1"/>
    <x v="1"/>
    <x v="0"/>
    <n v="2613"/>
    <n v="1751"/>
  </r>
  <r>
    <x v="134"/>
    <s v="Raymond Mckenzie"/>
    <x v="2"/>
    <x v="2"/>
    <x v="2"/>
    <x v="1"/>
    <n v="4076"/>
    <n v="2609"/>
  </r>
  <r>
    <x v="135"/>
    <s v="Zephr Hickman"/>
    <x v="3"/>
    <x v="3"/>
    <x v="3"/>
    <x v="2"/>
    <n v="4400"/>
    <n v="3432"/>
  </r>
  <r>
    <x v="136"/>
    <s v="Georgia Kane"/>
    <x v="2"/>
    <x v="4"/>
    <x v="4"/>
    <x v="1"/>
    <n v="2466"/>
    <n v="1603"/>
  </r>
  <r>
    <x v="137"/>
    <s v="Stella Dejesus"/>
    <x v="4"/>
    <x v="5"/>
    <x v="5"/>
    <x v="2"/>
    <n v="2137"/>
    <n v="1325"/>
  </r>
  <r>
    <x v="138"/>
    <s v="Dahlia Porter"/>
    <x v="4"/>
    <x v="6"/>
    <x v="6"/>
    <x v="2"/>
    <n v="4216"/>
    <n v="3162"/>
  </r>
  <r>
    <x v="139"/>
    <s v="Ria Foster"/>
    <x v="4"/>
    <x v="6"/>
    <x v="6"/>
    <x v="2"/>
    <n v="3165"/>
    <n v="2310"/>
  </r>
  <r>
    <x v="140"/>
    <s v="Kiona Moore"/>
    <x v="5"/>
    <x v="7"/>
    <x v="7"/>
    <x v="0"/>
    <n v="3263"/>
    <n v="2545"/>
  </r>
  <r>
    <x v="141"/>
    <s v="Guinevere Sullivan"/>
    <x v="1"/>
    <x v="8"/>
    <x v="8"/>
    <x v="0"/>
    <n v="2946"/>
    <n v="2210"/>
  </r>
  <r>
    <x v="142"/>
    <s v="Ingrid Barnes"/>
    <x v="6"/>
    <x v="9"/>
    <x v="9"/>
    <x v="0"/>
    <n v="2989"/>
    <n v="2212"/>
  </r>
  <r>
    <x v="143"/>
    <s v="Quinlan Holcomb"/>
    <x v="6"/>
    <x v="9"/>
    <x v="9"/>
    <x v="0"/>
    <n v="3463"/>
    <n v="2770"/>
  </r>
  <r>
    <x v="144"/>
    <s v="Blair Mccullough"/>
    <x v="4"/>
    <x v="5"/>
    <x v="10"/>
    <x v="2"/>
    <n v="2677"/>
    <n v="2088"/>
  </r>
  <r>
    <x v="145"/>
    <s v="Diana Guthrie"/>
    <x v="4"/>
    <x v="5"/>
    <x v="10"/>
    <x v="2"/>
    <n v="2966"/>
    <n v="1928"/>
  </r>
  <r>
    <x v="146"/>
    <s v="Neville Ashley"/>
    <x v="4"/>
    <x v="5"/>
    <x v="10"/>
    <x v="2"/>
    <n v="2106"/>
    <n v="1516"/>
  </r>
  <r>
    <x v="147"/>
    <s v="Lani Bowers"/>
    <x v="0"/>
    <x v="0"/>
    <x v="0"/>
    <x v="0"/>
    <n v="3664"/>
    <n v="2272"/>
  </r>
  <r>
    <x v="148"/>
    <s v="Lana Adkins"/>
    <x v="0"/>
    <x v="0"/>
    <x v="0"/>
    <x v="0"/>
    <n v="3069"/>
    <n v="2240"/>
  </r>
  <r>
    <x v="149"/>
    <s v="Sopoline Noel"/>
    <x v="0"/>
    <x v="0"/>
    <x v="0"/>
    <x v="0"/>
    <n v="3755"/>
    <n v="2516"/>
  </r>
  <r>
    <x v="150"/>
    <s v="Abbot Horton"/>
    <x v="1"/>
    <x v="1"/>
    <x v="1"/>
    <x v="0"/>
    <n v="3215"/>
    <n v="2058"/>
  </r>
  <r>
    <x v="151"/>
    <s v="Hedda Livingston"/>
    <x v="1"/>
    <x v="1"/>
    <x v="1"/>
    <x v="0"/>
    <n v="3685"/>
    <n v="2543"/>
  </r>
  <r>
    <x v="152"/>
    <s v="Henry Hodges"/>
    <x v="1"/>
    <x v="1"/>
    <x v="1"/>
    <x v="0"/>
    <n v="4015"/>
    <n v="2730"/>
  </r>
  <r>
    <x v="153"/>
    <s v="Aristotle Barrett"/>
    <x v="1"/>
    <x v="1"/>
    <x v="1"/>
    <x v="0"/>
    <n v="2517"/>
    <n v="1661"/>
  </r>
  <r>
    <x v="154"/>
    <s v="Wendy Neal"/>
    <x v="1"/>
    <x v="1"/>
    <x v="1"/>
    <x v="0"/>
    <n v="2598"/>
    <n v="1793"/>
  </r>
  <r>
    <x v="155"/>
    <s v="Raymond Mckenzie"/>
    <x v="2"/>
    <x v="2"/>
    <x v="2"/>
    <x v="1"/>
    <n v="3513"/>
    <n v="2740"/>
  </r>
  <r>
    <x v="156"/>
    <s v="Zephr Hickman"/>
    <x v="3"/>
    <x v="3"/>
    <x v="3"/>
    <x v="2"/>
    <n v="2247"/>
    <n v="1775"/>
  </r>
  <r>
    <x v="157"/>
    <s v="Georgia Kane"/>
    <x v="2"/>
    <x v="4"/>
    <x v="4"/>
    <x v="1"/>
    <n v="2878"/>
    <n v="1784"/>
  </r>
  <r>
    <x v="158"/>
    <s v="Stella Dejesus"/>
    <x v="4"/>
    <x v="5"/>
    <x v="5"/>
    <x v="2"/>
    <n v="3425"/>
    <n v="2706"/>
  </r>
  <r>
    <x v="159"/>
    <s v="Dahlia Porter"/>
    <x v="4"/>
    <x v="6"/>
    <x v="6"/>
    <x v="2"/>
    <n v="2865"/>
    <n v="2091"/>
  </r>
  <r>
    <x v="160"/>
    <s v="Ria Foster"/>
    <x v="4"/>
    <x v="6"/>
    <x v="6"/>
    <x v="2"/>
    <n v="2393"/>
    <n v="1723"/>
  </r>
  <r>
    <x v="161"/>
    <s v="Kiona Moore"/>
    <x v="5"/>
    <x v="7"/>
    <x v="7"/>
    <x v="0"/>
    <n v="3149"/>
    <n v="2299"/>
  </r>
  <r>
    <x v="162"/>
    <s v="Guinevere Sullivan"/>
    <x v="1"/>
    <x v="8"/>
    <x v="8"/>
    <x v="0"/>
    <n v="3277"/>
    <n v="2130"/>
  </r>
  <r>
    <x v="163"/>
    <s v="Ingrid Barnes"/>
    <x v="6"/>
    <x v="9"/>
    <x v="9"/>
    <x v="0"/>
    <n v="2713"/>
    <n v="1682"/>
  </r>
  <r>
    <x v="164"/>
    <s v="Quinlan Holcomb"/>
    <x v="6"/>
    <x v="9"/>
    <x v="9"/>
    <x v="0"/>
    <n v="3381"/>
    <n v="2231"/>
  </r>
  <r>
    <x v="165"/>
    <s v="Blair Mccullough"/>
    <x v="4"/>
    <x v="5"/>
    <x v="10"/>
    <x v="2"/>
    <n v="2545"/>
    <n v="2011"/>
  </r>
  <r>
    <x v="166"/>
    <s v="Diana Guthrie"/>
    <x v="4"/>
    <x v="5"/>
    <x v="10"/>
    <x v="2"/>
    <n v="4473"/>
    <n v="2729"/>
  </r>
  <r>
    <x v="167"/>
    <s v="Neville Ashley"/>
    <x v="4"/>
    <x v="5"/>
    <x v="10"/>
    <x v="2"/>
    <n v="3332"/>
    <n v="2132"/>
  </r>
  <r>
    <x v="168"/>
    <s v="Lani Bowers"/>
    <x v="0"/>
    <x v="0"/>
    <x v="0"/>
    <x v="0"/>
    <n v="2283"/>
    <n v="1438"/>
  </r>
  <r>
    <x v="169"/>
    <s v="Lana Adkins"/>
    <x v="0"/>
    <x v="0"/>
    <x v="0"/>
    <x v="0"/>
    <n v="2696"/>
    <n v="1833"/>
  </r>
  <r>
    <x v="170"/>
    <s v="Sopoline Noel"/>
    <x v="0"/>
    <x v="0"/>
    <x v="0"/>
    <x v="0"/>
    <n v="4061"/>
    <n v="3127"/>
  </r>
  <r>
    <x v="171"/>
    <s v="Abbot Horton"/>
    <x v="1"/>
    <x v="1"/>
    <x v="1"/>
    <x v="0"/>
    <n v="2382"/>
    <n v="1548"/>
  </r>
  <r>
    <x v="172"/>
    <s v="Hedda Livingston"/>
    <x v="1"/>
    <x v="1"/>
    <x v="1"/>
    <x v="0"/>
    <n v="4336"/>
    <n v="2602"/>
  </r>
  <r>
    <x v="173"/>
    <s v="Henry Hodges"/>
    <x v="1"/>
    <x v="1"/>
    <x v="1"/>
    <x v="0"/>
    <n v="2602"/>
    <n v="2004"/>
  </r>
  <r>
    <x v="174"/>
    <s v="Aristotle Barrett"/>
    <x v="1"/>
    <x v="1"/>
    <x v="1"/>
    <x v="0"/>
    <n v="3094"/>
    <n v="2073"/>
  </r>
  <r>
    <x v="175"/>
    <s v="Wendy Neal"/>
    <x v="1"/>
    <x v="1"/>
    <x v="1"/>
    <x v="0"/>
    <n v="3510"/>
    <n v="2141"/>
  </r>
  <r>
    <x v="176"/>
    <s v="Raymond Mckenzie"/>
    <x v="2"/>
    <x v="2"/>
    <x v="2"/>
    <x v="1"/>
    <n v="2134"/>
    <n v="1536"/>
  </r>
  <r>
    <x v="177"/>
    <s v="Zephr Hickman"/>
    <x v="3"/>
    <x v="3"/>
    <x v="3"/>
    <x v="2"/>
    <n v="2661"/>
    <n v="2022"/>
  </r>
  <r>
    <x v="178"/>
    <s v="Georgia Kane"/>
    <x v="2"/>
    <x v="4"/>
    <x v="4"/>
    <x v="1"/>
    <n v="2901"/>
    <n v="1741"/>
  </r>
  <r>
    <x v="179"/>
    <s v="Stella Dejesus"/>
    <x v="4"/>
    <x v="5"/>
    <x v="5"/>
    <x v="2"/>
    <n v="3784"/>
    <n v="2384"/>
  </r>
  <r>
    <x v="180"/>
    <s v="Dahlia Porter"/>
    <x v="4"/>
    <x v="6"/>
    <x v="6"/>
    <x v="2"/>
    <n v="3135"/>
    <n v="2445"/>
  </r>
  <r>
    <x v="181"/>
    <s v="Ria Foster"/>
    <x v="4"/>
    <x v="6"/>
    <x v="6"/>
    <x v="2"/>
    <n v="2802"/>
    <n v="1877"/>
  </r>
  <r>
    <x v="182"/>
    <s v="Kiona Moore"/>
    <x v="5"/>
    <x v="7"/>
    <x v="7"/>
    <x v="0"/>
    <n v="3486"/>
    <n v="2789"/>
  </r>
  <r>
    <x v="183"/>
    <s v="Guinevere Sullivan"/>
    <x v="1"/>
    <x v="8"/>
    <x v="8"/>
    <x v="0"/>
    <n v="3422"/>
    <n v="2122"/>
  </r>
  <r>
    <x v="184"/>
    <s v="Ingrid Barnes"/>
    <x v="6"/>
    <x v="9"/>
    <x v="9"/>
    <x v="0"/>
    <n v="2842"/>
    <n v="2188"/>
  </r>
  <r>
    <x v="185"/>
    <s v="Quinlan Holcomb"/>
    <x v="6"/>
    <x v="9"/>
    <x v="9"/>
    <x v="0"/>
    <n v="3846"/>
    <n v="2500"/>
  </r>
  <r>
    <x v="186"/>
    <s v="Blair Mccullough"/>
    <x v="4"/>
    <x v="5"/>
    <x v="10"/>
    <x v="2"/>
    <n v="3131"/>
    <n v="2380"/>
  </r>
  <r>
    <x v="187"/>
    <s v="Diana Guthrie"/>
    <x v="4"/>
    <x v="5"/>
    <x v="10"/>
    <x v="2"/>
    <n v="3825"/>
    <n v="2333"/>
  </r>
  <r>
    <x v="188"/>
    <s v="Neville Ashley"/>
    <x v="4"/>
    <x v="5"/>
    <x v="10"/>
    <x v="2"/>
    <n v="4362"/>
    <n v="3446"/>
  </r>
  <r>
    <x v="189"/>
    <s v="Lani Bowers"/>
    <x v="0"/>
    <x v="0"/>
    <x v="0"/>
    <x v="0"/>
    <n v="2934"/>
    <n v="1819"/>
  </r>
  <r>
    <x v="190"/>
    <s v="Lana Adkins"/>
    <x v="0"/>
    <x v="0"/>
    <x v="0"/>
    <x v="0"/>
    <n v="4354"/>
    <n v="2787"/>
  </r>
  <r>
    <x v="191"/>
    <s v="Sopoline Noel"/>
    <x v="0"/>
    <x v="0"/>
    <x v="0"/>
    <x v="0"/>
    <n v="2102"/>
    <n v="1534"/>
  </r>
  <r>
    <x v="192"/>
    <s v="Abbot Horton"/>
    <x v="1"/>
    <x v="1"/>
    <x v="1"/>
    <x v="0"/>
    <n v="3261"/>
    <n v="2446"/>
  </r>
  <r>
    <x v="193"/>
    <s v="Hedda Livingston"/>
    <x v="1"/>
    <x v="1"/>
    <x v="1"/>
    <x v="0"/>
    <n v="2577"/>
    <n v="1907"/>
  </r>
  <r>
    <x v="194"/>
    <s v="Henry Hodges"/>
    <x v="1"/>
    <x v="1"/>
    <x v="1"/>
    <x v="0"/>
    <n v="3131"/>
    <n v="1973"/>
  </r>
  <r>
    <x v="195"/>
    <s v="Aristotle Barrett"/>
    <x v="1"/>
    <x v="1"/>
    <x v="1"/>
    <x v="0"/>
    <n v="2683"/>
    <n v="1798"/>
  </r>
  <r>
    <x v="196"/>
    <s v="Wendy Neal"/>
    <x v="1"/>
    <x v="1"/>
    <x v="1"/>
    <x v="0"/>
    <n v="2613"/>
    <n v="1751"/>
  </r>
  <r>
    <x v="197"/>
    <s v="Raymond Mckenzie"/>
    <x v="2"/>
    <x v="2"/>
    <x v="2"/>
    <x v="1"/>
    <n v="4076"/>
    <n v="2609"/>
  </r>
  <r>
    <x v="198"/>
    <s v="Zephr Hickman"/>
    <x v="3"/>
    <x v="3"/>
    <x v="3"/>
    <x v="2"/>
    <n v="4400"/>
    <n v="3432"/>
  </r>
  <r>
    <x v="199"/>
    <s v="Georgia Kane"/>
    <x v="2"/>
    <x v="4"/>
    <x v="4"/>
    <x v="1"/>
    <n v="2466"/>
    <n v="1603"/>
  </r>
  <r>
    <x v="200"/>
    <s v="Stella Dejesus"/>
    <x v="4"/>
    <x v="5"/>
    <x v="5"/>
    <x v="2"/>
    <n v="2137"/>
    <n v="1325"/>
  </r>
  <r>
    <x v="201"/>
    <s v="Dahlia Porter"/>
    <x v="4"/>
    <x v="6"/>
    <x v="6"/>
    <x v="2"/>
    <n v="4216"/>
    <n v="3162"/>
  </r>
  <r>
    <x v="202"/>
    <s v="Ria Foster"/>
    <x v="4"/>
    <x v="6"/>
    <x v="6"/>
    <x v="2"/>
    <n v="3165"/>
    <n v="2310"/>
  </r>
  <r>
    <x v="203"/>
    <s v="Kiona Moore"/>
    <x v="5"/>
    <x v="7"/>
    <x v="7"/>
    <x v="0"/>
    <n v="3263"/>
    <n v="2545"/>
  </r>
  <r>
    <x v="204"/>
    <s v="Guinevere Sullivan"/>
    <x v="1"/>
    <x v="8"/>
    <x v="8"/>
    <x v="0"/>
    <n v="2946"/>
    <n v="2210"/>
  </r>
  <r>
    <x v="205"/>
    <s v="Ingrid Barnes"/>
    <x v="6"/>
    <x v="9"/>
    <x v="9"/>
    <x v="0"/>
    <n v="2989"/>
    <n v="2212"/>
  </r>
  <r>
    <x v="206"/>
    <s v="Quinlan Holcomb"/>
    <x v="6"/>
    <x v="9"/>
    <x v="9"/>
    <x v="0"/>
    <n v="3463"/>
    <n v="2770"/>
  </r>
  <r>
    <x v="207"/>
    <s v="Blair Mccullough"/>
    <x v="4"/>
    <x v="5"/>
    <x v="10"/>
    <x v="2"/>
    <n v="2677"/>
    <n v="2088"/>
  </r>
  <r>
    <x v="208"/>
    <s v="Diana Guthrie"/>
    <x v="4"/>
    <x v="5"/>
    <x v="10"/>
    <x v="2"/>
    <n v="2966"/>
    <n v="1928"/>
  </r>
  <r>
    <x v="209"/>
    <s v="Neville Ashley"/>
    <x v="4"/>
    <x v="5"/>
    <x v="10"/>
    <x v="2"/>
    <n v="2106"/>
    <n v="1516"/>
  </r>
  <r>
    <x v="210"/>
    <s v="Lani Bowers"/>
    <x v="0"/>
    <x v="0"/>
    <x v="0"/>
    <x v="0"/>
    <n v="3664"/>
    <n v="2272"/>
  </r>
  <r>
    <x v="211"/>
    <s v="Lana Adkins"/>
    <x v="0"/>
    <x v="0"/>
    <x v="0"/>
    <x v="0"/>
    <n v="3069"/>
    <n v="2240"/>
  </r>
  <r>
    <x v="212"/>
    <s v="Sopoline Noel"/>
    <x v="0"/>
    <x v="0"/>
    <x v="0"/>
    <x v="0"/>
    <n v="3755"/>
    <n v="2516"/>
  </r>
  <r>
    <x v="213"/>
    <s v="Abbot Horton"/>
    <x v="1"/>
    <x v="1"/>
    <x v="1"/>
    <x v="0"/>
    <n v="3215"/>
    <n v="2058"/>
  </r>
  <r>
    <x v="214"/>
    <s v="Hedda Livingston"/>
    <x v="1"/>
    <x v="1"/>
    <x v="1"/>
    <x v="0"/>
    <n v="3685"/>
    <n v="2543"/>
  </r>
  <r>
    <x v="215"/>
    <s v="Henry Hodges"/>
    <x v="1"/>
    <x v="1"/>
    <x v="1"/>
    <x v="0"/>
    <n v="4015"/>
    <n v="2730"/>
  </r>
  <r>
    <x v="216"/>
    <s v="Aristotle Barrett"/>
    <x v="1"/>
    <x v="1"/>
    <x v="1"/>
    <x v="0"/>
    <n v="2517"/>
    <n v="1661"/>
  </r>
  <r>
    <x v="217"/>
    <s v="Wendy Neal"/>
    <x v="1"/>
    <x v="1"/>
    <x v="1"/>
    <x v="0"/>
    <n v="2598"/>
    <n v="1793"/>
  </r>
  <r>
    <x v="218"/>
    <s v="Raymond Mckenzie"/>
    <x v="2"/>
    <x v="2"/>
    <x v="2"/>
    <x v="1"/>
    <n v="3513"/>
    <n v="2740"/>
  </r>
  <r>
    <x v="219"/>
    <s v="Zephr Hickman"/>
    <x v="3"/>
    <x v="3"/>
    <x v="3"/>
    <x v="2"/>
    <n v="2247"/>
    <n v="1775"/>
  </r>
  <r>
    <x v="220"/>
    <s v="Georgia Kane"/>
    <x v="2"/>
    <x v="4"/>
    <x v="4"/>
    <x v="1"/>
    <n v="2878"/>
    <n v="1784"/>
  </r>
  <r>
    <x v="221"/>
    <s v="Stella Dejesus"/>
    <x v="4"/>
    <x v="5"/>
    <x v="5"/>
    <x v="2"/>
    <n v="3425"/>
    <n v="2706"/>
  </r>
  <r>
    <x v="222"/>
    <s v="Dahlia Porter"/>
    <x v="4"/>
    <x v="6"/>
    <x v="6"/>
    <x v="2"/>
    <n v="2865"/>
    <n v="2091"/>
  </r>
  <r>
    <x v="223"/>
    <s v="Ria Foster"/>
    <x v="4"/>
    <x v="6"/>
    <x v="6"/>
    <x v="2"/>
    <n v="2393"/>
    <n v="1723"/>
  </r>
  <r>
    <x v="224"/>
    <s v="Kiona Moore"/>
    <x v="5"/>
    <x v="7"/>
    <x v="7"/>
    <x v="0"/>
    <n v="3149"/>
    <n v="2299"/>
  </r>
  <r>
    <x v="225"/>
    <s v="Guinevere Sullivan"/>
    <x v="1"/>
    <x v="8"/>
    <x v="8"/>
    <x v="0"/>
    <n v="3277"/>
    <n v="2130"/>
  </r>
  <r>
    <x v="226"/>
    <s v="Ingrid Barnes"/>
    <x v="6"/>
    <x v="9"/>
    <x v="9"/>
    <x v="0"/>
    <n v="2713"/>
    <n v="1682"/>
  </r>
  <r>
    <x v="227"/>
    <s v="Quinlan Holcomb"/>
    <x v="6"/>
    <x v="9"/>
    <x v="9"/>
    <x v="0"/>
    <n v="3381"/>
    <n v="2231"/>
  </r>
  <r>
    <x v="228"/>
    <s v="Blair Mccullough"/>
    <x v="4"/>
    <x v="5"/>
    <x v="10"/>
    <x v="2"/>
    <n v="2545"/>
    <n v="2011"/>
  </r>
  <r>
    <x v="229"/>
    <s v="Diana Guthrie"/>
    <x v="4"/>
    <x v="5"/>
    <x v="10"/>
    <x v="2"/>
    <n v="4473"/>
    <n v="2729"/>
  </r>
  <r>
    <x v="230"/>
    <s v="Neville Ashley"/>
    <x v="4"/>
    <x v="5"/>
    <x v="10"/>
    <x v="2"/>
    <n v="3332"/>
    <n v="2132"/>
  </r>
  <r>
    <x v="231"/>
    <s v="Lani Bowers"/>
    <x v="0"/>
    <x v="0"/>
    <x v="0"/>
    <x v="0"/>
    <n v="2283"/>
    <n v="1438"/>
  </r>
  <r>
    <x v="232"/>
    <s v="Lana Adkins"/>
    <x v="0"/>
    <x v="0"/>
    <x v="0"/>
    <x v="0"/>
    <n v="2696"/>
    <n v="1833"/>
  </r>
  <r>
    <x v="233"/>
    <s v="Sopoline Noel"/>
    <x v="0"/>
    <x v="0"/>
    <x v="0"/>
    <x v="0"/>
    <n v="4061"/>
    <n v="3127"/>
  </r>
  <r>
    <x v="234"/>
    <s v="Abbot Horton"/>
    <x v="1"/>
    <x v="1"/>
    <x v="1"/>
    <x v="0"/>
    <n v="2382"/>
    <n v="1548"/>
  </r>
  <r>
    <x v="235"/>
    <s v="Hedda Livingston"/>
    <x v="1"/>
    <x v="1"/>
    <x v="1"/>
    <x v="0"/>
    <n v="4336"/>
    <n v="2602"/>
  </r>
  <r>
    <x v="236"/>
    <s v="Henry Hodges"/>
    <x v="1"/>
    <x v="1"/>
    <x v="1"/>
    <x v="0"/>
    <n v="2602"/>
    <n v="2004"/>
  </r>
  <r>
    <x v="237"/>
    <s v="Aristotle Barrett"/>
    <x v="1"/>
    <x v="1"/>
    <x v="1"/>
    <x v="0"/>
    <n v="3094"/>
    <n v="2073"/>
  </r>
  <r>
    <x v="238"/>
    <s v="Wendy Neal"/>
    <x v="1"/>
    <x v="1"/>
    <x v="1"/>
    <x v="0"/>
    <n v="3510"/>
    <n v="2141"/>
  </r>
  <r>
    <x v="239"/>
    <s v="Raymond Mckenzie"/>
    <x v="2"/>
    <x v="2"/>
    <x v="2"/>
    <x v="1"/>
    <n v="2134"/>
    <n v="1536"/>
  </r>
  <r>
    <x v="240"/>
    <s v="Zephr Hickman"/>
    <x v="3"/>
    <x v="3"/>
    <x v="3"/>
    <x v="2"/>
    <n v="2661"/>
    <n v="2022"/>
  </r>
  <r>
    <x v="241"/>
    <s v="Georgia Kane"/>
    <x v="2"/>
    <x v="4"/>
    <x v="4"/>
    <x v="1"/>
    <n v="2901"/>
    <n v="1741"/>
  </r>
  <r>
    <x v="242"/>
    <s v="Stella Dejesus"/>
    <x v="4"/>
    <x v="5"/>
    <x v="5"/>
    <x v="2"/>
    <n v="3784"/>
    <n v="2384"/>
  </r>
  <r>
    <x v="243"/>
    <s v="Dahlia Porter"/>
    <x v="4"/>
    <x v="6"/>
    <x v="6"/>
    <x v="2"/>
    <n v="3135"/>
    <n v="2445"/>
  </r>
  <r>
    <x v="244"/>
    <s v="Ria Foster"/>
    <x v="4"/>
    <x v="6"/>
    <x v="6"/>
    <x v="2"/>
    <n v="2802"/>
    <n v="1877"/>
  </r>
  <r>
    <x v="245"/>
    <s v="Kiona Moore"/>
    <x v="5"/>
    <x v="7"/>
    <x v="7"/>
    <x v="0"/>
    <n v="3486"/>
    <n v="2789"/>
  </r>
  <r>
    <x v="246"/>
    <s v="Guinevere Sullivan"/>
    <x v="1"/>
    <x v="8"/>
    <x v="8"/>
    <x v="0"/>
    <n v="3422"/>
    <n v="2122"/>
  </r>
  <r>
    <x v="247"/>
    <s v="Ingrid Barnes"/>
    <x v="6"/>
    <x v="9"/>
    <x v="9"/>
    <x v="0"/>
    <n v="2842"/>
    <n v="2188"/>
  </r>
  <r>
    <x v="248"/>
    <s v="Quinlan Holcomb"/>
    <x v="6"/>
    <x v="9"/>
    <x v="9"/>
    <x v="0"/>
    <n v="3846"/>
    <n v="2500"/>
  </r>
  <r>
    <x v="249"/>
    <s v="Blair Mccullough"/>
    <x v="4"/>
    <x v="5"/>
    <x v="10"/>
    <x v="2"/>
    <n v="3131"/>
    <n v="2380"/>
  </r>
  <r>
    <x v="250"/>
    <s v="Diana Guthrie"/>
    <x v="4"/>
    <x v="5"/>
    <x v="10"/>
    <x v="2"/>
    <n v="3825"/>
    <n v="2333"/>
  </r>
  <r>
    <x v="251"/>
    <s v="Neville Ashley"/>
    <x v="4"/>
    <x v="5"/>
    <x v="10"/>
    <x v="2"/>
    <n v="4362"/>
    <n v="3446"/>
  </r>
  <r>
    <x v="252"/>
    <s v="Lani Bowers"/>
    <x v="0"/>
    <x v="0"/>
    <x v="0"/>
    <x v="0"/>
    <n v="2934"/>
    <n v="1819"/>
  </r>
  <r>
    <x v="253"/>
    <s v="Lana Adkins"/>
    <x v="0"/>
    <x v="0"/>
    <x v="0"/>
    <x v="0"/>
    <n v="4354"/>
    <n v="2787"/>
  </r>
  <r>
    <x v="254"/>
    <s v="Sopoline Noel"/>
    <x v="0"/>
    <x v="0"/>
    <x v="0"/>
    <x v="0"/>
    <n v="2102"/>
    <n v="1534"/>
  </r>
  <r>
    <x v="255"/>
    <s v="Abbot Horton"/>
    <x v="1"/>
    <x v="1"/>
    <x v="1"/>
    <x v="0"/>
    <n v="3261"/>
    <n v="2446"/>
  </r>
  <r>
    <x v="256"/>
    <s v="Hedda Livingston"/>
    <x v="1"/>
    <x v="1"/>
    <x v="1"/>
    <x v="0"/>
    <n v="2577"/>
    <n v="1907"/>
  </r>
  <r>
    <x v="257"/>
    <s v="Henry Hodges"/>
    <x v="1"/>
    <x v="1"/>
    <x v="1"/>
    <x v="0"/>
    <n v="3131"/>
    <n v="1973"/>
  </r>
  <r>
    <x v="258"/>
    <s v="Aristotle Barrett"/>
    <x v="1"/>
    <x v="1"/>
    <x v="1"/>
    <x v="0"/>
    <n v="2683"/>
    <n v="1798"/>
  </r>
  <r>
    <x v="259"/>
    <s v="Wendy Neal"/>
    <x v="1"/>
    <x v="1"/>
    <x v="1"/>
    <x v="0"/>
    <n v="2613"/>
    <n v="1751"/>
  </r>
  <r>
    <x v="260"/>
    <s v="Raymond Mckenzie"/>
    <x v="2"/>
    <x v="2"/>
    <x v="2"/>
    <x v="1"/>
    <n v="4076"/>
    <n v="2609"/>
  </r>
  <r>
    <x v="261"/>
    <s v="Zephr Hickman"/>
    <x v="3"/>
    <x v="3"/>
    <x v="3"/>
    <x v="2"/>
    <n v="4400"/>
    <n v="3432"/>
  </r>
  <r>
    <x v="262"/>
    <s v="Georgia Kane"/>
    <x v="2"/>
    <x v="4"/>
    <x v="4"/>
    <x v="1"/>
    <n v="2466"/>
    <n v="1603"/>
  </r>
  <r>
    <x v="263"/>
    <s v="Stella Dejesus"/>
    <x v="4"/>
    <x v="5"/>
    <x v="5"/>
    <x v="2"/>
    <n v="2137"/>
    <n v="1325"/>
  </r>
  <r>
    <x v="264"/>
    <s v="Dahlia Porter"/>
    <x v="4"/>
    <x v="6"/>
    <x v="6"/>
    <x v="2"/>
    <n v="4216"/>
    <n v="3162"/>
  </r>
  <r>
    <x v="265"/>
    <s v="Ria Foster"/>
    <x v="4"/>
    <x v="6"/>
    <x v="6"/>
    <x v="2"/>
    <n v="3165"/>
    <n v="2310"/>
  </r>
  <r>
    <x v="266"/>
    <s v="Kiona Moore"/>
    <x v="5"/>
    <x v="7"/>
    <x v="7"/>
    <x v="0"/>
    <n v="3263"/>
    <n v="2545"/>
  </r>
  <r>
    <x v="267"/>
    <s v="Guinevere Sullivan"/>
    <x v="1"/>
    <x v="8"/>
    <x v="8"/>
    <x v="0"/>
    <n v="2946"/>
    <n v="2210"/>
  </r>
  <r>
    <x v="268"/>
    <s v="Ingrid Barnes"/>
    <x v="6"/>
    <x v="9"/>
    <x v="9"/>
    <x v="0"/>
    <n v="2989"/>
    <n v="2212"/>
  </r>
  <r>
    <x v="269"/>
    <s v="Quinlan Holcomb"/>
    <x v="6"/>
    <x v="9"/>
    <x v="9"/>
    <x v="0"/>
    <n v="3463"/>
    <n v="2770"/>
  </r>
  <r>
    <x v="270"/>
    <s v="Blair Mccullough"/>
    <x v="4"/>
    <x v="5"/>
    <x v="10"/>
    <x v="2"/>
    <n v="2677"/>
    <n v="2088"/>
  </r>
  <r>
    <x v="271"/>
    <s v="Diana Guthrie"/>
    <x v="4"/>
    <x v="5"/>
    <x v="10"/>
    <x v="2"/>
    <n v="2966"/>
    <n v="1928"/>
  </r>
  <r>
    <x v="272"/>
    <s v="Neville Ashley"/>
    <x v="4"/>
    <x v="5"/>
    <x v="10"/>
    <x v="2"/>
    <n v="2106"/>
    <n v="1516"/>
  </r>
  <r>
    <x v="273"/>
    <s v="Lani Bowers"/>
    <x v="0"/>
    <x v="0"/>
    <x v="0"/>
    <x v="0"/>
    <n v="3664"/>
    <n v="2272"/>
  </r>
  <r>
    <x v="274"/>
    <s v="Lana Adkins"/>
    <x v="0"/>
    <x v="0"/>
    <x v="0"/>
    <x v="0"/>
    <n v="3069"/>
    <n v="2240"/>
  </r>
  <r>
    <x v="275"/>
    <s v="Sopoline Noel"/>
    <x v="0"/>
    <x v="0"/>
    <x v="0"/>
    <x v="0"/>
    <n v="3755"/>
    <n v="2516"/>
  </r>
  <r>
    <x v="276"/>
    <s v="Abbot Horton"/>
    <x v="1"/>
    <x v="1"/>
    <x v="1"/>
    <x v="0"/>
    <n v="3215"/>
    <n v="2058"/>
  </r>
  <r>
    <x v="277"/>
    <s v="Hedda Livingston"/>
    <x v="1"/>
    <x v="1"/>
    <x v="1"/>
    <x v="0"/>
    <n v="3685"/>
    <n v="2543"/>
  </r>
  <r>
    <x v="278"/>
    <s v="Henry Hodges"/>
    <x v="1"/>
    <x v="1"/>
    <x v="1"/>
    <x v="0"/>
    <n v="4015"/>
    <n v="2730"/>
  </r>
  <r>
    <x v="279"/>
    <s v="Aristotle Barrett"/>
    <x v="1"/>
    <x v="1"/>
    <x v="1"/>
    <x v="0"/>
    <n v="2517"/>
    <n v="1661"/>
  </r>
  <r>
    <x v="280"/>
    <s v="Wendy Neal"/>
    <x v="1"/>
    <x v="1"/>
    <x v="1"/>
    <x v="0"/>
    <n v="2598"/>
    <n v="1793"/>
  </r>
  <r>
    <x v="281"/>
    <s v="Raymond Mckenzie"/>
    <x v="2"/>
    <x v="2"/>
    <x v="2"/>
    <x v="1"/>
    <n v="3513"/>
    <n v="2740"/>
  </r>
  <r>
    <x v="282"/>
    <s v="Zephr Hickman"/>
    <x v="3"/>
    <x v="3"/>
    <x v="3"/>
    <x v="2"/>
    <n v="2247"/>
    <n v="1775"/>
  </r>
  <r>
    <x v="283"/>
    <s v="Georgia Kane"/>
    <x v="2"/>
    <x v="4"/>
    <x v="4"/>
    <x v="1"/>
    <n v="2878"/>
    <n v="1784"/>
  </r>
  <r>
    <x v="284"/>
    <s v="Stella Dejesus"/>
    <x v="4"/>
    <x v="5"/>
    <x v="5"/>
    <x v="2"/>
    <n v="3425"/>
    <n v="2706"/>
  </r>
  <r>
    <x v="285"/>
    <s v="Dahlia Porter"/>
    <x v="4"/>
    <x v="6"/>
    <x v="6"/>
    <x v="2"/>
    <n v="2865"/>
    <n v="2091"/>
  </r>
  <r>
    <x v="286"/>
    <s v="Ria Foster"/>
    <x v="4"/>
    <x v="6"/>
    <x v="6"/>
    <x v="2"/>
    <n v="2393"/>
    <n v="1723"/>
  </r>
  <r>
    <x v="287"/>
    <s v="Kiona Moore"/>
    <x v="5"/>
    <x v="7"/>
    <x v="7"/>
    <x v="0"/>
    <n v="3149"/>
    <n v="2299"/>
  </r>
  <r>
    <x v="288"/>
    <s v="Guinevere Sullivan"/>
    <x v="1"/>
    <x v="8"/>
    <x v="8"/>
    <x v="0"/>
    <n v="3277"/>
    <n v="2130"/>
  </r>
  <r>
    <x v="289"/>
    <s v="Ingrid Barnes"/>
    <x v="6"/>
    <x v="9"/>
    <x v="9"/>
    <x v="0"/>
    <n v="2713"/>
    <n v="1682"/>
  </r>
  <r>
    <x v="290"/>
    <s v="Quinlan Holcomb"/>
    <x v="6"/>
    <x v="9"/>
    <x v="9"/>
    <x v="0"/>
    <n v="3381"/>
    <n v="2231"/>
  </r>
  <r>
    <x v="291"/>
    <s v="Blair Mccullough"/>
    <x v="4"/>
    <x v="5"/>
    <x v="10"/>
    <x v="2"/>
    <n v="2545"/>
    <n v="2011"/>
  </r>
  <r>
    <x v="292"/>
    <s v="Diana Guthrie"/>
    <x v="4"/>
    <x v="5"/>
    <x v="10"/>
    <x v="2"/>
    <n v="4473"/>
    <n v="2729"/>
  </r>
  <r>
    <x v="293"/>
    <s v="Neville Ashley"/>
    <x v="4"/>
    <x v="5"/>
    <x v="10"/>
    <x v="2"/>
    <n v="3332"/>
    <n v="2132"/>
  </r>
  <r>
    <x v="294"/>
    <s v="Lani Bowers"/>
    <x v="0"/>
    <x v="0"/>
    <x v="0"/>
    <x v="0"/>
    <n v="2283"/>
    <n v="1438"/>
  </r>
  <r>
    <x v="295"/>
    <s v="Lana Adkins"/>
    <x v="0"/>
    <x v="0"/>
    <x v="0"/>
    <x v="0"/>
    <n v="2696"/>
    <n v="1833"/>
  </r>
  <r>
    <x v="296"/>
    <s v="Sopoline Noel"/>
    <x v="0"/>
    <x v="0"/>
    <x v="0"/>
    <x v="0"/>
    <n v="4061"/>
    <n v="3127"/>
  </r>
  <r>
    <x v="297"/>
    <s v="Abbot Horton"/>
    <x v="1"/>
    <x v="1"/>
    <x v="1"/>
    <x v="0"/>
    <n v="2382"/>
    <n v="1548"/>
  </r>
  <r>
    <x v="298"/>
    <s v="Hedda Livingston"/>
    <x v="1"/>
    <x v="1"/>
    <x v="1"/>
    <x v="0"/>
    <n v="4336"/>
    <n v="2602"/>
  </r>
  <r>
    <x v="299"/>
    <s v="Henry Hodges"/>
    <x v="1"/>
    <x v="1"/>
    <x v="1"/>
    <x v="0"/>
    <n v="2602"/>
    <n v="2004"/>
  </r>
  <r>
    <x v="300"/>
    <s v="Aristotle Barrett"/>
    <x v="1"/>
    <x v="1"/>
    <x v="1"/>
    <x v="0"/>
    <n v="3094"/>
    <n v="2073"/>
  </r>
  <r>
    <x v="301"/>
    <s v="Wendy Neal"/>
    <x v="1"/>
    <x v="1"/>
    <x v="1"/>
    <x v="0"/>
    <n v="3510"/>
    <n v="2141"/>
  </r>
  <r>
    <x v="302"/>
    <s v="Raymond Mckenzie"/>
    <x v="2"/>
    <x v="2"/>
    <x v="2"/>
    <x v="1"/>
    <n v="2134"/>
    <n v="1536"/>
  </r>
  <r>
    <x v="303"/>
    <s v="Zephr Hickman"/>
    <x v="3"/>
    <x v="3"/>
    <x v="3"/>
    <x v="2"/>
    <n v="2661"/>
    <n v="2022"/>
  </r>
  <r>
    <x v="304"/>
    <s v="Georgia Kane"/>
    <x v="2"/>
    <x v="4"/>
    <x v="4"/>
    <x v="1"/>
    <n v="2901"/>
    <n v="1741"/>
  </r>
  <r>
    <x v="305"/>
    <s v="Stella Dejesus"/>
    <x v="4"/>
    <x v="5"/>
    <x v="5"/>
    <x v="2"/>
    <n v="3784"/>
    <n v="2384"/>
  </r>
  <r>
    <x v="306"/>
    <s v="Dahlia Porter"/>
    <x v="4"/>
    <x v="6"/>
    <x v="6"/>
    <x v="2"/>
    <n v="3135"/>
    <n v="2445"/>
  </r>
  <r>
    <x v="307"/>
    <s v="Ria Foster"/>
    <x v="4"/>
    <x v="6"/>
    <x v="6"/>
    <x v="2"/>
    <n v="2802"/>
    <n v="1877"/>
  </r>
  <r>
    <x v="308"/>
    <s v="Kiona Moore"/>
    <x v="5"/>
    <x v="7"/>
    <x v="7"/>
    <x v="0"/>
    <n v="3486"/>
    <n v="2789"/>
  </r>
  <r>
    <x v="309"/>
    <s v="Guinevere Sullivan"/>
    <x v="1"/>
    <x v="8"/>
    <x v="8"/>
    <x v="0"/>
    <n v="3422"/>
    <n v="2122"/>
  </r>
  <r>
    <x v="310"/>
    <s v="Ingrid Barnes"/>
    <x v="6"/>
    <x v="9"/>
    <x v="9"/>
    <x v="0"/>
    <n v="2842"/>
    <n v="2188"/>
  </r>
  <r>
    <x v="311"/>
    <s v="Quinlan Holcomb"/>
    <x v="6"/>
    <x v="9"/>
    <x v="9"/>
    <x v="0"/>
    <n v="3846"/>
    <n v="2500"/>
  </r>
  <r>
    <x v="312"/>
    <s v="Blair Mccullough"/>
    <x v="4"/>
    <x v="5"/>
    <x v="10"/>
    <x v="2"/>
    <n v="3131"/>
    <n v="2380"/>
  </r>
  <r>
    <x v="313"/>
    <s v="Diana Guthrie"/>
    <x v="4"/>
    <x v="5"/>
    <x v="10"/>
    <x v="2"/>
    <n v="3825"/>
    <n v="2333"/>
  </r>
  <r>
    <x v="314"/>
    <s v="Neville Ashley"/>
    <x v="4"/>
    <x v="5"/>
    <x v="10"/>
    <x v="2"/>
    <n v="4362"/>
    <n v="3446"/>
  </r>
  <r>
    <x v="315"/>
    <s v="Lani Bowers"/>
    <x v="0"/>
    <x v="0"/>
    <x v="0"/>
    <x v="0"/>
    <n v="2934"/>
    <n v="1819"/>
  </r>
  <r>
    <x v="316"/>
    <s v="Lana Adkins"/>
    <x v="0"/>
    <x v="0"/>
    <x v="0"/>
    <x v="0"/>
    <n v="4354"/>
    <n v="2787"/>
  </r>
  <r>
    <x v="317"/>
    <s v="Sopoline Noel"/>
    <x v="0"/>
    <x v="0"/>
    <x v="0"/>
    <x v="0"/>
    <n v="2102"/>
    <n v="1534"/>
  </r>
  <r>
    <x v="318"/>
    <s v="Abbot Horton"/>
    <x v="1"/>
    <x v="1"/>
    <x v="1"/>
    <x v="0"/>
    <n v="3261"/>
    <n v="2446"/>
  </r>
  <r>
    <x v="319"/>
    <s v="Hedda Livingston"/>
    <x v="1"/>
    <x v="1"/>
    <x v="1"/>
    <x v="0"/>
    <n v="2577"/>
    <n v="1907"/>
  </r>
  <r>
    <x v="320"/>
    <s v="Henry Hodges"/>
    <x v="1"/>
    <x v="1"/>
    <x v="1"/>
    <x v="0"/>
    <n v="3131"/>
    <n v="1973"/>
  </r>
  <r>
    <x v="321"/>
    <s v="Aristotle Barrett"/>
    <x v="1"/>
    <x v="1"/>
    <x v="1"/>
    <x v="0"/>
    <n v="2683"/>
    <n v="1798"/>
  </r>
  <r>
    <x v="322"/>
    <s v="Wendy Neal"/>
    <x v="1"/>
    <x v="1"/>
    <x v="1"/>
    <x v="0"/>
    <n v="2613"/>
    <n v="1751"/>
  </r>
  <r>
    <x v="323"/>
    <s v="Raymond Mckenzie"/>
    <x v="2"/>
    <x v="2"/>
    <x v="2"/>
    <x v="1"/>
    <n v="4076"/>
    <n v="2609"/>
  </r>
  <r>
    <x v="324"/>
    <s v="Zephr Hickman"/>
    <x v="3"/>
    <x v="3"/>
    <x v="3"/>
    <x v="2"/>
    <n v="4400"/>
    <n v="3432"/>
  </r>
  <r>
    <x v="325"/>
    <s v="Georgia Kane"/>
    <x v="2"/>
    <x v="4"/>
    <x v="4"/>
    <x v="1"/>
    <n v="2466"/>
    <n v="1603"/>
  </r>
  <r>
    <x v="326"/>
    <s v="Stella Dejesus"/>
    <x v="4"/>
    <x v="5"/>
    <x v="5"/>
    <x v="2"/>
    <n v="2137"/>
    <n v="1325"/>
  </r>
  <r>
    <x v="327"/>
    <s v="Dahlia Porter"/>
    <x v="4"/>
    <x v="6"/>
    <x v="6"/>
    <x v="2"/>
    <n v="4216"/>
    <n v="3162"/>
  </r>
  <r>
    <x v="328"/>
    <s v="Ria Foster"/>
    <x v="4"/>
    <x v="6"/>
    <x v="6"/>
    <x v="2"/>
    <n v="3165"/>
    <n v="2310"/>
  </r>
  <r>
    <x v="329"/>
    <s v="Kiona Moore"/>
    <x v="5"/>
    <x v="7"/>
    <x v="7"/>
    <x v="0"/>
    <n v="3263"/>
    <n v="2545"/>
  </r>
  <r>
    <x v="330"/>
    <s v="Guinevere Sullivan"/>
    <x v="1"/>
    <x v="8"/>
    <x v="8"/>
    <x v="0"/>
    <n v="2946"/>
    <n v="2210"/>
  </r>
  <r>
    <x v="331"/>
    <s v="Ingrid Barnes"/>
    <x v="6"/>
    <x v="9"/>
    <x v="9"/>
    <x v="0"/>
    <n v="2989"/>
    <n v="2212"/>
  </r>
  <r>
    <x v="332"/>
    <s v="Quinlan Holcomb"/>
    <x v="6"/>
    <x v="9"/>
    <x v="9"/>
    <x v="0"/>
    <n v="3463"/>
    <n v="2770"/>
  </r>
  <r>
    <x v="333"/>
    <s v="Blair Mccullough"/>
    <x v="4"/>
    <x v="5"/>
    <x v="10"/>
    <x v="2"/>
    <n v="2677"/>
    <n v="2088"/>
  </r>
  <r>
    <x v="334"/>
    <s v="Diana Guthrie"/>
    <x v="4"/>
    <x v="5"/>
    <x v="10"/>
    <x v="2"/>
    <n v="2966"/>
    <n v="1928"/>
  </r>
  <r>
    <x v="335"/>
    <s v="Neville Ashley"/>
    <x v="4"/>
    <x v="5"/>
    <x v="10"/>
    <x v="2"/>
    <n v="2106"/>
    <n v="1516"/>
  </r>
  <r>
    <x v="336"/>
    <s v="Lani Bowers"/>
    <x v="0"/>
    <x v="0"/>
    <x v="0"/>
    <x v="0"/>
    <n v="3664"/>
    <n v="2272"/>
  </r>
  <r>
    <x v="337"/>
    <s v="Lana Adkins"/>
    <x v="0"/>
    <x v="0"/>
    <x v="0"/>
    <x v="0"/>
    <n v="3069"/>
    <n v="2240"/>
  </r>
  <r>
    <x v="338"/>
    <s v="Sopoline Noel"/>
    <x v="0"/>
    <x v="0"/>
    <x v="0"/>
    <x v="0"/>
    <n v="3755"/>
    <n v="2516"/>
  </r>
  <r>
    <x v="339"/>
    <s v="Abbot Horton"/>
    <x v="1"/>
    <x v="1"/>
    <x v="1"/>
    <x v="0"/>
    <n v="3215"/>
    <n v="2058"/>
  </r>
  <r>
    <x v="340"/>
    <s v="Hedda Livingston"/>
    <x v="1"/>
    <x v="1"/>
    <x v="1"/>
    <x v="0"/>
    <n v="3685"/>
    <n v="2543"/>
  </r>
  <r>
    <x v="341"/>
    <s v="Henry Hodges"/>
    <x v="1"/>
    <x v="1"/>
    <x v="1"/>
    <x v="0"/>
    <n v="4015"/>
    <n v="2730"/>
  </r>
  <r>
    <x v="342"/>
    <s v="Aristotle Barrett"/>
    <x v="1"/>
    <x v="1"/>
    <x v="1"/>
    <x v="0"/>
    <n v="2517"/>
    <n v="1661"/>
  </r>
  <r>
    <x v="343"/>
    <s v="Wendy Neal"/>
    <x v="1"/>
    <x v="1"/>
    <x v="1"/>
    <x v="0"/>
    <n v="2598"/>
    <n v="1793"/>
  </r>
  <r>
    <x v="344"/>
    <s v="Raymond Mckenzie"/>
    <x v="2"/>
    <x v="2"/>
    <x v="2"/>
    <x v="1"/>
    <n v="3513"/>
    <n v="2740"/>
  </r>
  <r>
    <x v="345"/>
    <s v="Zephr Hickman"/>
    <x v="3"/>
    <x v="3"/>
    <x v="3"/>
    <x v="2"/>
    <n v="2247"/>
    <n v="1775"/>
  </r>
  <r>
    <x v="346"/>
    <s v="Georgia Kane"/>
    <x v="2"/>
    <x v="4"/>
    <x v="4"/>
    <x v="1"/>
    <n v="2878"/>
    <n v="1784"/>
  </r>
  <r>
    <x v="347"/>
    <s v="Stella Dejesus"/>
    <x v="4"/>
    <x v="5"/>
    <x v="5"/>
    <x v="2"/>
    <n v="3425"/>
    <n v="2706"/>
  </r>
  <r>
    <x v="348"/>
    <s v="Dahlia Porter"/>
    <x v="4"/>
    <x v="6"/>
    <x v="6"/>
    <x v="2"/>
    <n v="2865"/>
    <n v="2091"/>
  </r>
  <r>
    <x v="349"/>
    <s v="Ria Foster"/>
    <x v="4"/>
    <x v="6"/>
    <x v="6"/>
    <x v="2"/>
    <n v="2393"/>
    <n v="1723"/>
  </r>
  <r>
    <x v="350"/>
    <s v="Kiona Moore"/>
    <x v="5"/>
    <x v="7"/>
    <x v="7"/>
    <x v="0"/>
    <n v="3149"/>
    <n v="2299"/>
  </r>
  <r>
    <x v="351"/>
    <s v="Guinevere Sullivan"/>
    <x v="1"/>
    <x v="8"/>
    <x v="8"/>
    <x v="0"/>
    <n v="3277"/>
    <n v="2130"/>
  </r>
  <r>
    <x v="352"/>
    <s v="Ingrid Barnes"/>
    <x v="6"/>
    <x v="9"/>
    <x v="9"/>
    <x v="0"/>
    <n v="2713"/>
    <n v="1682"/>
  </r>
  <r>
    <x v="353"/>
    <s v="Quinlan Holcomb"/>
    <x v="6"/>
    <x v="9"/>
    <x v="9"/>
    <x v="0"/>
    <n v="3381"/>
    <n v="2231"/>
  </r>
  <r>
    <x v="354"/>
    <s v="Blair Mccullough"/>
    <x v="4"/>
    <x v="5"/>
    <x v="10"/>
    <x v="2"/>
    <n v="2545"/>
    <n v="2011"/>
  </r>
  <r>
    <x v="355"/>
    <s v="Diana Guthrie"/>
    <x v="4"/>
    <x v="5"/>
    <x v="10"/>
    <x v="2"/>
    <n v="4473"/>
    <n v="2729"/>
  </r>
  <r>
    <x v="356"/>
    <s v="Neville Ashley"/>
    <x v="4"/>
    <x v="5"/>
    <x v="10"/>
    <x v="2"/>
    <n v="3332"/>
    <n v="2132"/>
  </r>
  <r>
    <x v="357"/>
    <s v="Lani Bowers"/>
    <x v="0"/>
    <x v="0"/>
    <x v="0"/>
    <x v="0"/>
    <n v="2283"/>
    <n v="1438"/>
  </r>
  <r>
    <x v="358"/>
    <s v="Lana Adkins"/>
    <x v="0"/>
    <x v="0"/>
    <x v="0"/>
    <x v="0"/>
    <n v="2696"/>
    <n v="1833"/>
  </r>
  <r>
    <x v="359"/>
    <s v="Sopoline Noel"/>
    <x v="0"/>
    <x v="0"/>
    <x v="0"/>
    <x v="0"/>
    <n v="4061"/>
    <n v="3127"/>
  </r>
  <r>
    <x v="360"/>
    <s v="Abbot Horton"/>
    <x v="1"/>
    <x v="1"/>
    <x v="1"/>
    <x v="0"/>
    <n v="2382"/>
    <n v="1548"/>
  </r>
  <r>
    <x v="361"/>
    <s v="Hedda Livingston"/>
    <x v="1"/>
    <x v="1"/>
    <x v="1"/>
    <x v="0"/>
    <n v="4336"/>
    <n v="2602"/>
  </r>
  <r>
    <x v="362"/>
    <s v="Henry Hodges"/>
    <x v="1"/>
    <x v="1"/>
    <x v="1"/>
    <x v="0"/>
    <n v="2602"/>
    <n v="2004"/>
  </r>
  <r>
    <x v="363"/>
    <s v="Aristotle Barrett"/>
    <x v="1"/>
    <x v="1"/>
    <x v="1"/>
    <x v="0"/>
    <n v="3094"/>
    <n v="2073"/>
  </r>
  <r>
    <x v="364"/>
    <s v="Wendy Neal"/>
    <x v="1"/>
    <x v="1"/>
    <x v="1"/>
    <x v="0"/>
    <n v="3510"/>
    <n v="214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s v="Saving"/>
    <x v="0"/>
    <n v="3209"/>
  </r>
  <r>
    <x v="0"/>
    <s v="Current"/>
    <x v="1"/>
    <n v="3601"/>
  </r>
  <r>
    <x v="0"/>
    <s v="Saving"/>
    <x v="0"/>
    <n v="3862"/>
  </r>
  <r>
    <x v="0"/>
    <s v="Current"/>
    <x v="1"/>
    <n v="2711"/>
  </r>
  <r>
    <x v="1"/>
    <s v="Saving"/>
    <x v="1"/>
    <n v="2628"/>
  </r>
  <r>
    <x v="1"/>
    <s v="Current"/>
    <x v="1"/>
    <n v="3226"/>
  </r>
  <r>
    <x v="1"/>
    <s v="Saving"/>
    <x v="0"/>
    <n v="3079"/>
  </r>
  <r>
    <x v="1"/>
    <s v="Current"/>
    <x v="0"/>
    <n v="2530"/>
  </r>
  <r>
    <x v="1"/>
    <s v="Saving"/>
    <x v="1"/>
    <n v="3208"/>
  </r>
  <r>
    <x v="2"/>
    <s v="Current"/>
    <x v="0"/>
    <n v="3377"/>
  </r>
  <r>
    <x v="2"/>
    <s v="Saving"/>
    <x v="0"/>
    <n v="3727"/>
  </r>
  <r>
    <x v="2"/>
    <s v="Current"/>
    <x v="1"/>
    <n v="2855"/>
  </r>
  <r>
    <x v="2"/>
    <s v="Saving"/>
    <x v="0"/>
    <n v="2876"/>
  </r>
  <r>
    <x v="2"/>
    <s v="Current"/>
    <x v="1"/>
    <n v="3631"/>
  </r>
  <r>
    <x v="2"/>
    <s v="Saving"/>
    <x v="0"/>
    <n v="3630"/>
  </r>
  <r>
    <x v="2"/>
    <s v="Current"/>
    <x v="1"/>
    <n v="3700"/>
  </r>
  <r>
    <x v="2"/>
    <s v="Saving"/>
    <x v="0"/>
    <n v="299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n v="5623"/>
  </r>
  <r>
    <n v="2"/>
    <x v="1"/>
    <n v="7245"/>
  </r>
  <r>
    <n v="3"/>
    <x v="2"/>
    <n v="3457"/>
  </r>
  <r>
    <n v="4"/>
    <x v="3"/>
    <n v="8976"/>
  </r>
  <r>
    <n v="5"/>
    <x v="4"/>
    <n v="2345"/>
  </r>
  <r>
    <n v="6"/>
    <x v="5"/>
    <n v="6590"/>
  </r>
  <r>
    <n v="7"/>
    <x v="6"/>
    <n v="4832"/>
  </r>
  <r>
    <n v="8"/>
    <x v="7"/>
    <n v="7754"/>
  </r>
  <r>
    <n v="9"/>
    <x v="8"/>
    <n v="5241"/>
  </r>
  <r>
    <n v="10"/>
    <x v="9"/>
    <n v="6123"/>
  </r>
  <r>
    <n v="11"/>
    <x v="10"/>
    <n v="3987"/>
  </r>
  <r>
    <n v="12"/>
    <x v="11"/>
    <n v="7412"/>
  </r>
  <r>
    <n v="13"/>
    <x v="12"/>
    <n v="6354"/>
  </r>
  <r>
    <n v="14"/>
    <x v="13"/>
    <n v="4871"/>
  </r>
  <r>
    <n v="15"/>
    <x v="14"/>
    <n v="3520"/>
  </r>
  <r>
    <n v="16"/>
    <x v="0"/>
    <n v="7981"/>
  </r>
  <r>
    <n v="17"/>
    <x v="4"/>
    <n v="4695"/>
  </r>
  <r>
    <n v="18"/>
    <x v="1"/>
    <n v="5904"/>
  </r>
  <r>
    <n v="19"/>
    <x v="3"/>
    <n v="4367"/>
  </r>
  <r>
    <n v="20"/>
    <x v="7"/>
    <n v="722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South"/>
    <x v="0"/>
    <n v="2838"/>
  </r>
  <r>
    <s v="East"/>
    <x v="1"/>
    <n v="3035"/>
  </r>
  <r>
    <s v="South"/>
    <x v="1"/>
    <n v="3048"/>
  </r>
  <r>
    <s v="East"/>
    <x v="0"/>
    <n v="2750"/>
  </r>
  <r>
    <s v="North"/>
    <x v="1"/>
    <n v="3305"/>
  </r>
  <r>
    <s v="West"/>
    <x v="0"/>
    <n v="3116"/>
  </r>
  <r>
    <s v="South"/>
    <x v="1"/>
    <n v="3048"/>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
    <x v="0"/>
    <x v="0"/>
    <s v="South"/>
    <s v="Pennsylvania"/>
    <s v="San Diego"/>
    <n v="2"/>
    <n v="160"/>
  </r>
  <r>
    <s v="ORD1001"/>
    <x v="1"/>
    <x v="1"/>
    <s v="West"/>
    <s v="Georgia"/>
    <s v="Chicago"/>
    <n v="1"/>
    <n v="202.89"/>
  </r>
  <r>
    <s v="ORD1002"/>
    <x v="2"/>
    <x v="2"/>
    <s v="North"/>
    <s v="California"/>
    <s v="Los Angeles"/>
    <n v="10"/>
    <n v="200.85"/>
  </r>
  <r>
    <s v="ORD1003"/>
    <x v="3"/>
    <x v="0"/>
    <s v="East"/>
    <s v="Pennsylvania"/>
    <s v="Austin"/>
    <n v="10"/>
    <n v="243.68"/>
  </r>
  <r>
    <s v="ORD1004"/>
    <x v="2"/>
    <x v="3"/>
    <s v="North"/>
    <s v="Ohio"/>
    <s v="Chicago"/>
    <n v="7"/>
    <n v="108.91"/>
  </r>
  <r>
    <s v="ORD1005"/>
    <x v="4"/>
    <x v="4"/>
    <s v="North"/>
    <s v="Pennsylvania"/>
    <s v="Phoenix"/>
    <n v="2"/>
    <n v="264.27999999999997"/>
  </r>
  <r>
    <s v="ORD1006"/>
    <x v="5"/>
    <x v="5"/>
    <s v="North"/>
    <s v="Georgia"/>
    <s v="Austin"/>
    <n v="3"/>
    <n v="35.14"/>
  </r>
  <r>
    <s v="ORD1007"/>
    <x v="5"/>
    <x v="6"/>
    <s v="East"/>
    <s v="Pennsylvania"/>
    <s v="Phoenix"/>
    <n v="2"/>
    <n v="213.3"/>
  </r>
  <r>
    <s v="ORD1008"/>
    <x v="6"/>
    <x v="7"/>
    <s v="South"/>
    <s v="North Carolina"/>
    <s v="Houston"/>
    <n v="3"/>
    <n v="231.98"/>
  </r>
  <r>
    <s v="ORD1009"/>
    <x v="6"/>
    <x v="5"/>
    <s v="South"/>
    <s v="North Carolina"/>
    <s v="Dallas"/>
    <n v="10"/>
    <n v="176.93"/>
  </r>
  <r>
    <s v="ORD1010"/>
    <x v="6"/>
    <x v="7"/>
    <s v="West"/>
    <s v="North Carolina"/>
    <s v="Houston"/>
    <n v="1"/>
    <n v="278.95"/>
  </r>
  <r>
    <s v="ORD1011"/>
    <x v="3"/>
    <x v="3"/>
    <s v="North"/>
    <s v="Illinois"/>
    <s v="Chicago"/>
    <n v="3"/>
    <n v="87.33"/>
  </r>
  <r>
    <s v="ORD1012"/>
    <x v="2"/>
    <x v="5"/>
    <s v="North"/>
    <s v="Florida"/>
    <s v="Philadelphia"/>
    <n v="9"/>
    <n v="216.35"/>
  </r>
  <r>
    <s v="ORD1013"/>
    <x v="0"/>
    <x v="6"/>
    <s v="West"/>
    <s v="California"/>
    <s v="San Antonio"/>
    <n v="10"/>
    <n v="233.22"/>
  </r>
  <r>
    <s v="ORD1014"/>
    <x v="4"/>
    <x v="7"/>
    <s v="West"/>
    <s v="Michigan"/>
    <s v="Miami"/>
    <n v="2"/>
    <n v="153.87"/>
  </r>
  <r>
    <s v="ORD1015"/>
    <x v="0"/>
    <x v="2"/>
    <s v="East"/>
    <s v="Illinois"/>
    <s v="Los Angeles"/>
    <n v="9"/>
    <n v="91.95"/>
  </r>
  <r>
    <s v="ORD1016"/>
    <x v="3"/>
    <x v="0"/>
    <s v="North"/>
    <s v="Florida"/>
    <s v="Phoenix"/>
    <n v="6"/>
    <n v="118.74"/>
  </r>
  <r>
    <s v="ORD1017"/>
    <x v="4"/>
    <x v="6"/>
    <s v="East"/>
    <s v="Michigan"/>
    <s v="San Diego"/>
    <n v="5"/>
    <n v="234.34"/>
  </r>
  <r>
    <s v="ORD1018"/>
    <x v="4"/>
    <x v="6"/>
    <s v="North"/>
    <s v="Pennsylvania"/>
    <s v="Phoenix"/>
    <n v="6"/>
    <n v="194.24"/>
  </r>
  <r>
    <s v="ORD1019"/>
    <x v="6"/>
    <x v="8"/>
    <s v="South"/>
    <s v="New York"/>
    <s v="Chicago"/>
    <n v="8"/>
    <n v="287.83"/>
  </r>
  <r>
    <s v="ORD1020"/>
    <x v="7"/>
    <x v="2"/>
    <s v="North"/>
    <s v="Texas"/>
    <s v="Chicago"/>
    <n v="6"/>
    <n v="252.3"/>
  </r>
  <r>
    <s v="ORD1021"/>
    <x v="3"/>
    <x v="9"/>
    <s v="West"/>
    <s v="Illinois"/>
    <s v="Dallas"/>
    <n v="3"/>
    <n v="76.14"/>
  </r>
  <r>
    <s v="ORD1022"/>
    <x v="8"/>
    <x v="2"/>
    <s v="South"/>
    <s v="Texas"/>
    <s v="Austin"/>
    <n v="9"/>
    <n v="172.28"/>
  </r>
  <r>
    <s v="ORD1023"/>
    <x v="3"/>
    <x v="9"/>
    <s v="East"/>
    <s v="North Carolina"/>
    <s v="Phoenix"/>
    <n v="7"/>
    <n v="51.38"/>
  </r>
  <r>
    <s v="ORD1024"/>
    <x v="9"/>
    <x v="9"/>
    <s v="South"/>
    <s v="Illinois"/>
    <s v="Philadelphia"/>
    <n v="2"/>
    <n v="157.87"/>
  </r>
  <r>
    <s v="ORD1025"/>
    <x v="8"/>
    <x v="4"/>
    <s v="East"/>
    <s v="Georgia"/>
    <s v="Austin"/>
    <n v="7"/>
    <n v="82.92"/>
  </r>
  <r>
    <s v="ORD1026"/>
    <x v="4"/>
    <x v="3"/>
    <s v="West"/>
    <s v="Florida"/>
    <s v="Miami"/>
    <n v="8"/>
    <n v="184.48"/>
  </r>
  <r>
    <s v="ORD1027"/>
    <x v="4"/>
    <x v="5"/>
    <s v="West"/>
    <s v="North Carolina"/>
    <s v="Chicago"/>
    <n v="9"/>
    <n v="140.41999999999999"/>
  </r>
  <r>
    <s v="ORD1028"/>
    <x v="9"/>
    <x v="5"/>
    <s v="South"/>
    <s v="Florida"/>
    <s v="Chicago"/>
    <n v="6"/>
    <n v="134.13"/>
  </r>
  <r>
    <s v="ORD1029"/>
    <x v="6"/>
    <x v="9"/>
    <s v="South"/>
    <s v="California"/>
    <s v="Dallas"/>
    <n v="2"/>
    <n v="165.64"/>
  </r>
  <r>
    <s v="ORD1030"/>
    <x v="4"/>
    <x v="10"/>
    <s v="East"/>
    <s v="Illinois"/>
    <s v="Philadelphia"/>
    <n v="1"/>
    <n v="97.22"/>
  </r>
  <r>
    <s v="ORD1031"/>
    <x v="6"/>
    <x v="4"/>
    <s v="East"/>
    <s v="Georgia"/>
    <s v="Austin"/>
    <n v="9"/>
    <n v="41.76"/>
  </r>
  <r>
    <s v="ORD1032"/>
    <x v="0"/>
    <x v="0"/>
    <s v="North"/>
    <s v="Florida"/>
    <s v="Chicago"/>
    <n v="5"/>
    <n v="172.68"/>
  </r>
  <r>
    <s v="ORD1033"/>
    <x v="6"/>
    <x v="0"/>
    <s v="East"/>
    <s v="Ohio"/>
    <s v="Phoenix"/>
    <n v="6"/>
    <n v="197.34"/>
  </r>
  <r>
    <s v="ORD1034"/>
    <x v="6"/>
    <x v="5"/>
    <s v="North"/>
    <s v="North Carolina"/>
    <s v="Phoenix"/>
    <n v="7"/>
    <n v="21.68"/>
  </r>
  <r>
    <s v="ORD1035"/>
    <x v="0"/>
    <x v="0"/>
    <s v="West"/>
    <s v="Pennsylvania"/>
    <s v="Los Angeles"/>
    <n v="4"/>
    <n v="76.03"/>
  </r>
  <r>
    <s v="ORD1036"/>
    <x v="5"/>
    <x v="6"/>
    <s v="North"/>
    <s v="North Carolina"/>
    <s v="San Diego"/>
    <n v="8"/>
    <n v="218.36"/>
  </r>
  <r>
    <s v="ORD1037"/>
    <x v="2"/>
    <x v="11"/>
    <s v="South"/>
    <s v="Ohio"/>
    <s v="Los Angeles"/>
    <n v="10"/>
    <n v="58.66"/>
  </r>
  <r>
    <s v="ORD1038"/>
    <x v="5"/>
    <x v="9"/>
    <s v="East"/>
    <s v="North Carolina"/>
    <s v="Dallas"/>
    <n v="8"/>
    <n v="197.81"/>
  </r>
  <r>
    <s v="ORD1039"/>
    <x v="5"/>
    <x v="11"/>
    <s v="West"/>
    <s v="Michigan"/>
    <s v="Chicago"/>
    <n v="6"/>
    <n v="201.24"/>
  </r>
  <r>
    <s v="ORD1040"/>
    <x v="6"/>
    <x v="5"/>
    <s v="East"/>
    <s v="Pennsylvania"/>
    <s v="Miami"/>
    <n v="1"/>
    <n v="186.79"/>
  </r>
  <r>
    <s v="ORD1041"/>
    <x v="7"/>
    <x v="8"/>
    <s v="West"/>
    <s v="California"/>
    <s v="Philadelphia"/>
    <n v="2"/>
    <n v="60.9"/>
  </r>
  <r>
    <s v="ORD1042"/>
    <x v="1"/>
    <x v="1"/>
    <s v="West"/>
    <s v="Pennsylvania"/>
    <s v="Austin"/>
    <n v="7"/>
    <n v="143.76"/>
  </r>
  <r>
    <s v="ORD1043"/>
    <x v="1"/>
    <x v="10"/>
    <s v="West"/>
    <s v="Ohio"/>
    <s v="Houston"/>
    <n v="5"/>
    <n v="225.55"/>
  </r>
  <r>
    <s v="ORD1044"/>
    <x v="3"/>
    <x v="5"/>
    <s v="East"/>
    <s v="Georgia"/>
    <s v="Miami"/>
    <n v="5"/>
    <n v="120.23"/>
  </r>
  <r>
    <s v="ORD1045"/>
    <x v="8"/>
    <x v="5"/>
    <s v="East"/>
    <s v="Texas"/>
    <s v="Houston"/>
    <n v="2"/>
    <n v="37.409999999999997"/>
  </r>
  <r>
    <s v="ORD1046"/>
    <x v="0"/>
    <x v="7"/>
    <s v="West"/>
    <s v="Michigan"/>
    <s v="Houston"/>
    <n v="8"/>
    <n v="205.93"/>
  </r>
  <r>
    <s v="ORD1047"/>
    <x v="0"/>
    <x v="4"/>
    <s v="South"/>
    <s v="New York"/>
    <s v="Philadelphia"/>
    <n v="6"/>
    <n v="82.16"/>
  </r>
  <r>
    <s v="ORD1048"/>
    <x v="6"/>
    <x v="3"/>
    <s v="East"/>
    <s v="California"/>
    <s v="Austin"/>
    <n v="7"/>
    <n v="259.2"/>
  </r>
  <r>
    <s v="ORD1049"/>
    <x v="0"/>
    <x v="1"/>
    <s v="South"/>
    <s v="Florida"/>
    <s v="Philadelphia"/>
    <n v="9"/>
    <n v="271.35000000000002"/>
  </r>
  <r>
    <s v="ORD1050"/>
    <x v="0"/>
    <x v="11"/>
    <s v="North"/>
    <s v="New York"/>
    <s v="Philadelphia"/>
    <n v="4"/>
    <n v="156.38999999999999"/>
  </r>
  <r>
    <s v="ORD1051"/>
    <x v="6"/>
    <x v="6"/>
    <s v="East"/>
    <s v="Michigan"/>
    <s v="Miami"/>
    <n v="6"/>
    <n v="181.57"/>
  </r>
  <r>
    <s v="ORD1052"/>
    <x v="4"/>
    <x v="3"/>
    <s v="West"/>
    <s v="California"/>
    <s v="Philadelphia"/>
    <n v="10"/>
    <n v="173.45"/>
  </r>
  <r>
    <s v="ORD1053"/>
    <x v="8"/>
    <x v="8"/>
    <s v="North"/>
    <s v="New York"/>
    <s v="San Antonio"/>
    <n v="6"/>
    <n v="50.05"/>
  </r>
  <r>
    <s v="ORD1054"/>
    <x v="0"/>
    <x v="8"/>
    <s v="West"/>
    <s v="Texas"/>
    <s v="Dallas"/>
    <n v="9"/>
    <n v="130.52000000000001"/>
  </r>
  <r>
    <s v="ORD1055"/>
    <x v="7"/>
    <x v="11"/>
    <s v="South"/>
    <s v="Texas"/>
    <s v="Philadelphia"/>
    <n v="5"/>
    <n v="237.71"/>
  </r>
  <r>
    <s v="ORD1056"/>
    <x v="9"/>
    <x v="7"/>
    <s v="East"/>
    <s v="California"/>
    <s v="Phoenix"/>
    <n v="2"/>
    <n v="179.68"/>
  </r>
  <r>
    <s v="ORD1057"/>
    <x v="0"/>
    <x v="2"/>
    <s v="North"/>
    <s v="Pennsylvania"/>
    <s v="Chicago"/>
    <n v="7"/>
    <n v="291.35000000000002"/>
  </r>
  <r>
    <s v="ORD1058"/>
    <x v="5"/>
    <x v="7"/>
    <s v="East"/>
    <s v="Illinois"/>
    <s v="Phoenix"/>
    <n v="5"/>
    <n v="278.57"/>
  </r>
  <r>
    <s v="ORD1059"/>
    <x v="3"/>
    <x v="6"/>
    <s v="North"/>
    <s v="Illinois"/>
    <s v="San Diego"/>
    <n v="7"/>
    <n v="90.45"/>
  </r>
  <r>
    <s v="ORD1060"/>
    <x v="3"/>
    <x v="1"/>
    <s v="West"/>
    <s v="Florida"/>
    <s v="San Diego"/>
    <n v="2"/>
    <n v="97.72"/>
  </r>
  <r>
    <s v="ORD1061"/>
    <x v="5"/>
    <x v="7"/>
    <s v="East"/>
    <s v="Michigan"/>
    <s v="Phoenix"/>
    <n v="4"/>
    <n v="238.53"/>
  </r>
  <r>
    <s v="ORD1062"/>
    <x v="6"/>
    <x v="5"/>
    <s v="West"/>
    <s v="California"/>
    <s v="Chicago"/>
    <n v="8"/>
    <n v="146.16999999999999"/>
  </r>
  <r>
    <s v="ORD1063"/>
    <x v="1"/>
    <x v="4"/>
    <s v="South"/>
    <s v="Illinois"/>
    <s v="San Diego"/>
    <n v="7"/>
    <n v="169.13"/>
  </r>
  <r>
    <s v="ORD1064"/>
    <x v="2"/>
    <x v="11"/>
    <s v="North"/>
    <s v="Ohio"/>
    <s v="Houston"/>
    <n v="10"/>
    <n v="140.22999999999999"/>
  </r>
  <r>
    <s v="ORD1065"/>
    <x v="0"/>
    <x v="2"/>
    <s v="South"/>
    <s v="Pennsylvania"/>
    <s v="Phoenix"/>
    <n v="8"/>
    <n v="185.6"/>
  </r>
  <r>
    <s v="ORD1066"/>
    <x v="4"/>
    <x v="7"/>
    <s v="South"/>
    <s v="Georgia"/>
    <s v="San Diego"/>
    <n v="10"/>
    <n v="100.55"/>
  </r>
  <r>
    <s v="ORD1067"/>
    <x v="6"/>
    <x v="10"/>
    <s v="North"/>
    <s v="California"/>
    <s v="Houston"/>
    <n v="5"/>
    <n v="229.59"/>
  </r>
  <r>
    <s v="ORD1068"/>
    <x v="4"/>
    <x v="11"/>
    <s v="South"/>
    <s v="Florida"/>
    <s v="San Antonio"/>
    <n v="5"/>
    <n v="136.47999999999999"/>
  </r>
  <r>
    <s v="ORD1069"/>
    <x v="8"/>
    <x v="2"/>
    <s v="South"/>
    <s v="Michigan"/>
    <s v="Chicago"/>
    <n v="4"/>
    <n v="267.70999999999998"/>
  </r>
  <r>
    <s v="ORD1070"/>
    <x v="8"/>
    <x v="3"/>
    <s v="West"/>
    <s v="North Carolina"/>
    <s v="Dallas"/>
    <n v="1"/>
    <n v="168.74"/>
  </r>
  <r>
    <s v="ORD1071"/>
    <x v="3"/>
    <x v="11"/>
    <s v="South"/>
    <s v="Georgia"/>
    <s v="Miami"/>
    <n v="5"/>
    <n v="130.07"/>
  </r>
  <r>
    <s v="ORD1072"/>
    <x v="0"/>
    <x v="3"/>
    <s v="East"/>
    <s v="Michigan"/>
    <s v="Dallas"/>
    <n v="6"/>
    <n v="265"/>
  </r>
  <r>
    <s v="ORD1073"/>
    <x v="8"/>
    <x v="0"/>
    <s v="South"/>
    <s v="North Carolina"/>
    <s v="Chicago"/>
    <n v="7"/>
    <n v="125.11"/>
  </r>
  <r>
    <s v="ORD1074"/>
    <x v="1"/>
    <x v="1"/>
    <s v="East"/>
    <s v="Pennsylvania"/>
    <s v="Los Angeles"/>
    <n v="3"/>
    <n v="239.97"/>
  </r>
  <r>
    <s v="ORD1075"/>
    <x v="3"/>
    <x v="2"/>
    <s v="North"/>
    <s v="California"/>
    <s v="Los Angeles"/>
    <n v="9"/>
    <n v="143"/>
  </r>
  <r>
    <s v="ORD1076"/>
    <x v="0"/>
    <x v="11"/>
    <s v="East"/>
    <s v="Michigan"/>
    <s v="San Antonio"/>
    <n v="7"/>
    <n v="243.51"/>
  </r>
  <r>
    <s v="ORD1077"/>
    <x v="4"/>
    <x v="4"/>
    <s v="South"/>
    <s v="Michigan"/>
    <s v="Phoenix"/>
    <n v="4"/>
    <n v="249.2"/>
  </r>
  <r>
    <s v="ORD1078"/>
    <x v="2"/>
    <x v="5"/>
    <s v="South"/>
    <s v="Georgia"/>
    <s v="Los Angeles"/>
    <n v="10"/>
    <n v="167.6"/>
  </r>
  <r>
    <s v="ORD1079"/>
    <x v="1"/>
    <x v="5"/>
    <s v="East"/>
    <s v="North Carolina"/>
    <s v="Austin"/>
    <n v="8"/>
    <n v="223.17"/>
  </r>
  <r>
    <s v="ORD1080"/>
    <x v="1"/>
    <x v="8"/>
    <s v="East"/>
    <s v="North Carolina"/>
    <s v="Houston"/>
    <n v="5"/>
    <n v="253.07"/>
  </r>
  <r>
    <s v="ORD1081"/>
    <x v="9"/>
    <x v="10"/>
    <s v="North"/>
    <s v="California"/>
    <s v="San Diego"/>
    <n v="2"/>
    <n v="192.29"/>
  </r>
  <r>
    <s v="ORD1082"/>
    <x v="2"/>
    <x v="4"/>
    <s v="East"/>
    <s v="Pennsylvania"/>
    <s v="Houston"/>
    <n v="7"/>
    <n v="163.92"/>
  </r>
  <r>
    <s v="ORD1083"/>
    <x v="3"/>
    <x v="11"/>
    <s v="West"/>
    <s v="Michigan"/>
    <s v="San Diego"/>
    <n v="3"/>
    <n v="31.02"/>
  </r>
  <r>
    <s v="ORD1084"/>
    <x v="6"/>
    <x v="7"/>
    <s v="South"/>
    <s v="Texas"/>
    <s v="San Antonio"/>
    <n v="5"/>
    <n v="204.77"/>
  </r>
  <r>
    <s v="ORD1085"/>
    <x v="2"/>
    <x v="11"/>
    <s v="South"/>
    <s v="North Carolina"/>
    <s v="Miami"/>
    <n v="3"/>
    <n v="298.97000000000003"/>
  </r>
  <r>
    <s v="ORD1086"/>
    <x v="2"/>
    <x v="4"/>
    <s v="West"/>
    <s v="Michigan"/>
    <s v="Los Angeles"/>
    <n v="2"/>
    <n v="84.18"/>
  </r>
  <r>
    <s v="ORD1087"/>
    <x v="9"/>
    <x v="7"/>
    <s v="South"/>
    <s v="Ohio"/>
    <s v="Houston"/>
    <n v="5"/>
    <n v="175.31"/>
  </r>
  <r>
    <s v="ORD1088"/>
    <x v="6"/>
    <x v="10"/>
    <s v="East"/>
    <s v="North Carolina"/>
    <s v="Phoenix"/>
    <n v="5"/>
    <n v="40.57"/>
  </r>
  <r>
    <s v="ORD1089"/>
    <x v="3"/>
    <x v="1"/>
    <s v="South"/>
    <s v="Illinois"/>
    <s v="Los Angeles"/>
    <n v="7"/>
    <n v="172.45"/>
  </r>
  <r>
    <s v="ORD1090"/>
    <x v="3"/>
    <x v="1"/>
    <s v="North"/>
    <s v="Michigan"/>
    <s v="Austin"/>
    <n v="2"/>
    <n v="179.43"/>
  </r>
  <r>
    <s v="ORD1091"/>
    <x v="9"/>
    <x v="0"/>
    <s v="South"/>
    <s v="Pennsylvania"/>
    <s v="Phoenix"/>
    <n v="8"/>
    <n v="287.47000000000003"/>
  </r>
  <r>
    <s v="ORD1092"/>
    <x v="1"/>
    <x v="4"/>
    <s v="West"/>
    <s v="New York"/>
    <s v="Austin"/>
    <n v="4"/>
    <n v="89.17"/>
  </r>
  <r>
    <s v="ORD1093"/>
    <x v="4"/>
    <x v="10"/>
    <s v="West"/>
    <s v="New York"/>
    <s v="Chicago"/>
    <n v="2"/>
    <n v="217.89"/>
  </r>
  <r>
    <s v="ORD1094"/>
    <x v="0"/>
    <x v="5"/>
    <s v="North"/>
    <s v="California"/>
    <s v="Philadelphia"/>
    <n v="1"/>
    <n v="132.44999999999999"/>
  </r>
  <r>
    <s v="ORD1095"/>
    <x v="4"/>
    <x v="7"/>
    <s v="South"/>
    <s v="Pennsylvania"/>
    <s v="Chicago"/>
    <n v="7"/>
    <n v="150.78"/>
  </r>
  <r>
    <s v="ORD1096"/>
    <x v="5"/>
    <x v="4"/>
    <s v="South"/>
    <s v="California"/>
    <s v="Dallas"/>
    <n v="7"/>
    <n v="108.47"/>
  </r>
  <r>
    <s v="ORD1097"/>
    <x v="8"/>
    <x v="5"/>
    <s v="East"/>
    <s v="Georgia"/>
    <s v="Los Angeles"/>
    <n v="3"/>
    <n v="98.65"/>
  </r>
  <r>
    <s v="ORD1098"/>
    <x v="8"/>
    <x v="7"/>
    <s v="South"/>
    <s v="Michigan"/>
    <s v="San Antonio"/>
    <n v="8"/>
    <n v="103.83"/>
  </r>
  <r>
    <s v="ORD1099"/>
    <x v="8"/>
    <x v="0"/>
    <s v="East"/>
    <s v="Ohio"/>
    <s v="San Diego"/>
    <n v="4"/>
    <n v="206.99"/>
  </r>
  <r>
    <s v="ORD1100"/>
    <x v="1"/>
    <x v="6"/>
    <s v="East"/>
    <s v="Texas"/>
    <s v="Chicago"/>
    <n v="9"/>
    <n v="57.4"/>
  </r>
  <r>
    <s v="ORD1101"/>
    <x v="2"/>
    <x v="5"/>
    <s v="North"/>
    <s v="Pennsylvania"/>
    <s v="San Diego"/>
    <n v="8"/>
    <n v="187.55"/>
  </r>
  <r>
    <s v="ORD1102"/>
    <x v="6"/>
    <x v="5"/>
    <s v="South"/>
    <s v="Michigan"/>
    <s v="Phoenix"/>
    <n v="5"/>
    <n v="25.89"/>
  </r>
  <r>
    <s v="ORD1103"/>
    <x v="2"/>
    <x v="5"/>
    <s v="North"/>
    <s v="Texas"/>
    <s v="Dallas"/>
    <n v="10"/>
    <n v="148.56"/>
  </r>
  <r>
    <s v="ORD1104"/>
    <x v="2"/>
    <x v="0"/>
    <s v="West"/>
    <s v="Ohio"/>
    <s v="Philadelphia"/>
    <n v="10"/>
    <n v="286.79000000000002"/>
  </r>
  <r>
    <s v="ORD1105"/>
    <x v="2"/>
    <x v="5"/>
    <s v="North"/>
    <s v="New York"/>
    <s v="Miami"/>
    <n v="2"/>
    <n v="283.97000000000003"/>
  </r>
  <r>
    <s v="ORD1106"/>
    <x v="8"/>
    <x v="8"/>
    <s v="North"/>
    <s v="Florida"/>
    <s v="Philadelphia"/>
    <n v="1"/>
    <n v="62.81"/>
  </r>
  <r>
    <s v="ORD1107"/>
    <x v="1"/>
    <x v="4"/>
    <s v="East"/>
    <s v="Pennsylvania"/>
    <s v="Phoenix"/>
    <n v="4"/>
    <n v="270.26"/>
  </r>
  <r>
    <s v="ORD1108"/>
    <x v="7"/>
    <x v="0"/>
    <s v="East"/>
    <s v="Texas"/>
    <s v="Miami"/>
    <n v="9"/>
    <n v="128.80000000000001"/>
  </r>
  <r>
    <s v="ORD1109"/>
    <x v="3"/>
    <x v="10"/>
    <s v="North"/>
    <s v="Pennsylvania"/>
    <s v="Austin"/>
    <n v="4"/>
    <n v="255.22"/>
  </r>
  <r>
    <s v="ORD1110"/>
    <x v="0"/>
    <x v="10"/>
    <s v="North"/>
    <s v="Georgia"/>
    <s v="Miami"/>
    <n v="4"/>
    <n v="210.07"/>
  </r>
  <r>
    <s v="ORD1111"/>
    <x v="8"/>
    <x v="2"/>
    <s v="North"/>
    <s v="New York"/>
    <s v="Phoenix"/>
    <n v="2"/>
    <n v="33.71"/>
  </r>
  <r>
    <s v="ORD1112"/>
    <x v="1"/>
    <x v="5"/>
    <s v="South"/>
    <s v="California"/>
    <s v="San Diego"/>
    <n v="3"/>
    <n v="106.03"/>
  </r>
  <r>
    <s v="ORD1113"/>
    <x v="3"/>
    <x v="1"/>
    <s v="South"/>
    <s v="Texas"/>
    <s v="San Antonio"/>
    <n v="1"/>
    <n v="41.86"/>
  </r>
  <r>
    <s v="ORD1114"/>
    <x v="5"/>
    <x v="11"/>
    <s v="East"/>
    <s v="New York"/>
    <s v="Philadelphia"/>
    <n v="7"/>
    <n v="264.32"/>
  </r>
  <r>
    <s v="ORD1115"/>
    <x v="1"/>
    <x v="3"/>
    <s v="West"/>
    <s v="Ohio"/>
    <s v="Philadelphia"/>
    <n v="9"/>
    <n v="37.92"/>
  </r>
  <r>
    <s v="ORD1116"/>
    <x v="5"/>
    <x v="5"/>
    <s v="East"/>
    <s v="California"/>
    <s v="Dallas"/>
    <n v="3"/>
    <n v="240.05"/>
  </r>
  <r>
    <s v="ORD1117"/>
    <x v="6"/>
    <x v="8"/>
    <s v="West"/>
    <s v="Ohio"/>
    <s v="Houston"/>
    <n v="3"/>
    <n v="178.03"/>
  </r>
  <r>
    <s v="ORD1118"/>
    <x v="4"/>
    <x v="4"/>
    <s v="South"/>
    <s v="California"/>
    <s v="Houston"/>
    <n v="5"/>
    <n v="85.26"/>
  </r>
  <r>
    <s v="ORD1119"/>
    <x v="6"/>
    <x v="3"/>
    <s v="East"/>
    <s v="California"/>
    <s v="Austin"/>
    <n v="1"/>
    <n v="236.92"/>
  </r>
  <r>
    <s v="ORD1120"/>
    <x v="8"/>
    <x v="10"/>
    <s v="East"/>
    <s v="New York"/>
    <s v="Houston"/>
    <n v="6"/>
    <n v="166.46"/>
  </r>
  <r>
    <s v="ORD1121"/>
    <x v="5"/>
    <x v="11"/>
    <s v="East"/>
    <s v="Ohio"/>
    <s v="Houston"/>
    <n v="10"/>
    <n v="188.42"/>
  </r>
  <r>
    <s v="ORD1122"/>
    <x v="3"/>
    <x v="5"/>
    <s v="East"/>
    <s v="California"/>
    <s v="Dallas"/>
    <n v="1"/>
    <n v="272.83999999999997"/>
  </r>
  <r>
    <s v="ORD1123"/>
    <x v="2"/>
    <x v="10"/>
    <s v="East"/>
    <s v="California"/>
    <s v="Dallas"/>
    <n v="9"/>
    <n v="106.02"/>
  </r>
  <r>
    <s v="ORD1124"/>
    <x v="3"/>
    <x v="11"/>
    <s v="East"/>
    <s v="Michigan"/>
    <s v="Austin"/>
    <n v="3"/>
    <n v="46.06"/>
  </r>
  <r>
    <s v="ORD1125"/>
    <x v="9"/>
    <x v="7"/>
    <s v="North"/>
    <s v="New York"/>
    <s v="San Antonio"/>
    <n v="2"/>
    <n v="236.75"/>
  </r>
  <r>
    <s v="ORD1126"/>
    <x v="1"/>
    <x v="5"/>
    <s v="North"/>
    <s v="North Carolina"/>
    <s v="San Diego"/>
    <n v="10"/>
    <n v="113.02"/>
  </r>
  <r>
    <s v="ORD1127"/>
    <x v="7"/>
    <x v="3"/>
    <s v="South"/>
    <s v="Texas"/>
    <s v="San Antonio"/>
    <n v="7"/>
    <n v="91.69"/>
  </r>
  <r>
    <s v="ORD1128"/>
    <x v="1"/>
    <x v="10"/>
    <s v="South"/>
    <s v="Ohio"/>
    <s v="Dallas"/>
    <n v="7"/>
    <n v="107.47"/>
  </r>
  <r>
    <s v="ORD1129"/>
    <x v="1"/>
    <x v="5"/>
    <s v="West"/>
    <s v="Michigan"/>
    <s v="Dallas"/>
    <n v="7"/>
    <n v="59.38"/>
  </r>
  <r>
    <s v="ORD1130"/>
    <x v="1"/>
    <x v="1"/>
    <s v="South"/>
    <s v="Texas"/>
    <s v="San Diego"/>
    <n v="7"/>
    <n v="88.35"/>
  </r>
  <r>
    <s v="ORD1131"/>
    <x v="7"/>
    <x v="8"/>
    <s v="West"/>
    <s v="Illinois"/>
    <s v="Philadelphia"/>
    <n v="2"/>
    <n v="275.3"/>
  </r>
  <r>
    <s v="ORD1132"/>
    <x v="7"/>
    <x v="10"/>
    <s v="West"/>
    <s v="Texas"/>
    <s v="Philadelphia"/>
    <n v="8"/>
    <n v="221.21"/>
  </r>
  <r>
    <s v="ORD1133"/>
    <x v="5"/>
    <x v="2"/>
    <s v="East"/>
    <s v="Michigan"/>
    <s v="Philadelphia"/>
    <n v="1"/>
    <n v="69.02"/>
  </r>
  <r>
    <s v="ORD1134"/>
    <x v="7"/>
    <x v="6"/>
    <s v="North"/>
    <s v="North Carolina"/>
    <s v="Phoenix"/>
    <n v="10"/>
    <n v="154.5"/>
  </r>
  <r>
    <s v="ORD1135"/>
    <x v="2"/>
    <x v="5"/>
    <s v="North"/>
    <s v="Georgia"/>
    <s v="Los Angeles"/>
    <n v="3"/>
    <n v="79.569999999999993"/>
  </r>
  <r>
    <s v="ORD1136"/>
    <x v="7"/>
    <x v="7"/>
    <s v="East"/>
    <s v="New York"/>
    <s v="Philadelphia"/>
    <n v="4"/>
    <n v="213.35"/>
  </r>
  <r>
    <s v="ORD1137"/>
    <x v="6"/>
    <x v="1"/>
    <s v="North"/>
    <s v="North Carolina"/>
    <s v="Los Angeles"/>
    <n v="7"/>
    <n v="187.26"/>
  </r>
  <r>
    <s v="ORD1138"/>
    <x v="7"/>
    <x v="7"/>
    <s v="South"/>
    <s v="New York"/>
    <s v="Miami"/>
    <n v="6"/>
    <n v="66.17"/>
  </r>
  <r>
    <s v="ORD1139"/>
    <x v="2"/>
    <x v="9"/>
    <s v="North"/>
    <s v="Michigan"/>
    <s v="Austin"/>
    <n v="10"/>
    <n v="258.95999999999998"/>
  </r>
  <r>
    <s v="ORD1140"/>
    <x v="6"/>
    <x v="2"/>
    <s v="North"/>
    <s v="California"/>
    <s v="Austin"/>
    <n v="3"/>
    <n v="217.39"/>
  </r>
  <r>
    <s v="ORD1141"/>
    <x v="2"/>
    <x v="1"/>
    <s v="South"/>
    <s v="Georgia"/>
    <s v="San Diego"/>
    <n v="3"/>
    <n v="130.01"/>
  </r>
  <r>
    <s v="ORD1142"/>
    <x v="7"/>
    <x v="0"/>
    <s v="West"/>
    <s v="Ohio"/>
    <s v="Dallas"/>
    <n v="9"/>
    <n v="52.63"/>
  </r>
  <r>
    <s v="ORD1143"/>
    <x v="3"/>
    <x v="6"/>
    <s v="West"/>
    <s v="California"/>
    <s v="San Antonio"/>
    <n v="1"/>
    <n v="71.11"/>
  </r>
  <r>
    <s v="ORD1144"/>
    <x v="0"/>
    <x v="11"/>
    <s v="East"/>
    <s v="Illinois"/>
    <s v="Miami"/>
    <n v="5"/>
    <n v="229.88"/>
  </r>
  <r>
    <s v="ORD1145"/>
    <x v="6"/>
    <x v="3"/>
    <s v="South"/>
    <s v="Florida"/>
    <s v="Phoenix"/>
    <n v="1"/>
    <n v="32.83"/>
  </r>
  <r>
    <s v="ORD1146"/>
    <x v="9"/>
    <x v="8"/>
    <s v="South"/>
    <s v="Texas"/>
    <s v="Philadelphia"/>
    <n v="3"/>
    <n v="67.5"/>
  </r>
  <r>
    <s v="ORD1147"/>
    <x v="1"/>
    <x v="5"/>
    <s v="North"/>
    <s v="Pennsylvania"/>
    <s v="Dallas"/>
    <n v="10"/>
    <n v="89.72"/>
  </r>
  <r>
    <s v="ORD1148"/>
    <x v="4"/>
    <x v="3"/>
    <s v="South"/>
    <s v="California"/>
    <s v="Dallas"/>
    <n v="10"/>
    <n v="235.9"/>
  </r>
  <r>
    <s v="ORD1149"/>
    <x v="6"/>
    <x v="1"/>
    <s v="South"/>
    <s v="California"/>
    <s v="Chicago"/>
    <n v="5"/>
    <n v="117.48"/>
  </r>
  <r>
    <s v="ORD1150"/>
    <x v="4"/>
    <x v="8"/>
    <s v="West"/>
    <s v="Michigan"/>
    <s v="Chicago"/>
    <n v="8"/>
    <n v="169.63"/>
  </r>
  <r>
    <s v="ORD1151"/>
    <x v="2"/>
    <x v="1"/>
    <s v="West"/>
    <s v="Illinois"/>
    <s v="Austin"/>
    <n v="9"/>
    <n v="83.25"/>
  </r>
  <r>
    <s v="ORD1152"/>
    <x v="7"/>
    <x v="9"/>
    <s v="East"/>
    <s v="Texas"/>
    <s v="Houston"/>
    <n v="9"/>
    <n v="32.53"/>
  </r>
  <r>
    <s v="ORD1153"/>
    <x v="8"/>
    <x v="5"/>
    <s v="East"/>
    <s v="Georgia"/>
    <s v="Los Angeles"/>
    <n v="5"/>
    <n v="273.77999999999997"/>
  </r>
  <r>
    <s v="ORD1154"/>
    <x v="0"/>
    <x v="0"/>
    <s v="East"/>
    <s v="Florida"/>
    <s v="Houston"/>
    <n v="10"/>
    <n v="207.05"/>
  </r>
  <r>
    <s v="ORD1155"/>
    <x v="2"/>
    <x v="11"/>
    <s v="North"/>
    <s v="Georgia"/>
    <s v="Miami"/>
    <n v="5"/>
    <n v="75.94"/>
  </r>
  <r>
    <s v="ORD1156"/>
    <x v="9"/>
    <x v="11"/>
    <s v="West"/>
    <s v="Florida"/>
    <s v="Miami"/>
    <n v="6"/>
    <n v="292.64999999999998"/>
  </r>
  <r>
    <s v="ORD1157"/>
    <x v="9"/>
    <x v="2"/>
    <s v="South"/>
    <s v="Illinois"/>
    <s v="Chicago"/>
    <n v="6"/>
    <n v="270.19"/>
  </r>
  <r>
    <s v="ORD1158"/>
    <x v="7"/>
    <x v="2"/>
    <s v="West"/>
    <s v="Ohio"/>
    <s v="Miami"/>
    <n v="6"/>
    <n v="78.239999999999995"/>
  </r>
  <r>
    <s v="ORD1159"/>
    <x v="0"/>
    <x v="7"/>
    <s v="East"/>
    <s v="New York"/>
    <s v="Miami"/>
    <n v="6"/>
    <n v="299.56"/>
  </r>
  <r>
    <s v="ORD1160"/>
    <x v="2"/>
    <x v="4"/>
    <s v="West"/>
    <s v="California"/>
    <s v="Austin"/>
    <n v="1"/>
    <n v="281.63"/>
  </r>
  <r>
    <s v="ORD1161"/>
    <x v="8"/>
    <x v="1"/>
    <s v="East"/>
    <s v="Florida"/>
    <s v="Philadelphia"/>
    <n v="9"/>
    <n v="43.13"/>
  </r>
  <r>
    <s v="ORD1162"/>
    <x v="9"/>
    <x v="1"/>
    <s v="South"/>
    <s v="Illinois"/>
    <s v="Chicago"/>
    <n v="8"/>
    <n v="204.92"/>
  </r>
  <r>
    <s v="ORD1163"/>
    <x v="6"/>
    <x v="1"/>
    <s v="South"/>
    <s v="Florida"/>
    <s v="San Antonio"/>
    <n v="2"/>
    <n v="183.24"/>
  </r>
  <r>
    <s v="ORD1164"/>
    <x v="4"/>
    <x v="10"/>
    <s v="North"/>
    <s v="Florida"/>
    <s v="Chicago"/>
    <n v="9"/>
    <n v="237.98"/>
  </r>
  <r>
    <s v="ORD1165"/>
    <x v="8"/>
    <x v="3"/>
    <s v="East"/>
    <s v="California"/>
    <s v="Los Angeles"/>
    <n v="1"/>
    <n v="97.79"/>
  </r>
  <r>
    <s v="ORD1166"/>
    <x v="3"/>
    <x v="8"/>
    <s v="South"/>
    <s v="New York"/>
    <s v="Los Angeles"/>
    <n v="9"/>
    <n v="105.58"/>
  </r>
  <r>
    <s v="ORD1167"/>
    <x v="6"/>
    <x v="2"/>
    <s v="East"/>
    <s v="Georgia"/>
    <s v="Miami"/>
    <n v="9"/>
    <n v="206.31"/>
  </r>
  <r>
    <s v="ORD1168"/>
    <x v="6"/>
    <x v="6"/>
    <s v="North"/>
    <s v="Pennsylvania"/>
    <s v="Dallas"/>
    <n v="2"/>
    <n v="243.63"/>
  </r>
  <r>
    <s v="ORD1169"/>
    <x v="0"/>
    <x v="6"/>
    <s v="West"/>
    <s v="Ohio"/>
    <s v="Austin"/>
    <n v="10"/>
    <n v="74.02"/>
  </r>
  <r>
    <s v="ORD1170"/>
    <x v="6"/>
    <x v="10"/>
    <s v="West"/>
    <s v="California"/>
    <s v="Chicago"/>
    <n v="1"/>
    <n v="99.46"/>
  </r>
  <r>
    <s v="ORD1171"/>
    <x v="6"/>
    <x v="6"/>
    <s v="East"/>
    <s v="New York"/>
    <s v="Chicago"/>
    <n v="5"/>
    <n v="284.37"/>
  </r>
  <r>
    <s v="ORD1172"/>
    <x v="2"/>
    <x v="8"/>
    <s v="South"/>
    <s v="Illinois"/>
    <s v="Houston"/>
    <n v="10"/>
    <n v="72.87"/>
  </r>
  <r>
    <s v="ORD1173"/>
    <x v="6"/>
    <x v="5"/>
    <s v="North"/>
    <s v="Georgia"/>
    <s v="Chicago"/>
    <n v="4"/>
    <n v="181.3"/>
  </r>
  <r>
    <s v="ORD1174"/>
    <x v="4"/>
    <x v="0"/>
    <s v="West"/>
    <s v="Illinois"/>
    <s v="Los Angeles"/>
    <n v="4"/>
    <n v="74.13"/>
  </r>
  <r>
    <s v="ORD1175"/>
    <x v="4"/>
    <x v="0"/>
    <s v="North"/>
    <s v="New York"/>
    <s v="Philadelphia"/>
    <n v="5"/>
    <n v="284.58"/>
  </r>
  <r>
    <s v="ORD1176"/>
    <x v="0"/>
    <x v="1"/>
    <s v="South"/>
    <s v="North Carolina"/>
    <s v="San Diego"/>
    <n v="10"/>
    <n v="278.69"/>
  </r>
  <r>
    <s v="ORD1177"/>
    <x v="0"/>
    <x v="6"/>
    <s v="North"/>
    <s v="Florida"/>
    <s v="Dallas"/>
    <n v="3"/>
    <n v="27.93"/>
  </r>
  <r>
    <s v="ORD1178"/>
    <x v="1"/>
    <x v="7"/>
    <s v="North"/>
    <s v="California"/>
    <s v="Philadelphia"/>
    <n v="1"/>
    <n v="61.67"/>
  </r>
  <r>
    <s v="ORD1179"/>
    <x v="1"/>
    <x v="1"/>
    <s v="East"/>
    <s v="Ohio"/>
    <s v="Los Angeles"/>
    <n v="3"/>
    <n v="46.5"/>
  </r>
  <r>
    <s v="ORD1180"/>
    <x v="7"/>
    <x v="10"/>
    <s v="East"/>
    <s v="Illinois"/>
    <s v="San Diego"/>
    <n v="5"/>
    <n v="78.680000000000007"/>
  </r>
  <r>
    <s v="ORD1181"/>
    <x v="5"/>
    <x v="11"/>
    <s v="West"/>
    <s v="Illinois"/>
    <s v="Houston"/>
    <n v="6"/>
    <n v="102.48"/>
  </r>
  <r>
    <s v="ORD1182"/>
    <x v="7"/>
    <x v="2"/>
    <s v="North"/>
    <s v="Michigan"/>
    <s v="Dallas"/>
    <n v="1"/>
    <n v="248.7"/>
  </r>
  <r>
    <s v="ORD1183"/>
    <x v="3"/>
    <x v="5"/>
    <s v="South"/>
    <s v="Michigan"/>
    <s v="Phoenix"/>
    <n v="8"/>
    <n v="233.43"/>
  </r>
  <r>
    <s v="ORD1184"/>
    <x v="4"/>
    <x v="1"/>
    <s v="North"/>
    <s v="California"/>
    <s v="San Antonio"/>
    <n v="9"/>
    <n v="97.95"/>
  </r>
  <r>
    <s v="ORD1185"/>
    <x v="4"/>
    <x v="10"/>
    <s v="East"/>
    <s v="Texas"/>
    <s v="San Antonio"/>
    <n v="8"/>
    <n v="196.57"/>
  </r>
  <r>
    <s v="ORD1186"/>
    <x v="1"/>
    <x v="4"/>
    <s v="North"/>
    <s v="Georgia"/>
    <s v="Philadelphia"/>
    <n v="6"/>
    <n v="130.05000000000001"/>
  </r>
  <r>
    <s v="ORD1187"/>
    <x v="4"/>
    <x v="5"/>
    <s v="North"/>
    <s v="Texas"/>
    <s v="Houston"/>
    <n v="6"/>
    <n v="266.79000000000002"/>
  </r>
  <r>
    <s v="ORD1188"/>
    <x v="3"/>
    <x v="2"/>
    <s v="South"/>
    <s v="Florida"/>
    <s v="San Antonio"/>
    <n v="3"/>
    <n v="126.04"/>
  </r>
  <r>
    <s v="ORD1189"/>
    <x v="1"/>
    <x v="6"/>
    <s v="West"/>
    <s v="Ohio"/>
    <s v="San Antonio"/>
    <n v="7"/>
    <n v="254.51"/>
  </r>
  <r>
    <s v="ORD1190"/>
    <x v="2"/>
    <x v="0"/>
    <s v="North"/>
    <s v="California"/>
    <s v="San Diego"/>
    <n v="10"/>
    <n v="229.23"/>
  </r>
  <r>
    <s v="ORD1191"/>
    <x v="1"/>
    <x v="9"/>
    <s v="South"/>
    <s v="California"/>
    <s v="Houston"/>
    <n v="2"/>
    <n v="219.68"/>
  </r>
  <r>
    <s v="ORD1192"/>
    <x v="8"/>
    <x v="0"/>
    <s v="East"/>
    <s v="Pennsylvania"/>
    <s v="Chicago"/>
    <n v="1"/>
    <n v="25.29"/>
  </r>
  <r>
    <s v="ORD1193"/>
    <x v="8"/>
    <x v="10"/>
    <s v="East"/>
    <s v="Georgia"/>
    <s v="San Antonio"/>
    <n v="9"/>
    <n v="23.62"/>
  </r>
  <r>
    <s v="ORD1194"/>
    <x v="6"/>
    <x v="0"/>
    <s v="West"/>
    <s v="Ohio"/>
    <s v="Chicago"/>
    <n v="2"/>
    <n v="174.12"/>
  </r>
  <r>
    <s v="ORD1195"/>
    <x v="3"/>
    <x v="4"/>
    <s v="East"/>
    <s v="Georgia"/>
    <s v="Philadelphia"/>
    <n v="9"/>
    <n v="88.04"/>
  </r>
  <r>
    <s v="ORD1196"/>
    <x v="3"/>
    <x v="7"/>
    <s v="East"/>
    <s v="Illinois"/>
    <s v="San Antonio"/>
    <n v="7"/>
    <n v="137.72999999999999"/>
  </r>
  <r>
    <s v="ORD1197"/>
    <x v="4"/>
    <x v="9"/>
    <s v="West"/>
    <s v="North Carolina"/>
    <s v="Austin"/>
    <n v="1"/>
    <n v="253.53"/>
  </r>
  <r>
    <s v="ORD1198"/>
    <x v="9"/>
    <x v="10"/>
    <s v="North"/>
    <s v="Pennsylvania"/>
    <s v="San Diego"/>
    <n v="8"/>
    <n v="28.8"/>
  </r>
  <r>
    <s v="ORD1199"/>
    <x v="3"/>
    <x v="4"/>
    <s v="South"/>
    <s v="Ohio"/>
    <s v="Miami"/>
    <n v="2"/>
    <n v="55.57"/>
  </r>
  <r>
    <s v="ORD1200"/>
    <x v="0"/>
    <x v="7"/>
    <s v="West"/>
    <s v="Michigan"/>
    <s v="Houston"/>
    <n v="2"/>
    <n v="268.74"/>
  </r>
  <r>
    <s v="ORD1201"/>
    <x v="7"/>
    <x v="2"/>
    <s v="East"/>
    <s v="North Carolina"/>
    <s v="San Antonio"/>
    <n v="5"/>
    <n v="164.92"/>
  </r>
  <r>
    <s v="ORD1202"/>
    <x v="4"/>
    <x v="4"/>
    <s v="North"/>
    <s v="Ohio"/>
    <s v="Philadelphia"/>
    <n v="4"/>
    <n v="50.31"/>
  </r>
  <r>
    <s v="ORD1203"/>
    <x v="0"/>
    <x v="10"/>
    <s v="West"/>
    <s v="Illinois"/>
    <s v="Austin"/>
    <n v="6"/>
    <n v="42.9"/>
  </r>
  <r>
    <s v="ORD1204"/>
    <x v="1"/>
    <x v="1"/>
    <s v="South"/>
    <s v="Ohio"/>
    <s v="Philadelphia"/>
    <n v="8"/>
    <n v="219.17"/>
  </r>
  <r>
    <s v="ORD1205"/>
    <x v="8"/>
    <x v="1"/>
    <s v="East"/>
    <s v="Pennsylvania"/>
    <s v="San Antonio"/>
    <n v="8"/>
    <n v="32.520000000000003"/>
  </r>
  <r>
    <s v="ORD1206"/>
    <x v="4"/>
    <x v="6"/>
    <s v="West"/>
    <s v="Illinois"/>
    <s v="San Diego"/>
    <n v="7"/>
    <n v="266.82"/>
  </r>
  <r>
    <s v="ORD1207"/>
    <x v="9"/>
    <x v="3"/>
    <s v="North"/>
    <s v="North Carolina"/>
    <s v="Los Angeles"/>
    <n v="9"/>
    <n v="111.21"/>
  </r>
  <r>
    <s v="ORD1208"/>
    <x v="3"/>
    <x v="5"/>
    <s v="East"/>
    <s v="California"/>
    <s v="Dallas"/>
    <n v="10"/>
    <n v="256.51"/>
  </r>
  <r>
    <s v="ORD1209"/>
    <x v="9"/>
    <x v="8"/>
    <s v="North"/>
    <s v="Ohio"/>
    <s v="San Antonio"/>
    <n v="6"/>
    <n v="276.42"/>
  </r>
  <r>
    <s v="ORD1210"/>
    <x v="6"/>
    <x v="11"/>
    <s v="South"/>
    <s v="Pennsylvania"/>
    <s v="Austin"/>
    <n v="7"/>
    <n v="67.010000000000005"/>
  </r>
  <r>
    <s v="ORD1211"/>
    <x v="3"/>
    <x v="0"/>
    <s v="East"/>
    <s v="Pennsylvania"/>
    <s v="Houston"/>
    <n v="8"/>
    <n v="55.01"/>
  </r>
  <r>
    <s v="ORD1212"/>
    <x v="5"/>
    <x v="2"/>
    <s v="North"/>
    <s v="California"/>
    <s v="Miami"/>
    <n v="6"/>
    <n v="242.74"/>
  </r>
  <r>
    <s v="ORD1213"/>
    <x v="1"/>
    <x v="7"/>
    <s v="West"/>
    <s v="Florida"/>
    <s v="Phoenix"/>
    <n v="6"/>
    <n v="222.55"/>
  </r>
  <r>
    <s v="ORD1214"/>
    <x v="6"/>
    <x v="11"/>
    <s v="East"/>
    <s v="North Carolina"/>
    <s v="San Antonio"/>
    <n v="2"/>
    <n v="201.63"/>
  </r>
  <r>
    <s v="ORD1215"/>
    <x v="6"/>
    <x v="6"/>
    <s v="South"/>
    <s v="North Carolina"/>
    <s v="Philadelphia"/>
    <n v="3"/>
    <n v="94.02"/>
  </r>
  <r>
    <s v="ORD1216"/>
    <x v="4"/>
    <x v="3"/>
    <s v="East"/>
    <s v="Texas"/>
    <s v="Austin"/>
    <n v="1"/>
    <n v="271.14999999999998"/>
  </r>
  <r>
    <s v="ORD1217"/>
    <x v="8"/>
    <x v="9"/>
    <s v="North"/>
    <s v="Pennsylvania"/>
    <s v="Los Angeles"/>
    <n v="8"/>
    <n v="129.94"/>
  </r>
  <r>
    <s v="ORD1218"/>
    <x v="0"/>
    <x v="3"/>
    <s v="South"/>
    <s v="Florida"/>
    <s v="Dallas"/>
    <n v="7"/>
    <n v="227.92"/>
  </r>
  <r>
    <s v="ORD1219"/>
    <x v="1"/>
    <x v="0"/>
    <s v="West"/>
    <s v="Texas"/>
    <s v="Phoenix"/>
    <n v="2"/>
    <n v="250.5"/>
  </r>
  <r>
    <s v="ORD1220"/>
    <x v="3"/>
    <x v="4"/>
    <s v="South"/>
    <s v="Ohio"/>
    <s v="Los Angeles"/>
    <n v="4"/>
    <n v="30.13"/>
  </r>
  <r>
    <s v="ORD1221"/>
    <x v="6"/>
    <x v="9"/>
    <s v="North"/>
    <s v="Georgia"/>
    <s v="Chicago"/>
    <n v="7"/>
    <n v="58.21"/>
  </r>
  <r>
    <s v="ORD1222"/>
    <x v="6"/>
    <x v="1"/>
    <s v="North"/>
    <s v="North Carolina"/>
    <s v="Houston"/>
    <n v="5"/>
    <n v="71.23"/>
  </r>
  <r>
    <s v="ORD1223"/>
    <x v="5"/>
    <x v="3"/>
    <s v="South"/>
    <s v="Texas"/>
    <s v="San Diego"/>
    <n v="1"/>
    <n v="210.62"/>
  </r>
  <r>
    <s v="ORD1224"/>
    <x v="8"/>
    <x v="4"/>
    <s v="East"/>
    <s v="Pennsylvania"/>
    <s v="Chicago"/>
    <n v="5"/>
    <n v="176.47"/>
  </r>
  <r>
    <s v="ORD1225"/>
    <x v="8"/>
    <x v="4"/>
    <s v="East"/>
    <s v="Florida"/>
    <s v="San Antonio"/>
    <n v="5"/>
    <n v="282.45999999999998"/>
  </r>
  <r>
    <s v="ORD1226"/>
    <x v="8"/>
    <x v="10"/>
    <s v="East"/>
    <s v="Illinois"/>
    <s v="San Antonio"/>
    <n v="9"/>
    <n v="131.79"/>
  </r>
  <r>
    <s v="ORD1227"/>
    <x v="1"/>
    <x v="2"/>
    <s v="West"/>
    <s v="Illinois"/>
    <s v="Miami"/>
    <n v="6"/>
    <n v="246.48"/>
  </r>
  <r>
    <s v="ORD1228"/>
    <x v="5"/>
    <x v="8"/>
    <s v="West"/>
    <s v="Florida"/>
    <s v="Dallas"/>
    <n v="5"/>
    <n v="207.07"/>
  </r>
  <r>
    <s v="ORD1229"/>
    <x v="4"/>
    <x v="2"/>
    <s v="West"/>
    <s v="Texas"/>
    <s v="Austin"/>
    <n v="3"/>
    <n v="40.72"/>
  </r>
  <r>
    <s v="ORD1230"/>
    <x v="8"/>
    <x v="4"/>
    <s v="West"/>
    <s v="North Carolina"/>
    <s v="Los Angeles"/>
    <n v="7"/>
    <n v="208.63"/>
  </r>
  <r>
    <s v="ORD1231"/>
    <x v="3"/>
    <x v="7"/>
    <s v="West"/>
    <s v="North Carolina"/>
    <s v="Dallas"/>
    <n v="2"/>
    <n v="153.4"/>
  </r>
  <r>
    <s v="ORD1232"/>
    <x v="7"/>
    <x v="10"/>
    <s v="East"/>
    <s v="Georgia"/>
    <s v="Chicago"/>
    <n v="5"/>
    <n v="257.22000000000003"/>
  </r>
  <r>
    <s v="ORD1233"/>
    <x v="8"/>
    <x v="4"/>
    <s v="West"/>
    <s v="Texas"/>
    <s v="Miami"/>
    <n v="4"/>
    <n v="45.76"/>
  </r>
  <r>
    <s v="ORD1234"/>
    <x v="2"/>
    <x v="1"/>
    <s v="East"/>
    <s v="New York"/>
    <s v="Austin"/>
    <n v="5"/>
    <n v="186"/>
  </r>
  <r>
    <s v="ORD1235"/>
    <x v="2"/>
    <x v="0"/>
    <s v="North"/>
    <s v="California"/>
    <s v="Dallas"/>
    <n v="2"/>
    <n v="280.19"/>
  </r>
  <r>
    <s v="ORD1236"/>
    <x v="0"/>
    <x v="0"/>
    <s v="West"/>
    <s v="Georgia"/>
    <s v="Austin"/>
    <n v="6"/>
    <n v="81.400000000000006"/>
  </r>
  <r>
    <s v="ORD1237"/>
    <x v="6"/>
    <x v="3"/>
    <s v="North"/>
    <s v="Michigan"/>
    <s v="Austin"/>
    <n v="7"/>
    <n v="41.55"/>
  </r>
  <r>
    <s v="ORD1238"/>
    <x v="7"/>
    <x v="10"/>
    <s v="North"/>
    <s v="Pennsylvania"/>
    <s v="Dallas"/>
    <n v="7"/>
    <n v="267.5"/>
  </r>
  <r>
    <s v="ORD1239"/>
    <x v="2"/>
    <x v="0"/>
    <s v="West"/>
    <s v="Florida"/>
    <s v="Chicago"/>
    <n v="5"/>
    <n v="63.39"/>
  </r>
  <r>
    <s v="ORD1240"/>
    <x v="3"/>
    <x v="1"/>
    <s v="North"/>
    <s v="Florida"/>
    <s v="Philadelphia"/>
    <n v="1"/>
    <n v="235.91"/>
  </r>
  <r>
    <s v="ORD1241"/>
    <x v="1"/>
    <x v="6"/>
    <s v="West"/>
    <s v="New York"/>
    <s v="Miami"/>
    <n v="1"/>
    <n v="288.95"/>
  </r>
  <r>
    <s v="ORD1242"/>
    <x v="1"/>
    <x v="4"/>
    <s v="South"/>
    <s v="New York"/>
    <s v="Chicago"/>
    <n v="3"/>
    <n v="53.12"/>
  </r>
  <r>
    <s v="ORD1243"/>
    <x v="6"/>
    <x v="3"/>
    <s v="South"/>
    <s v="Michigan"/>
    <s v="Houston"/>
    <n v="2"/>
    <n v="47.61"/>
  </r>
  <r>
    <s v="ORD1244"/>
    <x v="8"/>
    <x v="11"/>
    <s v="West"/>
    <s v="New York"/>
    <s v="Philadelphia"/>
    <n v="5"/>
    <n v="131.19"/>
  </r>
  <r>
    <s v="ORD1245"/>
    <x v="1"/>
    <x v="10"/>
    <s v="North"/>
    <s v="Texas"/>
    <s v="Dallas"/>
    <n v="2"/>
    <n v="147.13999999999999"/>
  </r>
  <r>
    <s v="ORD1246"/>
    <x v="7"/>
    <x v="1"/>
    <s v="East"/>
    <s v="California"/>
    <s v="Phoenix"/>
    <n v="5"/>
    <n v="92.99"/>
  </r>
  <r>
    <s v="ORD1247"/>
    <x v="0"/>
    <x v="11"/>
    <s v="West"/>
    <s v="Ohio"/>
    <s v="Los Angeles"/>
    <n v="4"/>
    <n v="111.51"/>
  </r>
  <r>
    <s v="ORD1248"/>
    <x v="2"/>
    <x v="4"/>
    <s v="West"/>
    <s v="New York"/>
    <s v="Austin"/>
    <n v="10"/>
    <n v="258.37"/>
  </r>
  <r>
    <s v="ORD1249"/>
    <x v="7"/>
    <x v="4"/>
    <s v="South"/>
    <s v="North Carolina"/>
    <s v="San Diego"/>
    <n v="3"/>
    <n v="162.65"/>
  </r>
  <r>
    <s v="ORD1250"/>
    <x v="0"/>
    <x v="11"/>
    <s v="South"/>
    <s v="New York"/>
    <s v="Phoenix"/>
    <n v="7"/>
    <n v="280.68"/>
  </r>
  <r>
    <s v="ORD1251"/>
    <x v="5"/>
    <x v="11"/>
    <s v="East"/>
    <s v="Pennsylvania"/>
    <s v="Austin"/>
    <n v="2"/>
    <n v="205.73"/>
  </r>
  <r>
    <s v="ORD1252"/>
    <x v="5"/>
    <x v="6"/>
    <s v="East"/>
    <s v="Illinois"/>
    <s v="Los Angeles"/>
    <n v="10"/>
    <n v="249.03"/>
  </r>
  <r>
    <s v="ORD1253"/>
    <x v="0"/>
    <x v="10"/>
    <s v="North"/>
    <s v="New York"/>
    <s v="Miami"/>
    <n v="5"/>
    <n v="39.61"/>
  </r>
  <r>
    <s v="ORD1254"/>
    <x v="5"/>
    <x v="10"/>
    <s v="South"/>
    <s v="North Carolina"/>
    <s v="Los Angeles"/>
    <n v="7"/>
    <n v="256.06"/>
  </r>
  <r>
    <s v="ORD1255"/>
    <x v="3"/>
    <x v="7"/>
    <s v="East"/>
    <s v="Illinois"/>
    <s v="San Diego"/>
    <n v="8"/>
    <n v="228.46"/>
  </r>
  <r>
    <s v="ORD1256"/>
    <x v="3"/>
    <x v="2"/>
    <s v="East"/>
    <s v="North Carolina"/>
    <s v="San Diego"/>
    <n v="5"/>
    <n v="20.92"/>
  </r>
  <r>
    <s v="ORD1257"/>
    <x v="2"/>
    <x v="10"/>
    <s v="East"/>
    <s v="California"/>
    <s v="Dallas"/>
    <n v="6"/>
    <n v="168.51"/>
  </r>
  <r>
    <s v="ORD1258"/>
    <x v="0"/>
    <x v="10"/>
    <s v="East"/>
    <s v="Illinois"/>
    <s v="Austin"/>
    <n v="5"/>
    <n v="39.9"/>
  </r>
  <r>
    <s v="ORD1259"/>
    <x v="2"/>
    <x v="1"/>
    <s v="South"/>
    <s v="Texas"/>
    <s v="Dallas"/>
    <n v="4"/>
    <n v="118.98"/>
  </r>
  <r>
    <s v="ORD1260"/>
    <x v="4"/>
    <x v="7"/>
    <s v="East"/>
    <s v="Florida"/>
    <s v="San Antonio"/>
    <n v="2"/>
    <n v="254.08"/>
  </r>
  <r>
    <s v="ORD1261"/>
    <x v="5"/>
    <x v="0"/>
    <s v="East"/>
    <s v="Texas"/>
    <s v="Chicago"/>
    <n v="1"/>
    <n v="179.45"/>
  </r>
  <r>
    <s v="ORD1262"/>
    <x v="1"/>
    <x v="9"/>
    <s v="West"/>
    <s v="Illinois"/>
    <s v="San Antonio"/>
    <n v="8"/>
    <n v="228.8"/>
  </r>
  <r>
    <s v="ORD1263"/>
    <x v="2"/>
    <x v="1"/>
    <s v="East"/>
    <s v="Georgia"/>
    <s v="Austin"/>
    <n v="5"/>
    <n v="274.25"/>
  </r>
  <r>
    <s v="ORD1264"/>
    <x v="8"/>
    <x v="11"/>
    <s v="East"/>
    <s v="New York"/>
    <s v="Philadelphia"/>
    <n v="8"/>
    <n v="156.69999999999999"/>
  </r>
  <r>
    <s v="ORD1265"/>
    <x v="0"/>
    <x v="11"/>
    <s v="West"/>
    <s v="Florida"/>
    <s v="Austin"/>
    <n v="4"/>
    <n v="74.72"/>
  </r>
  <r>
    <s v="ORD1266"/>
    <x v="7"/>
    <x v="7"/>
    <s v="North"/>
    <s v="Ohio"/>
    <s v="Houston"/>
    <n v="8"/>
    <n v="257.58"/>
  </r>
  <r>
    <s v="ORD1267"/>
    <x v="0"/>
    <x v="9"/>
    <s v="North"/>
    <s v="Michigan"/>
    <s v="Houston"/>
    <n v="9"/>
    <n v="150.5"/>
  </r>
  <r>
    <s v="ORD1268"/>
    <x v="2"/>
    <x v="10"/>
    <s v="South"/>
    <s v="California"/>
    <s v="Dallas"/>
    <n v="6"/>
    <n v="69.81"/>
  </r>
  <r>
    <s v="ORD1269"/>
    <x v="6"/>
    <x v="1"/>
    <s v="East"/>
    <s v="Michigan"/>
    <s v="Dallas"/>
    <n v="1"/>
    <n v="147.85"/>
  </r>
  <r>
    <s v="ORD1270"/>
    <x v="7"/>
    <x v="9"/>
    <s v="East"/>
    <s v="Michigan"/>
    <s v="San Diego"/>
    <n v="10"/>
    <n v="298.01"/>
  </r>
  <r>
    <s v="ORD1271"/>
    <x v="2"/>
    <x v="7"/>
    <s v="South"/>
    <s v="Illinois"/>
    <s v="Houston"/>
    <n v="2"/>
    <n v="271.83"/>
  </r>
  <r>
    <s v="ORD1272"/>
    <x v="9"/>
    <x v="3"/>
    <s v="West"/>
    <s v="Pennsylvania"/>
    <s v="Miami"/>
    <n v="3"/>
    <n v="67.150000000000006"/>
  </r>
  <r>
    <s v="ORD1273"/>
    <x v="8"/>
    <x v="7"/>
    <s v="West"/>
    <s v="North Carolina"/>
    <s v="San Antonio"/>
    <n v="10"/>
    <n v="219.97"/>
  </r>
  <r>
    <s v="ORD1274"/>
    <x v="1"/>
    <x v="2"/>
    <s v="East"/>
    <s v="Pennsylvania"/>
    <s v="Chicago"/>
    <n v="1"/>
    <n v="160.97999999999999"/>
  </r>
  <r>
    <s v="ORD1275"/>
    <x v="5"/>
    <x v="4"/>
    <s v="North"/>
    <s v="Florida"/>
    <s v="San Antonio"/>
    <n v="7"/>
    <n v="135.43"/>
  </r>
  <r>
    <s v="ORD1276"/>
    <x v="9"/>
    <x v="4"/>
    <s v="North"/>
    <s v="Michigan"/>
    <s v="Phoenix"/>
    <n v="4"/>
    <n v="141.05000000000001"/>
  </r>
  <r>
    <s v="ORD1277"/>
    <x v="6"/>
    <x v="7"/>
    <s v="West"/>
    <s v="Florida"/>
    <s v="Philadelphia"/>
    <n v="9"/>
    <n v="261.79000000000002"/>
  </r>
  <r>
    <s v="ORD1278"/>
    <x v="2"/>
    <x v="6"/>
    <s v="North"/>
    <s v="Florida"/>
    <s v="Philadelphia"/>
    <n v="2"/>
    <n v="223.56"/>
  </r>
  <r>
    <s v="ORD1279"/>
    <x v="1"/>
    <x v="5"/>
    <s v="West"/>
    <s v="North Carolina"/>
    <s v="Phoenix"/>
    <n v="4"/>
    <n v="164.11"/>
  </r>
  <r>
    <s v="ORD1280"/>
    <x v="2"/>
    <x v="11"/>
    <s v="West"/>
    <s v="Florida"/>
    <s v="Austin"/>
    <n v="10"/>
    <n v="168.3"/>
  </r>
  <r>
    <s v="ORD1281"/>
    <x v="6"/>
    <x v="10"/>
    <s v="South"/>
    <s v="Pennsylvania"/>
    <s v="Dallas"/>
    <n v="8"/>
    <n v="211.51"/>
  </r>
  <r>
    <s v="ORD1282"/>
    <x v="9"/>
    <x v="9"/>
    <s v="North"/>
    <s v="California"/>
    <s v="Chicago"/>
    <n v="7"/>
    <n v="103.11"/>
  </r>
  <r>
    <s v="ORD1283"/>
    <x v="0"/>
    <x v="7"/>
    <s v="South"/>
    <s v="Texas"/>
    <s v="Houston"/>
    <n v="2"/>
    <n v="151.51"/>
  </r>
  <r>
    <s v="ORD1284"/>
    <x v="9"/>
    <x v="2"/>
    <s v="West"/>
    <s v="Georgia"/>
    <s v="Los Angeles"/>
    <n v="8"/>
    <n v="190.9"/>
  </r>
  <r>
    <s v="ORD1285"/>
    <x v="6"/>
    <x v="3"/>
    <s v="West"/>
    <s v="Ohio"/>
    <s v="Los Angeles"/>
    <n v="3"/>
    <n v="52.42"/>
  </r>
  <r>
    <s v="ORD1286"/>
    <x v="6"/>
    <x v="4"/>
    <s v="West"/>
    <s v="Florida"/>
    <s v="Los Angeles"/>
    <n v="1"/>
    <n v="222.17"/>
  </r>
  <r>
    <s v="ORD1287"/>
    <x v="3"/>
    <x v="9"/>
    <s v="West"/>
    <s v="Pennsylvania"/>
    <s v="Phoenix"/>
    <n v="6"/>
    <n v="51.34"/>
  </r>
  <r>
    <s v="ORD1288"/>
    <x v="9"/>
    <x v="2"/>
    <s v="North"/>
    <s v="Florida"/>
    <s v="San Diego"/>
    <n v="2"/>
    <n v="281.83"/>
  </r>
  <r>
    <s v="ORD1289"/>
    <x v="8"/>
    <x v="5"/>
    <s v="South"/>
    <s v="Georgia"/>
    <s v="San Diego"/>
    <n v="1"/>
    <n v="262.88"/>
  </r>
  <r>
    <s v="ORD1290"/>
    <x v="6"/>
    <x v="3"/>
    <s v="North"/>
    <s v="Florida"/>
    <s v="Miami"/>
    <n v="9"/>
    <n v="31.27"/>
  </r>
  <r>
    <s v="ORD1291"/>
    <x v="9"/>
    <x v="4"/>
    <s v="South"/>
    <s v="North Carolina"/>
    <s v="San Diego"/>
    <n v="1"/>
    <n v="40.19"/>
  </r>
  <r>
    <s v="ORD1292"/>
    <x v="3"/>
    <x v="8"/>
    <s v="North"/>
    <s v="Georgia"/>
    <s v="San Antonio"/>
    <n v="6"/>
    <n v="110.68"/>
  </r>
  <r>
    <s v="ORD1293"/>
    <x v="4"/>
    <x v="8"/>
    <s v="South"/>
    <s v="Ohio"/>
    <s v="Houston"/>
    <n v="10"/>
    <n v="32.4"/>
  </r>
  <r>
    <s v="ORD1294"/>
    <x v="3"/>
    <x v="3"/>
    <s v="South"/>
    <s v="Florida"/>
    <s v="San Antonio"/>
    <n v="5"/>
    <n v="117.52"/>
  </r>
  <r>
    <s v="ORD1295"/>
    <x v="8"/>
    <x v="10"/>
    <s v="South"/>
    <s v="California"/>
    <s v="San Antonio"/>
    <n v="4"/>
    <n v="25.38"/>
  </r>
  <r>
    <s v="ORD1296"/>
    <x v="2"/>
    <x v="3"/>
    <s v="South"/>
    <s v="California"/>
    <s v="Dallas"/>
    <n v="10"/>
    <n v="209.49"/>
  </r>
  <r>
    <s v="ORD1297"/>
    <x v="5"/>
    <x v="2"/>
    <s v="West"/>
    <s v="New York"/>
    <s v="Chicago"/>
    <n v="1"/>
    <n v="23.28"/>
  </r>
  <r>
    <s v="ORD1298"/>
    <x v="0"/>
    <x v="0"/>
    <s v="East"/>
    <s v="Pennsylvania"/>
    <s v="Houston"/>
    <n v="10"/>
    <n v="64.58"/>
  </r>
  <r>
    <s v="ORD1299"/>
    <x v="6"/>
    <x v="9"/>
    <s v="South"/>
    <s v="Illinois"/>
    <s v="Austin"/>
    <n v="2"/>
    <n v="152.22999999999999"/>
  </r>
  <r>
    <s v="ORD1300"/>
    <x v="1"/>
    <x v="4"/>
    <s v="South"/>
    <s v="Georgia"/>
    <s v="Austin"/>
    <n v="1"/>
    <n v="216.16"/>
  </r>
  <r>
    <s v="ORD1301"/>
    <x v="2"/>
    <x v="2"/>
    <s v="East"/>
    <s v="California"/>
    <s v="Chicago"/>
    <n v="7"/>
    <n v="196.77"/>
  </r>
  <r>
    <s v="ORD1302"/>
    <x v="9"/>
    <x v="6"/>
    <s v="North"/>
    <s v="Texas"/>
    <s v="San Diego"/>
    <n v="7"/>
    <n v="77.91"/>
  </r>
  <r>
    <s v="ORD1303"/>
    <x v="3"/>
    <x v="7"/>
    <s v="East"/>
    <s v="Illinois"/>
    <s v="Miami"/>
    <n v="6"/>
    <n v="221.23"/>
  </r>
  <r>
    <s v="ORD1304"/>
    <x v="3"/>
    <x v="11"/>
    <s v="South"/>
    <s v="Michigan"/>
    <s v="San Diego"/>
    <n v="2"/>
    <n v="49.85"/>
  </r>
  <r>
    <s v="ORD1305"/>
    <x v="7"/>
    <x v="1"/>
    <s v="South"/>
    <s v="Michigan"/>
    <s v="Dallas"/>
    <n v="9"/>
    <n v="261.77"/>
  </r>
  <r>
    <s v="ORD1306"/>
    <x v="8"/>
    <x v="0"/>
    <s v="West"/>
    <s v="Michigan"/>
    <s v="Austin"/>
    <n v="5"/>
    <n v="125.28"/>
  </r>
  <r>
    <s v="ORD1307"/>
    <x v="4"/>
    <x v="2"/>
    <s v="South"/>
    <s v="New York"/>
    <s v="Austin"/>
    <n v="6"/>
    <n v="180.38"/>
  </r>
  <r>
    <s v="ORD1308"/>
    <x v="8"/>
    <x v="0"/>
    <s v="West"/>
    <s v="Pennsylvania"/>
    <s v="San Antonio"/>
    <n v="8"/>
    <n v="294.60000000000002"/>
  </r>
  <r>
    <s v="ORD1309"/>
    <x v="3"/>
    <x v="10"/>
    <s v="East"/>
    <s v="California"/>
    <s v="Chicago"/>
    <n v="6"/>
    <n v="67.63"/>
  </r>
  <r>
    <s v="ORD1310"/>
    <x v="0"/>
    <x v="3"/>
    <s v="South"/>
    <s v="North Carolina"/>
    <s v="Philadelphia"/>
    <n v="10"/>
    <n v="185.57"/>
  </r>
  <r>
    <s v="ORD1311"/>
    <x v="2"/>
    <x v="6"/>
    <s v="North"/>
    <s v="Florida"/>
    <s v="Philadelphia"/>
    <n v="1"/>
    <n v="20.010000000000002"/>
  </r>
  <r>
    <s v="ORD1312"/>
    <x v="0"/>
    <x v="8"/>
    <s v="East"/>
    <s v="Florida"/>
    <s v="Los Angeles"/>
    <n v="10"/>
    <n v="206.97"/>
  </r>
  <r>
    <s v="ORD1313"/>
    <x v="1"/>
    <x v="8"/>
    <s v="East"/>
    <s v="Pennsylvania"/>
    <s v="San Antonio"/>
    <n v="8"/>
    <n v="121.57"/>
  </r>
  <r>
    <s v="ORD1314"/>
    <x v="0"/>
    <x v="4"/>
    <s v="South"/>
    <s v="Georgia"/>
    <s v="Dallas"/>
    <n v="8"/>
    <n v="158.32"/>
  </r>
  <r>
    <s v="ORD1315"/>
    <x v="8"/>
    <x v="1"/>
    <s v="North"/>
    <s v="New York"/>
    <s v="San Antonio"/>
    <n v="3"/>
    <n v="195.34"/>
  </r>
  <r>
    <s v="ORD1316"/>
    <x v="5"/>
    <x v="9"/>
    <s v="West"/>
    <s v="Ohio"/>
    <s v="Houston"/>
    <n v="8"/>
    <n v="79.25"/>
  </r>
  <r>
    <s v="ORD1317"/>
    <x v="8"/>
    <x v="9"/>
    <s v="East"/>
    <s v="Michigan"/>
    <s v="Dallas"/>
    <n v="2"/>
    <n v="42.4"/>
  </r>
  <r>
    <s v="ORD1318"/>
    <x v="9"/>
    <x v="3"/>
    <s v="South"/>
    <s v="Texas"/>
    <s v="Miami"/>
    <n v="4"/>
    <n v="272.43"/>
  </r>
  <r>
    <s v="ORD1319"/>
    <x v="2"/>
    <x v="3"/>
    <s v="North"/>
    <s v="Pennsylvania"/>
    <s v="Los Angeles"/>
    <n v="10"/>
    <n v="23.96"/>
  </r>
  <r>
    <s v="ORD1320"/>
    <x v="7"/>
    <x v="3"/>
    <s v="North"/>
    <s v="Michigan"/>
    <s v="Philadelphia"/>
    <n v="6"/>
    <n v="168.17"/>
  </r>
  <r>
    <s v="ORD1321"/>
    <x v="1"/>
    <x v="2"/>
    <s v="West"/>
    <s v="Illinois"/>
    <s v="San Diego"/>
    <n v="1"/>
    <n v="31.07"/>
  </r>
  <r>
    <s v="ORD1322"/>
    <x v="6"/>
    <x v="7"/>
    <s v="North"/>
    <s v="Ohio"/>
    <s v="Chicago"/>
    <n v="1"/>
    <n v="140.41"/>
  </r>
  <r>
    <s v="ORD1323"/>
    <x v="3"/>
    <x v="4"/>
    <s v="South"/>
    <s v="North Carolina"/>
    <s v="Miami"/>
    <n v="8"/>
    <n v="43.52"/>
  </r>
  <r>
    <s v="ORD1324"/>
    <x v="6"/>
    <x v="1"/>
    <s v="East"/>
    <s v="Florida"/>
    <s v="Miami"/>
    <n v="4"/>
    <n v="174.91"/>
  </r>
  <r>
    <s v="ORD1325"/>
    <x v="5"/>
    <x v="0"/>
    <s v="West"/>
    <s v="New York"/>
    <s v="Austin"/>
    <n v="6"/>
    <n v="184.33"/>
  </r>
  <r>
    <s v="ORD1326"/>
    <x v="9"/>
    <x v="7"/>
    <s v="North"/>
    <s v="Pennsylvania"/>
    <s v="San Diego"/>
    <n v="10"/>
    <n v="25.57"/>
  </r>
  <r>
    <s v="ORD1327"/>
    <x v="0"/>
    <x v="7"/>
    <s v="North"/>
    <s v="Texas"/>
    <s v="Chicago"/>
    <n v="4"/>
    <n v="288.27"/>
  </r>
  <r>
    <s v="ORD1328"/>
    <x v="8"/>
    <x v="0"/>
    <s v="North"/>
    <s v="Georgia"/>
    <s v="Philadelphia"/>
    <n v="3"/>
    <n v="160.01"/>
  </r>
  <r>
    <s v="ORD1329"/>
    <x v="5"/>
    <x v="1"/>
    <s v="West"/>
    <s v="Michigan"/>
    <s v="Los Angeles"/>
    <n v="9"/>
    <n v="147.83000000000001"/>
  </r>
  <r>
    <s v="ORD1330"/>
    <x v="7"/>
    <x v="11"/>
    <s v="West"/>
    <s v="California"/>
    <s v="San Antonio"/>
    <n v="2"/>
    <n v="175.27"/>
  </r>
  <r>
    <s v="ORD1331"/>
    <x v="4"/>
    <x v="0"/>
    <s v="East"/>
    <s v="North Carolina"/>
    <s v="Los Angeles"/>
    <n v="4"/>
    <n v="162.15"/>
  </r>
  <r>
    <s v="ORD1332"/>
    <x v="2"/>
    <x v="8"/>
    <s v="West"/>
    <s v="Georgia"/>
    <s v="Phoenix"/>
    <n v="7"/>
    <n v="81.459999999999994"/>
  </r>
  <r>
    <s v="ORD1333"/>
    <x v="8"/>
    <x v="3"/>
    <s v="South"/>
    <s v="North Carolina"/>
    <s v="Austin"/>
    <n v="3"/>
    <n v="250.65"/>
  </r>
  <r>
    <s v="ORD1334"/>
    <x v="4"/>
    <x v="9"/>
    <s v="North"/>
    <s v="Texas"/>
    <s v="San Antonio"/>
    <n v="8"/>
    <n v="85.97"/>
  </r>
  <r>
    <s v="ORD1335"/>
    <x v="1"/>
    <x v="4"/>
    <s v="South"/>
    <s v="Ohio"/>
    <s v="Los Angeles"/>
    <n v="10"/>
    <n v="184.89"/>
  </r>
  <r>
    <s v="ORD1336"/>
    <x v="2"/>
    <x v="8"/>
    <s v="East"/>
    <s v="Michigan"/>
    <s v="Philadelphia"/>
    <n v="6"/>
    <n v="132.94"/>
  </r>
  <r>
    <s v="ORD1337"/>
    <x v="3"/>
    <x v="5"/>
    <s v="West"/>
    <s v="Pennsylvania"/>
    <s v="Miami"/>
    <n v="7"/>
    <n v="201.36"/>
  </r>
  <r>
    <s v="ORD1338"/>
    <x v="5"/>
    <x v="5"/>
    <s v="East"/>
    <s v="Georgia"/>
    <s v="San Diego"/>
    <n v="9"/>
    <n v="194.53"/>
  </r>
  <r>
    <s v="ORD1339"/>
    <x v="4"/>
    <x v="6"/>
    <s v="West"/>
    <s v="North Carolina"/>
    <s v="Austin"/>
    <n v="2"/>
    <n v="267.87"/>
  </r>
  <r>
    <s v="ORD1340"/>
    <x v="6"/>
    <x v="3"/>
    <s v="East"/>
    <s v="Florida"/>
    <s v="Miami"/>
    <n v="5"/>
    <n v="289.14"/>
  </r>
  <r>
    <s v="ORD1341"/>
    <x v="2"/>
    <x v="9"/>
    <s v="East"/>
    <s v="Georgia"/>
    <s v="Chicago"/>
    <n v="7"/>
    <n v="288.83999999999997"/>
  </r>
  <r>
    <s v="ORD1342"/>
    <x v="4"/>
    <x v="10"/>
    <s v="South"/>
    <s v="Florida"/>
    <s v="San Antonio"/>
    <n v="10"/>
    <n v="104.55"/>
  </r>
  <r>
    <s v="ORD1343"/>
    <x v="2"/>
    <x v="10"/>
    <s v="North"/>
    <s v="Georgia"/>
    <s v="Phoenix"/>
    <n v="7"/>
    <n v="223.54"/>
  </r>
  <r>
    <s v="ORD1344"/>
    <x v="9"/>
    <x v="7"/>
    <s v="South"/>
    <s v="New York"/>
    <s v="Chicago"/>
    <n v="1"/>
    <n v="68.86"/>
  </r>
  <r>
    <s v="ORD1345"/>
    <x v="7"/>
    <x v="0"/>
    <s v="West"/>
    <s v="Georgia"/>
    <s v="Philadelphia"/>
    <n v="10"/>
    <n v="124.28"/>
  </r>
  <r>
    <s v="ORD1346"/>
    <x v="9"/>
    <x v="6"/>
    <s v="North"/>
    <s v="Texas"/>
    <s v="Miami"/>
    <n v="6"/>
    <n v="253.78"/>
  </r>
  <r>
    <s v="ORD1347"/>
    <x v="5"/>
    <x v="7"/>
    <s v="East"/>
    <s v="Michigan"/>
    <s v="Dallas"/>
    <n v="9"/>
    <n v="120.39"/>
  </r>
  <r>
    <s v="ORD1348"/>
    <x v="4"/>
    <x v="0"/>
    <s v="West"/>
    <s v="Michigan"/>
    <s v="Chicago"/>
    <n v="4"/>
    <n v="164.05"/>
  </r>
  <r>
    <s v="ORD1349"/>
    <x v="0"/>
    <x v="3"/>
    <s v="North"/>
    <s v="Pennsylvania"/>
    <s v="Miami"/>
    <n v="7"/>
    <n v="186.41"/>
  </r>
  <r>
    <s v="ORD1350"/>
    <x v="0"/>
    <x v="1"/>
    <s v="South"/>
    <s v="Florida"/>
    <s v="San Diego"/>
    <n v="2"/>
    <n v="136.38999999999999"/>
  </r>
  <r>
    <s v="ORD1351"/>
    <x v="0"/>
    <x v="1"/>
    <s v="East"/>
    <s v="New York"/>
    <s v="Los Angeles"/>
    <n v="8"/>
    <n v="192.21"/>
  </r>
  <r>
    <s v="ORD1352"/>
    <x v="3"/>
    <x v="8"/>
    <s v="West"/>
    <s v="Illinois"/>
    <s v="San Diego"/>
    <n v="10"/>
    <n v="102.45"/>
  </r>
  <r>
    <s v="ORD1353"/>
    <x v="0"/>
    <x v="4"/>
    <s v="East"/>
    <s v="Texas"/>
    <s v="Dallas"/>
    <n v="4"/>
    <n v="241.24"/>
  </r>
  <r>
    <s v="ORD1354"/>
    <x v="1"/>
    <x v="10"/>
    <s v="West"/>
    <s v="Ohio"/>
    <s v="San Diego"/>
    <n v="4"/>
    <n v="130.13"/>
  </r>
  <r>
    <s v="ORD1355"/>
    <x v="7"/>
    <x v="6"/>
    <s v="South"/>
    <s v="California"/>
    <s v="Philadelphia"/>
    <n v="7"/>
    <n v="294.60000000000002"/>
  </r>
  <r>
    <s v="ORD1356"/>
    <x v="3"/>
    <x v="9"/>
    <s v="East"/>
    <s v="Illinois"/>
    <s v="Phoenix"/>
    <n v="7"/>
    <n v="261.45"/>
  </r>
  <r>
    <s v="ORD1357"/>
    <x v="9"/>
    <x v="11"/>
    <s v="South"/>
    <s v="Florida"/>
    <s v="Houston"/>
    <n v="5"/>
    <n v="82.94"/>
  </r>
  <r>
    <s v="ORD1358"/>
    <x v="5"/>
    <x v="3"/>
    <s v="West"/>
    <s v="New York"/>
    <s v="Houston"/>
    <n v="9"/>
    <n v="177.13"/>
  </r>
  <r>
    <s v="ORD1359"/>
    <x v="2"/>
    <x v="0"/>
    <s v="West"/>
    <s v="Georgia"/>
    <s v="Houston"/>
    <n v="4"/>
    <n v="204.4"/>
  </r>
  <r>
    <s v="ORD1360"/>
    <x v="9"/>
    <x v="8"/>
    <s v="South"/>
    <s v="Pennsylvania"/>
    <s v="Los Angeles"/>
    <n v="10"/>
    <n v="166.88"/>
  </r>
  <r>
    <s v="ORD1361"/>
    <x v="1"/>
    <x v="6"/>
    <s v="West"/>
    <s v="Texas"/>
    <s v="Houston"/>
    <n v="2"/>
    <n v="198.87"/>
  </r>
  <r>
    <s v="ORD1362"/>
    <x v="3"/>
    <x v="10"/>
    <s v="East"/>
    <s v="California"/>
    <s v="Austin"/>
    <n v="4"/>
    <n v="192.87"/>
  </r>
  <r>
    <s v="ORD1363"/>
    <x v="9"/>
    <x v="5"/>
    <s v="West"/>
    <s v="New York"/>
    <s v="Houston"/>
    <n v="7"/>
    <n v="118.39"/>
  </r>
  <r>
    <s v="ORD1364"/>
    <x v="6"/>
    <x v="8"/>
    <s v="East"/>
    <s v="North Carolina"/>
    <s v="Miami"/>
    <n v="6"/>
    <n v="273.19"/>
  </r>
  <r>
    <s v="ORD1365"/>
    <x v="2"/>
    <x v="8"/>
    <s v="West"/>
    <s v="California"/>
    <s v="Los Angeles"/>
    <n v="5"/>
    <n v="285.95999999999998"/>
  </r>
  <r>
    <s v="ORD1366"/>
    <x v="0"/>
    <x v="6"/>
    <s v="South"/>
    <s v="New York"/>
    <s v="San Diego"/>
    <n v="8"/>
    <n v="248.65"/>
  </r>
  <r>
    <s v="ORD1367"/>
    <x v="5"/>
    <x v="5"/>
    <s v="West"/>
    <s v="Ohio"/>
    <s v="Los Angeles"/>
    <n v="2"/>
    <n v="248.63"/>
  </r>
  <r>
    <s v="ORD1368"/>
    <x v="9"/>
    <x v="11"/>
    <s v="North"/>
    <s v="Illinois"/>
    <s v="Houston"/>
    <n v="1"/>
    <n v="265.95"/>
  </r>
  <r>
    <s v="ORD1369"/>
    <x v="9"/>
    <x v="2"/>
    <s v="South"/>
    <s v="Texas"/>
    <s v="Austin"/>
    <n v="5"/>
    <n v="169.92"/>
  </r>
  <r>
    <s v="ORD1370"/>
    <x v="4"/>
    <x v="3"/>
    <s v="East"/>
    <s v="North Carolina"/>
    <s v="San Diego"/>
    <n v="1"/>
    <n v="183.38"/>
  </r>
  <r>
    <s v="ORD1371"/>
    <x v="9"/>
    <x v="1"/>
    <s v="West"/>
    <s v="North Carolina"/>
    <s v="Dallas"/>
    <n v="3"/>
    <n v="40.94"/>
  </r>
  <r>
    <s v="ORD1372"/>
    <x v="8"/>
    <x v="0"/>
    <s v="West"/>
    <s v="New York"/>
    <s v="Dallas"/>
    <n v="5"/>
    <n v="239.67"/>
  </r>
  <r>
    <s v="ORD1373"/>
    <x v="2"/>
    <x v="0"/>
    <s v="East"/>
    <s v="Texas"/>
    <s v="San Diego"/>
    <n v="1"/>
    <n v="105.88"/>
  </r>
  <r>
    <s v="ORD1374"/>
    <x v="1"/>
    <x v="0"/>
    <s v="North"/>
    <s v="California"/>
    <s v="Dallas"/>
    <n v="5"/>
    <n v="144.86000000000001"/>
  </r>
  <r>
    <s v="ORD1375"/>
    <x v="7"/>
    <x v="2"/>
    <s v="North"/>
    <s v="North Carolina"/>
    <s v="Los Angeles"/>
    <n v="5"/>
    <n v="47.19"/>
  </r>
  <r>
    <s v="ORD1376"/>
    <x v="2"/>
    <x v="3"/>
    <s v="West"/>
    <s v="North Carolina"/>
    <s v="Phoenix"/>
    <n v="8"/>
    <n v="177.89"/>
  </r>
  <r>
    <s v="ORD1377"/>
    <x v="9"/>
    <x v="6"/>
    <s v="North"/>
    <s v="New York"/>
    <s v="Houston"/>
    <n v="3"/>
    <n v="149.97999999999999"/>
  </r>
  <r>
    <s v="ORD1378"/>
    <x v="1"/>
    <x v="3"/>
    <s v="South"/>
    <s v="Pennsylvania"/>
    <s v="Miami"/>
    <n v="2"/>
    <n v="65.63"/>
  </r>
  <r>
    <s v="ORD1379"/>
    <x v="7"/>
    <x v="11"/>
    <s v="North"/>
    <s v="Michigan"/>
    <s v="Houston"/>
    <n v="1"/>
    <n v="258.87"/>
  </r>
  <r>
    <s v="ORD1380"/>
    <x v="1"/>
    <x v="11"/>
    <s v="North"/>
    <s v="California"/>
    <s v="Philadelphia"/>
    <n v="10"/>
    <n v="50.9"/>
  </r>
  <r>
    <s v="ORD1381"/>
    <x v="2"/>
    <x v="8"/>
    <s v="East"/>
    <s v="Pennsylvania"/>
    <s v="Phoenix"/>
    <n v="4"/>
    <n v="257.77999999999997"/>
  </r>
  <r>
    <s v="ORD1382"/>
    <x v="2"/>
    <x v="0"/>
    <s v="West"/>
    <s v="California"/>
    <s v="Chicago"/>
    <n v="10"/>
    <n v="178.54"/>
  </r>
  <r>
    <s v="ORD1383"/>
    <x v="0"/>
    <x v="1"/>
    <s v="South"/>
    <s v="Florida"/>
    <s v="San Diego"/>
    <n v="6"/>
    <n v="187.38"/>
  </r>
  <r>
    <s v="ORD1384"/>
    <x v="5"/>
    <x v="7"/>
    <s v="South"/>
    <s v="Pennsylvania"/>
    <s v="San Diego"/>
    <n v="10"/>
    <n v="251.04"/>
  </r>
  <r>
    <s v="ORD1385"/>
    <x v="7"/>
    <x v="10"/>
    <s v="East"/>
    <s v="Texas"/>
    <s v="San Diego"/>
    <n v="2"/>
    <n v="247.47"/>
  </r>
  <r>
    <s v="ORD1386"/>
    <x v="2"/>
    <x v="11"/>
    <s v="East"/>
    <s v="North Carolina"/>
    <s v="Phoenix"/>
    <n v="1"/>
    <n v="286.52999999999997"/>
  </r>
  <r>
    <s v="ORD1387"/>
    <x v="8"/>
    <x v="9"/>
    <s v="West"/>
    <s v="California"/>
    <s v="San Antonio"/>
    <n v="2"/>
    <n v="251.74"/>
  </r>
  <r>
    <s v="ORD1388"/>
    <x v="7"/>
    <x v="7"/>
    <s v="West"/>
    <s v="Georgia"/>
    <s v="San Diego"/>
    <n v="10"/>
    <n v="214.97"/>
  </r>
  <r>
    <s v="ORD1389"/>
    <x v="0"/>
    <x v="1"/>
    <s v="South"/>
    <s v="California"/>
    <s v="Philadelphia"/>
    <n v="4"/>
    <n v="187.37"/>
  </r>
  <r>
    <s v="ORD1390"/>
    <x v="3"/>
    <x v="6"/>
    <s v="West"/>
    <s v="Ohio"/>
    <s v="Miami"/>
    <n v="5"/>
    <n v="115.8"/>
  </r>
  <r>
    <s v="ORD1391"/>
    <x v="2"/>
    <x v="4"/>
    <s v="North"/>
    <s v="Florida"/>
    <s v="Dallas"/>
    <n v="10"/>
    <n v="247.55"/>
  </r>
  <r>
    <s v="ORD1392"/>
    <x v="4"/>
    <x v="9"/>
    <s v="South"/>
    <s v="Pennsylvania"/>
    <s v="San Antonio"/>
    <n v="8"/>
    <n v="298.23"/>
  </r>
  <r>
    <s v="ORD1393"/>
    <x v="8"/>
    <x v="3"/>
    <s v="South"/>
    <s v="California"/>
    <s v="Miami"/>
    <n v="10"/>
    <n v="139.66999999999999"/>
  </r>
  <r>
    <s v="ORD1394"/>
    <x v="9"/>
    <x v="5"/>
    <s v="East"/>
    <s v="Georgia"/>
    <s v="San Diego"/>
    <n v="9"/>
    <n v="271.3"/>
  </r>
  <r>
    <s v="ORD1395"/>
    <x v="2"/>
    <x v="10"/>
    <s v="North"/>
    <s v="Florida"/>
    <s v="San Diego"/>
    <n v="3"/>
    <n v="268"/>
  </r>
  <r>
    <s v="ORD1396"/>
    <x v="9"/>
    <x v="2"/>
    <s v="North"/>
    <s v="Pennsylvania"/>
    <s v="San Diego"/>
    <n v="9"/>
    <n v="272.20999999999998"/>
  </r>
  <r>
    <s v="ORD1397"/>
    <x v="6"/>
    <x v="3"/>
    <s v="South"/>
    <s v="Georgia"/>
    <s v="Philadelphia"/>
    <n v="9"/>
    <n v="59.6"/>
  </r>
  <r>
    <s v="ORD1398"/>
    <x v="4"/>
    <x v="10"/>
    <s v="East"/>
    <s v="Michigan"/>
    <s v="San Antonio"/>
    <n v="2"/>
    <n v="113.18"/>
  </r>
  <r>
    <s v="ORD1399"/>
    <x v="0"/>
    <x v="4"/>
    <s v="East"/>
    <s v="Texas"/>
    <s v="San Antonio"/>
    <n v="5"/>
    <n v="182.8"/>
  </r>
  <r>
    <s v="ORD1400"/>
    <x v="6"/>
    <x v="9"/>
    <s v="West"/>
    <s v="Pennsylvania"/>
    <s v="San Diego"/>
    <n v="5"/>
    <n v="158.88"/>
  </r>
  <r>
    <s v="ORD1401"/>
    <x v="1"/>
    <x v="7"/>
    <s v="East"/>
    <s v="Georgia"/>
    <s v="Dallas"/>
    <n v="2"/>
    <n v="53.49"/>
  </r>
  <r>
    <s v="ORD1402"/>
    <x v="8"/>
    <x v="6"/>
    <s v="East"/>
    <s v="Illinois"/>
    <s v="Miami"/>
    <n v="3"/>
    <n v="126.85"/>
  </r>
  <r>
    <s v="ORD1403"/>
    <x v="5"/>
    <x v="9"/>
    <s v="South"/>
    <s v="Florida"/>
    <s v="Los Angeles"/>
    <n v="1"/>
    <n v="131.08000000000001"/>
  </r>
  <r>
    <s v="ORD1404"/>
    <x v="9"/>
    <x v="6"/>
    <s v="South"/>
    <s v="Georgia"/>
    <s v="Philadelphia"/>
    <n v="4"/>
    <n v="133.27000000000001"/>
  </r>
  <r>
    <s v="ORD1405"/>
    <x v="6"/>
    <x v="3"/>
    <s v="West"/>
    <s v="New York"/>
    <s v="Los Angeles"/>
    <n v="2"/>
    <n v="137.97"/>
  </r>
  <r>
    <s v="ORD1406"/>
    <x v="2"/>
    <x v="11"/>
    <s v="North"/>
    <s v="Georgia"/>
    <s v="Chicago"/>
    <n v="4"/>
    <n v="158.36000000000001"/>
  </r>
  <r>
    <s v="ORD1407"/>
    <x v="8"/>
    <x v="8"/>
    <s v="South"/>
    <s v="North Carolina"/>
    <s v="Dallas"/>
    <n v="10"/>
    <n v="39.19"/>
  </r>
  <r>
    <s v="ORD1408"/>
    <x v="6"/>
    <x v="8"/>
    <s v="West"/>
    <s v="California"/>
    <s v="Phoenix"/>
    <n v="4"/>
    <n v="204.17"/>
  </r>
  <r>
    <s v="ORD1409"/>
    <x v="8"/>
    <x v="9"/>
    <s v="West"/>
    <s v="Pennsylvania"/>
    <s v="Dallas"/>
    <n v="3"/>
    <n v="240.87"/>
  </r>
  <r>
    <s v="ORD1410"/>
    <x v="8"/>
    <x v="10"/>
    <s v="North"/>
    <s v="Pennsylvania"/>
    <s v="San Diego"/>
    <n v="10"/>
    <n v="89.78"/>
  </r>
  <r>
    <s v="ORD1411"/>
    <x v="8"/>
    <x v="1"/>
    <s v="South"/>
    <s v="California"/>
    <s v="Austin"/>
    <n v="2"/>
    <n v="42.46"/>
  </r>
  <r>
    <s v="ORD1412"/>
    <x v="5"/>
    <x v="7"/>
    <s v="North"/>
    <s v="Michigan"/>
    <s v="Chicago"/>
    <n v="1"/>
    <n v="236.61"/>
  </r>
  <r>
    <s v="ORD1413"/>
    <x v="8"/>
    <x v="11"/>
    <s v="North"/>
    <s v="Texas"/>
    <s v="Houston"/>
    <n v="6"/>
    <n v="47.01"/>
  </r>
  <r>
    <s v="ORD1414"/>
    <x v="6"/>
    <x v="7"/>
    <s v="East"/>
    <s v="Texas"/>
    <s v="Houston"/>
    <n v="1"/>
    <n v="90.65"/>
  </r>
  <r>
    <s v="ORD1415"/>
    <x v="6"/>
    <x v="7"/>
    <s v="North"/>
    <s v="Georgia"/>
    <s v="Chicago"/>
    <n v="6"/>
    <n v="73.69"/>
  </r>
  <r>
    <s v="ORD1416"/>
    <x v="3"/>
    <x v="10"/>
    <s v="North"/>
    <s v="Ohio"/>
    <s v="Austin"/>
    <n v="3"/>
    <n v="131.49"/>
  </r>
  <r>
    <s v="ORD1417"/>
    <x v="3"/>
    <x v="5"/>
    <s v="West"/>
    <s v="Pennsylvania"/>
    <s v="Phoenix"/>
    <n v="5"/>
    <n v="57.4"/>
  </r>
  <r>
    <s v="ORD1418"/>
    <x v="9"/>
    <x v="7"/>
    <s v="North"/>
    <s v="New York"/>
    <s v="Houston"/>
    <n v="7"/>
    <n v="99.29"/>
  </r>
  <r>
    <s v="ORD1419"/>
    <x v="8"/>
    <x v="9"/>
    <s v="South"/>
    <s v="Texas"/>
    <s v="Philadelphia"/>
    <n v="8"/>
    <n v="254.15"/>
  </r>
  <r>
    <s v="ORD1420"/>
    <x v="6"/>
    <x v="8"/>
    <s v="North"/>
    <s v="Florida"/>
    <s v="Houston"/>
    <n v="2"/>
    <n v="73.98"/>
  </r>
  <r>
    <s v="ORD1421"/>
    <x v="1"/>
    <x v="8"/>
    <s v="West"/>
    <s v="California"/>
    <s v="Philadelphia"/>
    <n v="7"/>
    <n v="100.25"/>
  </r>
  <r>
    <s v="ORD1422"/>
    <x v="5"/>
    <x v="6"/>
    <s v="North"/>
    <s v="Florida"/>
    <s v="Houston"/>
    <n v="4"/>
    <n v="94.51"/>
  </r>
  <r>
    <s v="ORD1423"/>
    <x v="0"/>
    <x v="5"/>
    <s v="East"/>
    <s v="Michigan"/>
    <s v="San Diego"/>
    <n v="6"/>
    <n v="208.57"/>
  </r>
  <r>
    <s v="ORD1424"/>
    <x v="2"/>
    <x v="4"/>
    <s v="South"/>
    <s v="California"/>
    <s v="Dallas"/>
    <n v="8"/>
    <n v="288.17"/>
  </r>
  <r>
    <s v="ORD1425"/>
    <x v="5"/>
    <x v="7"/>
    <s v="East"/>
    <s v="Illinois"/>
    <s v="San Diego"/>
    <n v="9"/>
    <n v="251.24"/>
  </r>
  <r>
    <s v="ORD1426"/>
    <x v="1"/>
    <x v="11"/>
    <s v="East"/>
    <s v="North Carolina"/>
    <s v="Philadelphia"/>
    <n v="9"/>
    <n v="128.43"/>
  </r>
  <r>
    <s v="ORD1427"/>
    <x v="1"/>
    <x v="10"/>
    <s v="North"/>
    <s v="Ohio"/>
    <s v="Dallas"/>
    <n v="1"/>
    <n v="84.58"/>
  </r>
  <r>
    <s v="ORD1428"/>
    <x v="9"/>
    <x v="2"/>
    <s v="North"/>
    <s v="Texas"/>
    <s v="Chicago"/>
    <n v="6"/>
    <n v="224.65"/>
  </r>
  <r>
    <s v="ORD1429"/>
    <x v="4"/>
    <x v="10"/>
    <s v="East"/>
    <s v="Florida"/>
    <s v="Dallas"/>
    <n v="5"/>
    <n v="46.48"/>
  </r>
  <r>
    <s v="ORD1430"/>
    <x v="8"/>
    <x v="1"/>
    <s v="North"/>
    <s v="California"/>
    <s v="Philadelphia"/>
    <n v="4"/>
    <n v="177.04"/>
  </r>
  <r>
    <s v="ORD1431"/>
    <x v="3"/>
    <x v="10"/>
    <s v="South"/>
    <s v="Michigan"/>
    <s v="San Diego"/>
    <n v="2"/>
    <n v="227.04"/>
  </r>
  <r>
    <s v="ORD1432"/>
    <x v="1"/>
    <x v="8"/>
    <s v="West"/>
    <s v="Pennsylvania"/>
    <s v="Philadelphia"/>
    <n v="4"/>
    <n v="31.91"/>
  </r>
  <r>
    <s v="ORD1433"/>
    <x v="6"/>
    <x v="0"/>
    <s v="West"/>
    <s v="New York"/>
    <s v="Miami"/>
    <n v="8"/>
    <n v="198.26"/>
  </r>
  <r>
    <s v="ORD1434"/>
    <x v="8"/>
    <x v="3"/>
    <s v="East"/>
    <s v="Michigan"/>
    <s v="Philadelphia"/>
    <n v="6"/>
    <n v="102.37"/>
  </r>
  <r>
    <s v="ORD1435"/>
    <x v="5"/>
    <x v="6"/>
    <s v="North"/>
    <s v="Texas"/>
    <s v="Philadelphia"/>
    <n v="10"/>
    <n v="256.14"/>
  </r>
  <r>
    <s v="ORD1436"/>
    <x v="1"/>
    <x v="2"/>
    <s v="East"/>
    <s v="Florida"/>
    <s v="San Antonio"/>
    <n v="3"/>
    <n v="135.74"/>
  </r>
  <r>
    <s v="ORD1437"/>
    <x v="6"/>
    <x v="11"/>
    <s v="East"/>
    <s v="North Carolina"/>
    <s v="San Diego"/>
    <n v="3"/>
    <n v="179.7"/>
  </r>
  <r>
    <s v="ORD1438"/>
    <x v="6"/>
    <x v="9"/>
    <s v="North"/>
    <s v="Michigan"/>
    <s v="Phoenix"/>
    <n v="9"/>
    <n v="233.38"/>
  </r>
  <r>
    <s v="ORD1439"/>
    <x v="0"/>
    <x v="7"/>
    <s v="West"/>
    <s v="Pennsylvania"/>
    <s v="Chicago"/>
    <n v="7"/>
    <n v="232.3"/>
  </r>
  <r>
    <s v="ORD1440"/>
    <x v="2"/>
    <x v="4"/>
    <s v="South"/>
    <s v="Georgia"/>
    <s v="Dallas"/>
    <n v="8"/>
    <n v="288.97000000000003"/>
  </r>
  <r>
    <s v="ORD1441"/>
    <x v="5"/>
    <x v="10"/>
    <s v="South"/>
    <s v="Texas"/>
    <s v="Phoenix"/>
    <n v="2"/>
    <n v="102.25"/>
  </r>
  <r>
    <s v="ORD1442"/>
    <x v="5"/>
    <x v="10"/>
    <s v="West"/>
    <s v="North Carolina"/>
    <s v="San Diego"/>
    <n v="9"/>
    <n v="167.16"/>
  </r>
  <r>
    <s v="ORD1443"/>
    <x v="1"/>
    <x v="0"/>
    <s v="West"/>
    <s v="Florida"/>
    <s v="Austin"/>
    <n v="10"/>
    <n v="93.96"/>
  </r>
  <r>
    <s v="ORD1444"/>
    <x v="3"/>
    <x v="7"/>
    <s v="East"/>
    <s v="Georgia"/>
    <s v="Houston"/>
    <n v="4"/>
    <n v="139.27000000000001"/>
  </r>
  <r>
    <s v="ORD1445"/>
    <x v="4"/>
    <x v="5"/>
    <s v="North"/>
    <s v="California"/>
    <s v="Houston"/>
    <n v="5"/>
    <n v="236.43"/>
  </r>
  <r>
    <s v="ORD1446"/>
    <x v="8"/>
    <x v="10"/>
    <s v="East"/>
    <s v="Illinois"/>
    <s v="Chicago"/>
    <n v="10"/>
    <n v="128"/>
  </r>
  <r>
    <s v="ORD1447"/>
    <x v="7"/>
    <x v="0"/>
    <s v="South"/>
    <s v="California"/>
    <s v="San Diego"/>
    <n v="8"/>
    <n v="233.76"/>
  </r>
  <r>
    <s v="ORD1448"/>
    <x v="5"/>
    <x v="2"/>
    <s v="North"/>
    <s v="North Carolina"/>
    <s v="Austin"/>
    <n v="7"/>
    <n v="285.56"/>
  </r>
  <r>
    <s v="ORD1449"/>
    <x v="8"/>
    <x v="2"/>
    <s v="North"/>
    <s v="Michigan"/>
    <s v="Miami"/>
    <n v="4"/>
    <n v="94.16"/>
  </r>
  <r>
    <s v="ORD1450"/>
    <x v="0"/>
    <x v="5"/>
    <s v="West"/>
    <s v="Michigan"/>
    <s v="Houston"/>
    <n v="7"/>
    <n v="124.67"/>
  </r>
  <r>
    <s v="ORD1451"/>
    <x v="9"/>
    <x v="4"/>
    <s v="West"/>
    <s v="New York"/>
    <s v="Los Angeles"/>
    <n v="5"/>
    <n v="202.45"/>
  </r>
  <r>
    <s v="ORD1452"/>
    <x v="9"/>
    <x v="2"/>
    <s v="West"/>
    <s v="California"/>
    <s v="San Antonio"/>
    <n v="6"/>
    <n v="233.53"/>
  </r>
  <r>
    <s v="ORD1453"/>
    <x v="3"/>
    <x v="10"/>
    <s v="North"/>
    <s v="Georgia"/>
    <s v="Houston"/>
    <n v="6"/>
    <n v="190.98"/>
  </r>
  <r>
    <s v="ORD1454"/>
    <x v="2"/>
    <x v="9"/>
    <s v="West"/>
    <s v="New York"/>
    <s v="Chicago"/>
    <n v="7"/>
    <n v="153.13"/>
  </r>
  <r>
    <s v="ORD1455"/>
    <x v="2"/>
    <x v="7"/>
    <s v="East"/>
    <s v="Georgia"/>
    <s v="Dallas"/>
    <n v="1"/>
    <n v="116.06"/>
  </r>
  <r>
    <s v="ORD1456"/>
    <x v="6"/>
    <x v="5"/>
    <s v="East"/>
    <s v="Texas"/>
    <s v="San Antonio"/>
    <n v="2"/>
    <n v="175.75"/>
  </r>
  <r>
    <s v="ORD1457"/>
    <x v="0"/>
    <x v="10"/>
    <s v="West"/>
    <s v="New York"/>
    <s v="Los Angeles"/>
    <n v="5"/>
    <n v="110.69"/>
  </r>
  <r>
    <s v="ORD1458"/>
    <x v="6"/>
    <x v="8"/>
    <s v="North"/>
    <s v="Pennsylvania"/>
    <s v="Philadelphia"/>
    <n v="7"/>
    <n v="43.19"/>
  </r>
  <r>
    <s v="ORD1459"/>
    <x v="5"/>
    <x v="11"/>
    <s v="North"/>
    <s v="Georgia"/>
    <s v="Houston"/>
    <n v="9"/>
    <n v="225.27"/>
  </r>
  <r>
    <s v="ORD1460"/>
    <x v="6"/>
    <x v="4"/>
    <s v="South"/>
    <s v="California"/>
    <s v="San Diego"/>
    <n v="5"/>
    <n v="180.71"/>
  </r>
  <r>
    <s v="ORD1461"/>
    <x v="6"/>
    <x v="2"/>
    <s v="West"/>
    <s v="New York"/>
    <s v="Miami"/>
    <n v="4"/>
    <n v="95.36"/>
  </r>
  <r>
    <s v="ORD1462"/>
    <x v="7"/>
    <x v="4"/>
    <s v="South"/>
    <s v="Texas"/>
    <s v="Philadelphia"/>
    <n v="4"/>
    <n v="30.99"/>
  </r>
  <r>
    <s v="ORD1463"/>
    <x v="6"/>
    <x v="2"/>
    <s v="South"/>
    <s v="Ohio"/>
    <s v="San Diego"/>
    <n v="10"/>
    <n v="128.46"/>
  </r>
  <r>
    <s v="ORD1464"/>
    <x v="7"/>
    <x v="10"/>
    <s v="West"/>
    <s v="North Carolina"/>
    <s v="Dallas"/>
    <n v="8"/>
    <n v="232.61"/>
  </r>
  <r>
    <s v="ORD1465"/>
    <x v="6"/>
    <x v="0"/>
    <s v="South"/>
    <s v="Texas"/>
    <s v="Austin"/>
    <n v="1"/>
    <n v="164.62"/>
  </r>
  <r>
    <s v="ORD1466"/>
    <x v="0"/>
    <x v="10"/>
    <s v="West"/>
    <s v="Georgia"/>
    <s v="Los Angeles"/>
    <n v="4"/>
    <n v="241.46"/>
  </r>
  <r>
    <s v="ORD1467"/>
    <x v="1"/>
    <x v="3"/>
    <s v="East"/>
    <s v="Florida"/>
    <s v="San Diego"/>
    <n v="10"/>
    <n v="187.96"/>
  </r>
  <r>
    <s v="ORD1468"/>
    <x v="6"/>
    <x v="11"/>
    <s v="South"/>
    <s v="New York"/>
    <s v="Los Angeles"/>
    <n v="9"/>
    <n v="288.22000000000003"/>
  </r>
  <r>
    <s v="ORD1469"/>
    <x v="5"/>
    <x v="11"/>
    <s v="North"/>
    <s v="Pennsylvania"/>
    <s v="Philadelphia"/>
    <n v="10"/>
    <n v="287.98"/>
  </r>
  <r>
    <s v="ORD1470"/>
    <x v="5"/>
    <x v="1"/>
    <s v="West"/>
    <s v="Florida"/>
    <s v="Philadelphia"/>
    <n v="5"/>
    <n v="42.03"/>
  </r>
  <r>
    <s v="ORD1471"/>
    <x v="7"/>
    <x v="10"/>
    <s v="East"/>
    <s v="New York"/>
    <s v="Phoenix"/>
    <n v="2"/>
    <n v="87.04"/>
  </r>
  <r>
    <s v="ORD1472"/>
    <x v="6"/>
    <x v="6"/>
    <s v="East"/>
    <s v="Ohio"/>
    <s v="Phoenix"/>
    <n v="7"/>
    <n v="189.31"/>
  </r>
  <r>
    <s v="ORD1473"/>
    <x v="3"/>
    <x v="4"/>
    <s v="North"/>
    <s v="Florida"/>
    <s v="Austin"/>
    <n v="7"/>
    <n v="229.77"/>
  </r>
  <r>
    <s v="ORD1474"/>
    <x v="6"/>
    <x v="3"/>
    <s v="West"/>
    <s v="Texas"/>
    <s v="Austin"/>
    <n v="2"/>
    <n v="83.34"/>
  </r>
  <r>
    <s v="ORD1475"/>
    <x v="5"/>
    <x v="8"/>
    <s v="West"/>
    <s v="Illinois"/>
    <s v="Austin"/>
    <n v="7"/>
    <n v="111.97"/>
  </r>
  <r>
    <s v="ORD1476"/>
    <x v="3"/>
    <x v="11"/>
    <s v="East"/>
    <s v="Illinois"/>
    <s v="San Diego"/>
    <n v="1"/>
    <n v="44.62"/>
  </r>
  <r>
    <s v="ORD1477"/>
    <x v="8"/>
    <x v="1"/>
    <s v="North"/>
    <s v="Pennsylvania"/>
    <s v="Austin"/>
    <n v="6"/>
    <n v="185.13"/>
  </r>
  <r>
    <s v="ORD1478"/>
    <x v="1"/>
    <x v="0"/>
    <s v="North"/>
    <s v="Pennsylvania"/>
    <s v="Houston"/>
    <n v="6"/>
    <n v="276.26"/>
  </r>
  <r>
    <s v="ORD1479"/>
    <x v="0"/>
    <x v="7"/>
    <s v="West"/>
    <s v="Georgia"/>
    <s v="Miami"/>
    <n v="5"/>
    <n v="176.5"/>
  </r>
  <r>
    <s v="ORD1480"/>
    <x v="0"/>
    <x v="1"/>
    <s v="West"/>
    <s v="Ohio"/>
    <s v="San Diego"/>
    <n v="4"/>
    <n v="234.54"/>
  </r>
  <r>
    <s v="ORD1481"/>
    <x v="8"/>
    <x v="3"/>
    <s v="West"/>
    <s v="Illinois"/>
    <s v="Dallas"/>
    <n v="2"/>
    <n v="236.71"/>
  </r>
  <r>
    <s v="ORD1482"/>
    <x v="1"/>
    <x v="0"/>
    <s v="South"/>
    <s v="New York"/>
    <s v="Miami"/>
    <n v="4"/>
    <n v="64.150000000000006"/>
  </r>
  <r>
    <s v="ORD1483"/>
    <x v="2"/>
    <x v="0"/>
    <s v="East"/>
    <s v="Texas"/>
    <s v="Houston"/>
    <n v="5"/>
    <n v="276.37"/>
  </r>
  <r>
    <s v="ORD1484"/>
    <x v="1"/>
    <x v="2"/>
    <s v="East"/>
    <s v="California"/>
    <s v="Philadelphia"/>
    <n v="2"/>
    <n v="98.02"/>
  </r>
  <r>
    <s v="ORD1485"/>
    <x v="8"/>
    <x v="2"/>
    <s v="North"/>
    <s v="North Carolina"/>
    <s v="Phoenix"/>
    <n v="9"/>
    <n v="99.39"/>
  </r>
  <r>
    <s v="ORD1486"/>
    <x v="9"/>
    <x v="9"/>
    <s v="East"/>
    <s v="Illinois"/>
    <s v="Dallas"/>
    <n v="5"/>
    <n v="178.91"/>
  </r>
  <r>
    <s v="ORD1487"/>
    <x v="4"/>
    <x v="8"/>
    <s v="East"/>
    <s v="Illinois"/>
    <s v="Chicago"/>
    <n v="8"/>
    <n v="108.14"/>
  </r>
  <r>
    <s v="ORD1488"/>
    <x v="1"/>
    <x v="5"/>
    <s v="North"/>
    <s v="Florida"/>
    <s v="Chicago"/>
    <n v="10"/>
    <n v="198.55"/>
  </r>
  <r>
    <s v="ORD1489"/>
    <x v="1"/>
    <x v="2"/>
    <s v="North"/>
    <s v="Florida"/>
    <s v="Austin"/>
    <n v="1"/>
    <n v="188.06"/>
  </r>
  <r>
    <s v="ORD1490"/>
    <x v="1"/>
    <x v="3"/>
    <s v="West"/>
    <s v="Texas"/>
    <s v="San Antonio"/>
    <n v="8"/>
    <n v="299.29000000000002"/>
  </r>
  <r>
    <s v="ORD1491"/>
    <x v="3"/>
    <x v="1"/>
    <s v="North"/>
    <s v="Texas"/>
    <s v="San Diego"/>
    <n v="10"/>
    <n v="279.77"/>
  </r>
  <r>
    <s v="ORD1492"/>
    <x v="4"/>
    <x v="2"/>
    <s v="East"/>
    <s v="Florida"/>
    <s v="Chicago"/>
    <n v="10"/>
    <n v="184.73"/>
  </r>
  <r>
    <s v="ORD1493"/>
    <x v="9"/>
    <x v="2"/>
    <s v="West"/>
    <s v="Florida"/>
    <s v="Phoenix"/>
    <n v="7"/>
    <n v="173.74"/>
  </r>
  <r>
    <s v="ORD1494"/>
    <x v="2"/>
    <x v="9"/>
    <s v="East"/>
    <s v="Pennsylvania"/>
    <s v="Los Angeles"/>
    <n v="7"/>
    <n v="149.65"/>
  </r>
  <r>
    <s v="ORD1495"/>
    <x v="7"/>
    <x v="6"/>
    <s v="North"/>
    <s v="Florida"/>
    <s v="Philadelphia"/>
    <n v="2"/>
    <n v="145.93"/>
  </r>
  <r>
    <s v="ORD1496"/>
    <x v="2"/>
    <x v="7"/>
    <s v="North"/>
    <s v="North Carolina"/>
    <s v="Houston"/>
    <n v="10"/>
    <n v="232.94"/>
  </r>
  <r>
    <s v="ORD1497"/>
    <x v="4"/>
    <x v="10"/>
    <s v="North"/>
    <s v="Michigan"/>
    <s v="San Diego"/>
    <n v="8"/>
    <n v="285.13"/>
  </r>
  <r>
    <s v="ORD1498"/>
    <x v="8"/>
    <x v="3"/>
    <s v="North"/>
    <s v="New York"/>
    <s v="San Antonio"/>
    <n v="5"/>
    <n v="220.67"/>
  </r>
  <r>
    <s v="ORD1499"/>
    <x v="3"/>
    <x v="7"/>
    <s v="East"/>
    <s v="Georgia"/>
    <s v="Phoenix"/>
    <n v="2"/>
    <n v="214.69"/>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x v="0"/>
    <x v="0"/>
    <s v="Vienna"/>
    <s v="Central"/>
    <n v="2934"/>
    <n v="1819"/>
  </r>
  <r>
    <s v="KL-2018-5607032"/>
    <d v="2018-01-02T00:00:00"/>
    <s v="Lana Adkins"/>
    <x v="0"/>
    <x v="0"/>
    <s v="Vienna"/>
    <s v="Central"/>
    <n v="4354"/>
    <n v="2787"/>
  </r>
  <r>
    <s v="KL-2018-5607033"/>
    <d v="2018-01-03T00:00:00"/>
    <s v="Sopoline Noel"/>
    <x v="0"/>
    <x v="0"/>
    <s v="Vienna"/>
    <s v="Central"/>
    <n v="2102"/>
    <n v="1534"/>
  </r>
  <r>
    <s v="KL-2018-5607034"/>
    <d v="2018-01-04T00:00:00"/>
    <s v="Abbot Horton"/>
    <x v="1"/>
    <x v="1"/>
    <s v="Langen"/>
    <s v="Central"/>
    <n v="3261"/>
    <n v="2446"/>
  </r>
  <r>
    <s v="KL-2018-5607035"/>
    <d v="2018-01-05T00:00:00"/>
    <s v="Hedda Livingston"/>
    <x v="1"/>
    <x v="1"/>
    <s v="Langen"/>
    <s v="Central"/>
    <n v="2577"/>
    <n v="1907"/>
  </r>
  <r>
    <s v="KL-2018-5607036"/>
    <d v="2018-01-06T00:00:00"/>
    <s v="Henry Hodges"/>
    <x v="1"/>
    <x v="1"/>
    <s v="Langen"/>
    <s v="Central"/>
    <n v="3131"/>
    <n v="1973"/>
  </r>
  <r>
    <s v="KL-2018-5607037"/>
    <d v="2018-01-07T00:00:00"/>
    <s v="Aristotle Barrett"/>
    <x v="1"/>
    <x v="1"/>
    <s v="Langen"/>
    <s v="Central"/>
    <n v="2683"/>
    <n v="1798"/>
  </r>
  <r>
    <s v="KL-2018-5607038"/>
    <d v="2018-01-08T00:00:00"/>
    <s v="Wendy Neal"/>
    <x v="1"/>
    <x v="1"/>
    <s v="Langen"/>
    <s v="Central"/>
    <n v="2613"/>
    <n v="1751"/>
  </r>
  <r>
    <s v="KL-2018-5607039"/>
    <d v="2018-01-09T00:00:00"/>
    <s v="Raymond Mckenzie"/>
    <x v="2"/>
    <x v="2"/>
    <s v="Copenhagen"/>
    <s v="North"/>
    <n v="4076"/>
    <n v="2609"/>
  </r>
  <r>
    <s v="KL-2018-5607040"/>
    <d v="2018-01-10T00:00:00"/>
    <s v="Zephr Hickman"/>
    <x v="3"/>
    <x v="3"/>
    <s v="Gandia"/>
    <s v="South"/>
    <n v="4400"/>
    <n v="3432"/>
  </r>
  <r>
    <s v="KL-2018-5607041"/>
    <d v="2018-01-11T00:00:00"/>
    <s v="Georgia Kane"/>
    <x v="2"/>
    <x v="4"/>
    <s v="Esbjerg"/>
    <s v="North"/>
    <n v="2466"/>
    <n v="1603"/>
  </r>
  <r>
    <s v="KL-2018-5607042"/>
    <d v="2018-01-12T00:00:00"/>
    <s v="Stella Dejesus"/>
    <x v="4"/>
    <x v="5"/>
    <s v="Mumbai"/>
    <s v="South"/>
    <n v="2137"/>
    <n v="1325"/>
  </r>
  <r>
    <s v="KL-2018-5607043"/>
    <d v="2018-01-13T00:00:00"/>
    <s v="Dahlia Porter"/>
    <x v="4"/>
    <x v="6"/>
    <s v="Patna"/>
    <s v="South"/>
    <n v="4216"/>
    <n v="3162"/>
  </r>
  <r>
    <s v="KL-2018-5607044"/>
    <d v="2018-01-14T00:00:00"/>
    <s v="Ria Foster"/>
    <x v="4"/>
    <x v="6"/>
    <s v="Patna"/>
    <s v="South"/>
    <n v="3165"/>
    <n v="2310"/>
  </r>
  <r>
    <s v="KL-2018-5607045"/>
    <d v="2018-01-15T00:00:00"/>
    <s v="Kiona Moore"/>
    <x v="5"/>
    <x v="7"/>
    <s v="Villiers-sur-Marne"/>
    <s v="Central"/>
    <n v="3263"/>
    <n v="2545"/>
  </r>
  <r>
    <s v="KL-2018-5607046"/>
    <d v="2018-01-16T00:00:00"/>
    <s v="Guinevere Sullivan"/>
    <x v="1"/>
    <x v="8"/>
    <s v="Bielefeld"/>
    <s v="Central"/>
    <n v="2946"/>
    <n v="2210"/>
  </r>
  <r>
    <s v="KL-2018-5607047"/>
    <d v="2018-01-17T00:00:00"/>
    <s v="Ingrid Barnes"/>
    <x v="6"/>
    <x v="9"/>
    <s v="Leuven"/>
    <s v="Central"/>
    <n v="2989"/>
    <n v="2212"/>
  </r>
  <r>
    <s v="KL-2018-5607048"/>
    <d v="2018-01-18T00:00:00"/>
    <s v="Quinlan Holcomb"/>
    <x v="6"/>
    <x v="9"/>
    <s v="Leuven"/>
    <s v="Central"/>
    <n v="3463"/>
    <n v="2770"/>
  </r>
  <r>
    <s v="KL-2018-5607049"/>
    <d v="2018-01-19T00:00:00"/>
    <s v="Blair Mccullough"/>
    <x v="4"/>
    <x v="5"/>
    <s v="Pune"/>
    <s v="South"/>
    <n v="2677"/>
    <n v="2088"/>
  </r>
  <r>
    <s v="KL-2018-5607050"/>
    <d v="2018-01-20T00:00:00"/>
    <s v="Diana Guthrie"/>
    <x v="4"/>
    <x v="5"/>
    <s v="Pune"/>
    <s v="South"/>
    <n v="2966"/>
    <n v="1928"/>
  </r>
  <r>
    <s v="KL-2018-5607051"/>
    <d v="2018-01-21T00:00:00"/>
    <s v="Neville Ashley"/>
    <x v="4"/>
    <x v="5"/>
    <s v="Pune"/>
    <s v="South"/>
    <n v="2106"/>
    <n v="1516"/>
  </r>
  <r>
    <s v="KL-2018-5607031"/>
    <d v="2018-01-22T00:00:00"/>
    <s v="Lani Bowers"/>
    <x v="0"/>
    <x v="0"/>
    <s v="Vienna"/>
    <s v="Central"/>
    <n v="3664"/>
    <n v="2272"/>
  </r>
  <r>
    <s v="KL-2018-5607032"/>
    <d v="2018-01-23T00:00:00"/>
    <s v="Lana Adkins"/>
    <x v="0"/>
    <x v="0"/>
    <s v="Vienna"/>
    <s v="Central"/>
    <n v="3069"/>
    <n v="2240"/>
  </r>
  <r>
    <s v="KL-2018-5607033"/>
    <d v="2018-01-24T00:00:00"/>
    <s v="Sopoline Noel"/>
    <x v="0"/>
    <x v="0"/>
    <s v="Vienna"/>
    <s v="Central"/>
    <n v="3755"/>
    <n v="2516"/>
  </r>
  <r>
    <s v="KL-2018-5607034"/>
    <d v="2018-01-25T00:00:00"/>
    <s v="Abbot Horton"/>
    <x v="1"/>
    <x v="1"/>
    <s v="Langen"/>
    <s v="Central"/>
    <n v="3215"/>
    <n v="2058"/>
  </r>
  <r>
    <s v="KL-2018-5607035"/>
    <d v="2018-01-26T00:00:00"/>
    <s v="Hedda Livingston"/>
    <x v="1"/>
    <x v="1"/>
    <s v="Langen"/>
    <s v="Central"/>
    <n v="3685"/>
    <n v="2543"/>
  </r>
  <r>
    <s v="KL-2018-5607036"/>
    <d v="2018-01-27T00:00:00"/>
    <s v="Henry Hodges"/>
    <x v="1"/>
    <x v="1"/>
    <s v="Langen"/>
    <s v="Central"/>
    <n v="4015"/>
    <n v="2730"/>
  </r>
  <r>
    <s v="KL-2018-5607037"/>
    <d v="2018-01-28T00:00:00"/>
    <s v="Aristotle Barrett"/>
    <x v="1"/>
    <x v="1"/>
    <s v="Langen"/>
    <s v="Central"/>
    <n v="2517"/>
    <n v="1661"/>
  </r>
  <r>
    <s v="KL-2018-5607038"/>
    <d v="2018-01-29T00:00:00"/>
    <s v="Wendy Neal"/>
    <x v="1"/>
    <x v="1"/>
    <s v="Langen"/>
    <s v="Central"/>
    <n v="2598"/>
    <n v="1793"/>
  </r>
  <r>
    <s v="KL-2018-5607039"/>
    <d v="2018-01-30T00:00:00"/>
    <s v="Raymond Mckenzie"/>
    <x v="2"/>
    <x v="2"/>
    <s v="Copenhagen"/>
    <s v="North"/>
    <n v="3513"/>
    <n v="2740"/>
  </r>
  <r>
    <s v="KL-2018-5607040"/>
    <d v="2018-01-31T00:00:00"/>
    <s v="Zephr Hickman"/>
    <x v="3"/>
    <x v="3"/>
    <s v="Gandia"/>
    <s v="South"/>
    <n v="2247"/>
    <n v="1775"/>
  </r>
  <r>
    <s v="KL-2018-5607041"/>
    <d v="2018-02-01T00:00:00"/>
    <s v="Georgia Kane"/>
    <x v="2"/>
    <x v="4"/>
    <s v="Esbjerg"/>
    <s v="North"/>
    <n v="2878"/>
    <n v="1784"/>
  </r>
  <r>
    <s v="KL-2018-5607042"/>
    <d v="2018-02-02T00:00:00"/>
    <s v="Stella Dejesus"/>
    <x v="4"/>
    <x v="5"/>
    <s v="Mumbai"/>
    <s v="South"/>
    <n v="3425"/>
    <n v="2706"/>
  </r>
  <r>
    <s v="KL-2018-5607043"/>
    <d v="2018-02-03T00:00:00"/>
    <s v="Dahlia Porter"/>
    <x v="4"/>
    <x v="6"/>
    <s v="Patna"/>
    <s v="South"/>
    <n v="2865"/>
    <n v="2091"/>
  </r>
  <r>
    <s v="KL-2018-5607044"/>
    <d v="2018-02-04T00:00:00"/>
    <s v="Ria Foster"/>
    <x v="4"/>
    <x v="6"/>
    <s v="Patna"/>
    <s v="South"/>
    <n v="2393"/>
    <n v="1723"/>
  </r>
  <r>
    <s v="KL-2018-5607045"/>
    <d v="2018-02-05T00:00:00"/>
    <s v="Kiona Moore"/>
    <x v="5"/>
    <x v="7"/>
    <s v="Villiers-sur-Marne"/>
    <s v="Central"/>
    <n v="3149"/>
    <n v="2299"/>
  </r>
  <r>
    <s v="KL-2018-5607046"/>
    <d v="2018-02-06T00:00:00"/>
    <s v="Guinevere Sullivan"/>
    <x v="1"/>
    <x v="8"/>
    <s v="Bielefeld"/>
    <s v="Central"/>
    <n v="3277"/>
    <n v="2130"/>
  </r>
  <r>
    <s v="KL-2018-5607047"/>
    <d v="2018-02-07T00:00:00"/>
    <s v="Ingrid Barnes"/>
    <x v="6"/>
    <x v="9"/>
    <s v="Leuven"/>
    <s v="Central"/>
    <n v="2713"/>
    <n v="1682"/>
  </r>
  <r>
    <s v="KL-2018-5607048"/>
    <d v="2018-02-08T00:00:00"/>
    <s v="Quinlan Holcomb"/>
    <x v="6"/>
    <x v="9"/>
    <s v="Leuven"/>
    <s v="Central"/>
    <n v="3381"/>
    <n v="2231"/>
  </r>
  <r>
    <s v="KL-2018-5607049"/>
    <d v="2018-02-09T00:00:00"/>
    <s v="Blair Mccullough"/>
    <x v="4"/>
    <x v="5"/>
    <s v="Pune"/>
    <s v="South"/>
    <n v="2545"/>
    <n v="2011"/>
  </r>
  <r>
    <s v="KL-2018-5607050"/>
    <d v="2018-02-10T00:00:00"/>
    <s v="Diana Guthrie"/>
    <x v="4"/>
    <x v="5"/>
    <s v="Pune"/>
    <s v="South"/>
    <n v="4473"/>
    <n v="2729"/>
  </r>
  <r>
    <s v="KL-2018-5607051"/>
    <d v="2018-02-11T00:00:00"/>
    <s v="Neville Ashley"/>
    <x v="4"/>
    <x v="5"/>
    <s v="Pune"/>
    <s v="South"/>
    <n v="3332"/>
    <n v="2132"/>
  </r>
  <r>
    <s v="KL-2018-5607031"/>
    <d v="2018-02-12T00:00:00"/>
    <s v="Lani Bowers"/>
    <x v="0"/>
    <x v="0"/>
    <s v="Vienna"/>
    <s v="Central"/>
    <n v="2283"/>
    <n v="1438"/>
  </r>
  <r>
    <s v="KL-2018-5607032"/>
    <d v="2018-02-13T00:00:00"/>
    <s v="Lana Adkins"/>
    <x v="0"/>
    <x v="0"/>
    <s v="Vienna"/>
    <s v="Central"/>
    <n v="2696"/>
    <n v="1833"/>
  </r>
  <r>
    <s v="KL-2018-5607033"/>
    <d v="2018-02-14T00:00:00"/>
    <s v="Sopoline Noel"/>
    <x v="0"/>
    <x v="0"/>
    <s v="Vienna"/>
    <s v="Central"/>
    <n v="4061"/>
    <n v="3127"/>
  </r>
  <r>
    <s v="KL-2018-5607034"/>
    <d v="2018-02-15T00:00:00"/>
    <s v="Abbot Horton"/>
    <x v="1"/>
    <x v="1"/>
    <s v="Langen"/>
    <s v="Central"/>
    <n v="2382"/>
    <n v="1548"/>
  </r>
  <r>
    <s v="KL-2018-5607035"/>
    <d v="2018-02-16T00:00:00"/>
    <s v="Hedda Livingston"/>
    <x v="1"/>
    <x v="1"/>
    <s v="Langen"/>
    <s v="Central"/>
    <n v="4336"/>
    <n v="2602"/>
  </r>
  <r>
    <s v="KL-2018-5607036"/>
    <d v="2018-02-17T00:00:00"/>
    <s v="Henry Hodges"/>
    <x v="1"/>
    <x v="1"/>
    <s v="Langen"/>
    <s v="Central"/>
    <n v="2602"/>
    <n v="2004"/>
  </r>
  <r>
    <s v="KL-2018-5607037"/>
    <d v="2018-02-18T00:00:00"/>
    <s v="Aristotle Barrett"/>
    <x v="1"/>
    <x v="1"/>
    <s v="Langen"/>
    <s v="Central"/>
    <n v="3094"/>
    <n v="2073"/>
  </r>
  <r>
    <s v="KL-2018-5607038"/>
    <d v="2018-02-19T00:00:00"/>
    <s v="Wendy Neal"/>
    <x v="1"/>
    <x v="1"/>
    <s v="Langen"/>
    <s v="Central"/>
    <n v="3510"/>
    <n v="2141"/>
  </r>
  <r>
    <s v="KL-2018-5607039"/>
    <d v="2018-02-20T00:00:00"/>
    <s v="Raymond Mckenzie"/>
    <x v="2"/>
    <x v="2"/>
    <s v="Copenhagen"/>
    <s v="North"/>
    <n v="2134"/>
    <n v="1536"/>
  </r>
  <r>
    <s v="KL-2018-5607040"/>
    <d v="2018-02-21T00:00:00"/>
    <s v="Zephr Hickman"/>
    <x v="3"/>
    <x v="3"/>
    <s v="Gandia"/>
    <s v="South"/>
    <n v="2661"/>
    <n v="2022"/>
  </r>
  <r>
    <s v="KL-2018-5607041"/>
    <d v="2018-02-22T00:00:00"/>
    <s v="Georgia Kane"/>
    <x v="2"/>
    <x v="4"/>
    <s v="Esbjerg"/>
    <s v="North"/>
    <n v="2901"/>
    <n v="1741"/>
  </r>
  <r>
    <s v="KL-2018-5607042"/>
    <d v="2018-02-23T00:00:00"/>
    <s v="Stella Dejesus"/>
    <x v="4"/>
    <x v="5"/>
    <s v="Mumbai"/>
    <s v="South"/>
    <n v="3784"/>
    <n v="2384"/>
  </r>
  <r>
    <s v="KL-2018-5607043"/>
    <d v="2018-02-24T00:00:00"/>
    <s v="Dahlia Porter"/>
    <x v="4"/>
    <x v="6"/>
    <s v="Patna"/>
    <s v="South"/>
    <n v="3135"/>
    <n v="2445"/>
  </r>
  <r>
    <s v="KL-2018-5607044"/>
    <d v="2018-02-25T00:00:00"/>
    <s v="Ria Foster"/>
    <x v="4"/>
    <x v="6"/>
    <s v="Patna"/>
    <s v="South"/>
    <n v="2802"/>
    <n v="1877"/>
  </r>
  <r>
    <s v="KL-2018-5607045"/>
    <d v="2018-02-26T00:00:00"/>
    <s v="Kiona Moore"/>
    <x v="5"/>
    <x v="7"/>
    <s v="Villiers-sur-Marne"/>
    <s v="Central"/>
    <n v="3486"/>
    <n v="2789"/>
  </r>
  <r>
    <s v="KL-2018-5607046"/>
    <d v="2018-02-27T00:00:00"/>
    <s v="Guinevere Sullivan"/>
    <x v="1"/>
    <x v="8"/>
    <s v="Bielefeld"/>
    <s v="Central"/>
    <n v="3422"/>
    <n v="2122"/>
  </r>
  <r>
    <s v="KL-2018-5607047"/>
    <d v="2018-02-28T00:00:00"/>
    <s v="Ingrid Barnes"/>
    <x v="6"/>
    <x v="9"/>
    <s v="Leuven"/>
    <s v="Central"/>
    <n v="2842"/>
    <n v="2188"/>
  </r>
  <r>
    <s v="KL-2018-5607048"/>
    <d v="2018-03-01T00:00:00"/>
    <s v="Quinlan Holcomb"/>
    <x v="6"/>
    <x v="9"/>
    <s v="Leuven"/>
    <s v="Central"/>
    <n v="3846"/>
    <n v="2500"/>
  </r>
  <r>
    <s v="KL-2018-5607049"/>
    <d v="2018-03-02T00:00:00"/>
    <s v="Blair Mccullough"/>
    <x v="4"/>
    <x v="5"/>
    <s v="Pune"/>
    <s v="South"/>
    <n v="3131"/>
    <n v="2380"/>
  </r>
  <r>
    <s v="KL-2018-5607050"/>
    <d v="2018-03-03T00:00:00"/>
    <s v="Diana Guthrie"/>
    <x v="4"/>
    <x v="5"/>
    <s v="Pune"/>
    <s v="South"/>
    <n v="3825"/>
    <n v="2333"/>
  </r>
  <r>
    <s v="KL-2018-5607051"/>
    <d v="2018-03-04T00:00:00"/>
    <s v="Neville Ashley"/>
    <x v="4"/>
    <x v="5"/>
    <s v="Pune"/>
    <s v="South"/>
    <n v="4362"/>
    <n v="34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D7A1A0-07A0-4A30-8487-35D0EB277C8A}"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B44" firstHeaderRow="1" firstDataRow="1" firstDataCol="1"/>
  <pivotFields count="8">
    <pivotField numFmtId="14" showAll="0"/>
    <pivotField showAll="0"/>
    <pivotField showAll="0"/>
    <pivotField axis="axisRow" showAll="0">
      <items count="11">
        <item x="6"/>
        <item x="9"/>
        <item x="2"/>
        <item x="7"/>
        <item x="1"/>
        <item x="5"/>
        <item x="8"/>
        <item x="4"/>
        <item x="3"/>
        <item x="0"/>
        <item t="default"/>
      </items>
    </pivotField>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4522F-0331-4126-AA68-91200EF6A25E}" name="PivotTable5" cacheId="3" applyNumberFormats="0" applyBorderFormats="0" applyFontFormats="0" applyPatternFormats="0" applyAlignmentFormats="0" applyWidthHeightFormats="1" dataCaption="Values" updatedVersion="8" minRefreshableVersion="3" useAutoFormatting="1" pageWrap="2" pageOverThenDown="1" itemPrintTitles="1" createdVersion="8" indent="0" outline="1" outlineData="1" multipleFieldFilters="0" chartFormat="5">
  <location ref="D7:E15" firstHeaderRow="1" firstDataRow="1" firstDataCol="1" rowPageCount="2" colPageCount="2"/>
  <pivotFields count="8">
    <pivotField numFmtId="14" showAll="0"/>
    <pivotField showAll="0"/>
    <pivotField axis="axisRow" showAll="0">
      <items count="8">
        <item sd="0" x="0"/>
        <item sd="0" x="6"/>
        <item sd="0" x="2"/>
        <item sd="0" x="5"/>
        <item sd="0" x="1"/>
        <item sd="0" x="4"/>
        <item sd="0" x="3"/>
        <item t="default"/>
      </items>
    </pivotField>
    <pivotField axis="axisPage" showAll="0">
      <items count="11">
        <item x="6"/>
        <item x="9"/>
        <item x="2"/>
        <item x="7"/>
        <item x="1"/>
        <item x="5"/>
        <item x="8"/>
        <item x="4"/>
        <item x="3"/>
        <item x="0"/>
        <item t="default"/>
      </items>
    </pivotField>
    <pivotField axis="axisPage" showAll="0">
      <items count="12">
        <item x="8"/>
        <item x="2"/>
        <item x="4"/>
        <item x="3"/>
        <item x="1"/>
        <item x="9"/>
        <item x="5"/>
        <item x="6"/>
        <item x="10"/>
        <item x="0"/>
        <item x="7"/>
        <item t="default"/>
      </items>
    </pivotField>
    <pivotField axis="axisPage" showAll="0">
      <items count="4">
        <item x="0"/>
        <item x="1"/>
        <item x="2"/>
        <item t="default"/>
      </items>
    </pivotField>
    <pivotField showAll="0"/>
    <pivotField dataField="1" showAll="0"/>
  </pivotFields>
  <rowFields count="1">
    <field x="2"/>
  </rowFields>
  <rowItems count="8">
    <i>
      <x/>
    </i>
    <i>
      <x v="1"/>
    </i>
    <i>
      <x v="2"/>
    </i>
    <i>
      <x v="3"/>
    </i>
    <i>
      <x v="4"/>
    </i>
    <i>
      <x v="5"/>
    </i>
    <i>
      <x v="6"/>
    </i>
    <i t="grand">
      <x/>
    </i>
  </rowItems>
  <colItems count="1">
    <i/>
  </colItems>
  <pageFields count="3">
    <pageField fld="3" hier="-1"/>
    <pageField fld="4" hier="-1"/>
    <pageField fld="5" hier="-1"/>
  </pageFields>
  <dataFields count="1">
    <dataField name="Sum of Profit" fld="7" baseField="3"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4D9D38-D261-4E0E-B155-29EA0C56748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27" firstHeaderRow="1" firstDataRow="1" firstDataCol="1"/>
  <pivotFields count="14">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axis="axisRow" showAll="0">
      <items count="11">
        <item sd="0" x="6"/>
        <item sd="0" x="9"/>
        <item sd="0" x="2"/>
        <item sd="0" x="7"/>
        <item sd="0" x="1"/>
        <item sd="0" x="5"/>
        <item sd="0" x="8"/>
        <item sd="0" x="4"/>
        <item sd="0" x="3"/>
        <item sd="0" x="0"/>
        <item t="default" sd="0"/>
      </items>
    </pivotField>
    <pivotField showAll="0"/>
    <pivotField showAll="0"/>
    <pivotField dataField="1"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3">
    <field x="9"/>
    <field x="3"/>
    <field x="4"/>
  </rowFields>
  <rowItems count="20">
    <i>
      <x/>
    </i>
    <i r="1">
      <x/>
    </i>
    <i r="2">
      <x v="9"/>
    </i>
    <i r="1">
      <x v="1"/>
    </i>
    <i r="2">
      <x v="1"/>
    </i>
    <i r="1">
      <x v="2"/>
    </i>
    <i r="2">
      <x v="2"/>
    </i>
    <i r="2">
      <x v="7"/>
    </i>
    <i r="1">
      <x v="3"/>
    </i>
    <i r="2">
      <x v="3"/>
    </i>
    <i>
      <x v="1"/>
    </i>
    <i r="1">
      <x v="4"/>
    </i>
    <i r="2">
      <x v="4"/>
    </i>
    <i r="2">
      <x v="6"/>
    </i>
    <i r="1">
      <x v="5"/>
    </i>
    <i r="2">
      <x/>
    </i>
    <i r="2">
      <x v="5"/>
    </i>
    <i r="1">
      <x v="6"/>
    </i>
    <i r="2">
      <x v="8"/>
    </i>
    <i t="grand">
      <x/>
    </i>
  </rowItems>
  <colItems count="1">
    <i/>
  </colItems>
  <dataFields count="1">
    <dataField name="Average of Sales" fld="7" subtotal="average" baseField="3" baseItem="0" numFmtId="164"/>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EF1D06-72A3-444A-8582-3140B2F81DF6}" name="PivotTable8" cacheId="3"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A50:D62" firstHeaderRow="0" firstDataRow="1" firstDataCol="1"/>
  <pivotFields count="8">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dataField="1" showAll="0"/>
    <pivotField showAll="0"/>
    <pivotField showAll="0"/>
    <pivotField axis="axisRow" showAll="0">
      <items count="12">
        <item x="8"/>
        <item x="2"/>
        <item x="4"/>
        <item x="3"/>
        <item x="1"/>
        <item x="9"/>
        <item x="5"/>
        <item x="6"/>
        <item x="10"/>
        <item x="0"/>
        <item x="7"/>
        <item t="default"/>
      </items>
    </pivotField>
    <pivotField showAll="0"/>
    <pivotField dataField="1" showAll="0"/>
    <pivotField dataField="1" showAll="0"/>
  </pivotFields>
  <rowFields count="1">
    <field x="4"/>
  </rowFields>
  <rowItems count="12">
    <i>
      <x/>
    </i>
    <i>
      <x v="1"/>
    </i>
    <i>
      <x v="2"/>
    </i>
    <i>
      <x v="3"/>
    </i>
    <i>
      <x v="4"/>
    </i>
    <i>
      <x v="5"/>
    </i>
    <i>
      <x v="6"/>
    </i>
    <i>
      <x v="7"/>
    </i>
    <i>
      <x v="8"/>
    </i>
    <i>
      <x v="9"/>
    </i>
    <i>
      <x v="10"/>
    </i>
    <i t="grand">
      <x/>
    </i>
  </rowItems>
  <colFields count="1">
    <field x="-2"/>
  </colFields>
  <colItems count="3">
    <i>
      <x/>
    </i>
    <i i="1">
      <x v="1"/>
    </i>
    <i i="2">
      <x v="2"/>
    </i>
  </colItems>
  <dataFields count="3">
    <dataField name="Sum of Sales" fld="6" baseField="0" baseItem="0"/>
    <dataField name="Sum of Profit" fld="7" baseField="0" baseItem="0"/>
    <dataField name="Number of customers" fld="1" subtotal="count" baseField="0" baseItem="0"/>
  </dataFields>
  <formats count="1">
    <format dxfId="34">
      <pivotArea dataOnly="0" labelOnly="1" outline="0" fieldPosition="0">
        <references count="1">
          <reference field="4294967294" count="1">
            <x v="2"/>
          </reference>
        </references>
      </pivotArea>
    </format>
  </formats>
  <chartFormats count="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dateBetween" evalOrder="-1" id="309" name="Order Date">
      <autoFilter ref="A1">
        <filterColumn colId="0">
          <customFilters and="1">
            <customFilter operator="greaterThanOrEqual" val="43101"/>
            <customFilter operator="lessThanOrEqual" val="4313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A17CA8-D330-4CDF-8B4E-84BE4F7925DB}" name="PivotTable7"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33:E41" firstHeaderRow="1" firstDataRow="1" firstDataCol="1"/>
  <pivotFields count="8">
    <pivotField numFmtId="14" showAll="0"/>
    <pivotField showAll="0"/>
    <pivotField axis="axisRow" showAll="0">
      <items count="8">
        <item sd="0" x="0"/>
        <item sd="0" x="6"/>
        <item sd="0" x="2"/>
        <item sd="0" x="5"/>
        <item sd="0" x="1"/>
        <item sd="0" x="4"/>
        <item sd="0" x="3"/>
        <item t="default"/>
      </items>
    </pivotField>
    <pivotField showAll="0"/>
    <pivotField showAll="0"/>
    <pivotField showAll="0"/>
    <pivotField dataField="1" showAll="0"/>
    <pivotField showAll="0"/>
  </pivotFields>
  <rowFields count="1">
    <field x="2"/>
  </rowFields>
  <rowItems count="8">
    <i>
      <x/>
    </i>
    <i>
      <x v="1"/>
    </i>
    <i>
      <x v="2"/>
    </i>
    <i>
      <x v="3"/>
    </i>
    <i>
      <x v="4"/>
    </i>
    <i>
      <x v="5"/>
    </i>
    <i>
      <x v="6"/>
    </i>
    <i t="grand">
      <x/>
    </i>
  </rowItems>
  <colItems count="1">
    <i/>
  </colItems>
  <dataFields count="1">
    <dataField name="Sum of Sales" fld="6" baseField="0" baseItem="0"/>
  </dataFields>
  <pivotTableStyleInfo name="PivotStyleLight16" showRowHeaders="1" showColHeaders="1" showRowStripes="0" showColStripes="0" showLastColumn="1"/>
  <filters count="1">
    <filter fld="0" type="dateBetween" evalOrder="-1" id="16" name="Order Date">
      <autoFilter ref="A1">
        <filterColumn colId="0">
          <customFilters and="1">
            <customFilter operator="greaterThanOrEqual" val="43191"/>
            <customFilter operator="lessThanOrEqual" val="4322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4A78B1-8403-4E69-92EE-B0034F6C0D3D}"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3" firstHeaderRow="1" firstDataRow="1" firstDataCol="1"/>
  <pivotFields count="14">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axis="axisRow" showAll="0">
      <items count="3">
        <item x="1"/>
        <item n="Group2: South"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2">
    <field x="9"/>
    <field x="3"/>
  </rowFields>
  <rowItems count="10">
    <i>
      <x/>
    </i>
    <i r="1">
      <x/>
    </i>
    <i r="1">
      <x v="1"/>
    </i>
    <i r="1">
      <x v="2"/>
    </i>
    <i r="1">
      <x v="3"/>
    </i>
    <i>
      <x v="1"/>
    </i>
    <i r="1">
      <x v="4"/>
    </i>
    <i r="1">
      <x v="5"/>
    </i>
    <i r="1">
      <x v="6"/>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8A0A42-7222-445F-8390-68E0A68EB377}" name="PivotTable2" cacheId="2" applyNumberFormats="0" applyBorderFormats="0" applyFontFormats="0" applyPatternFormats="0" applyAlignmentFormats="0" applyWidthHeightFormats="1" dataCaption="Values" updatedVersion="8" minRefreshableVersion="3" useAutoFormatting="1" itemPrintTitles="1" mergeItem="1" createdVersion="8" indent="0" compact="0" compactData="0" multipleFieldFilters="0">
  <location ref="D18:F28" firstHeaderRow="1" firstDataRow="1" firstDataCol="2"/>
  <pivotFields count="14">
    <pivotField compact="0" outline="0" showAll="0"/>
    <pivotField compact="0" numFmtId="14"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compact="0" outline="0" showAll="0"/>
    <pivotField axis="axisRow" compact="0" outline="0" showAll="0">
      <items count="8">
        <item x="0"/>
        <item x="6"/>
        <item x="2"/>
        <item x="5"/>
        <item x="1"/>
        <item x="4"/>
        <item x="3"/>
        <item t="default"/>
      </items>
    </pivotField>
    <pivotField compact="0" outline="0" showAll="0"/>
    <pivotField compact="0" outline="0" showAll="0"/>
    <pivotField compact="0" outline="0" showAll="0"/>
    <pivotField dataField="1" compact="0" outline="0" showAll="0"/>
    <pivotField compact="0" outline="0" showAll="0"/>
    <pivotField axis="axisRow" compact="0" outline="0" showAll="0">
      <items count="3">
        <item x="1"/>
        <item n="Group2: South"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2">
    <field x="9"/>
    <field x="3"/>
  </rowFields>
  <rowItems count="10">
    <i>
      <x/>
      <x/>
    </i>
    <i r="1">
      <x v="1"/>
    </i>
    <i r="1">
      <x v="2"/>
    </i>
    <i r="1">
      <x v="3"/>
    </i>
    <i t="default">
      <x/>
    </i>
    <i>
      <x v="1"/>
      <x v="4"/>
    </i>
    <i r="1">
      <x v="5"/>
    </i>
    <i r="1">
      <x v="6"/>
    </i>
    <i t="default">
      <x v="1"/>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5B00B8-FFC8-4F8C-900B-BB60465F74C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85" firstHeaderRow="1" firstDataRow="1" firstDataCol="1"/>
  <pivotFields count="14">
    <pivotField showAll="0"/>
    <pivotField axis="axisRow"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8">
        <item x="0"/>
        <item x="6"/>
        <item x="2"/>
        <item x="5"/>
        <item x="1"/>
        <item x="4"/>
        <item x="3"/>
        <item t="default"/>
      </items>
    </pivotField>
    <pivotField showAll="0"/>
    <pivotField showAll="0"/>
    <pivotField showAll="0"/>
    <pivotField dataField="1"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 dragToRow="0" dragToCol="0" dragToPage="0" showAll="0" defaultSubtotal="0"/>
  </pivotFields>
  <rowFields count="3">
    <field x="11"/>
    <field x="10"/>
    <field x="1"/>
  </rowFields>
  <rowItems count="382">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1">
      <x v="2"/>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1">
      <x v="3"/>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x v="2"/>
    </i>
    <i r="1">
      <x v="4"/>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1">
      <x v="5"/>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1">
      <x v="6"/>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x v="3"/>
    </i>
    <i r="1">
      <x v="7"/>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1">
      <x v="8"/>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1">
      <x v="9"/>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x v="4"/>
    </i>
    <i r="1">
      <x v="10"/>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1">
      <x v="11"/>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1">
      <x v="12"/>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D98F62-86F6-45BC-A20C-C88068D48CE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J30" firstHeaderRow="0" firstDataRow="1" firstDataCol="1"/>
  <pivotFields count="14">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showAll="0" defaultSubtotal="0">
      <items count="2">
        <item x="1"/>
        <item x="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3"/>
  </rowFields>
  <rowItems count="8">
    <i>
      <x/>
    </i>
    <i>
      <x v="1"/>
    </i>
    <i>
      <x v="2"/>
    </i>
    <i>
      <x v="3"/>
    </i>
    <i>
      <x v="4"/>
    </i>
    <i>
      <x v="5"/>
    </i>
    <i>
      <x v="6"/>
    </i>
    <i t="grand">
      <x/>
    </i>
  </rowItems>
  <colFields count="1">
    <field x="-2"/>
  </colFields>
  <colItems count="3">
    <i>
      <x/>
    </i>
    <i i="1">
      <x v="1"/>
    </i>
    <i i="2">
      <x v="2"/>
    </i>
  </colItems>
  <dataFields count="3">
    <dataField name="Sum of Sales" fld="7" baseField="0" baseItem="0"/>
    <dataField name="difference from india" fld="7" showDataAs="difference" baseField="3" baseItem="5"/>
    <dataField name="% diff from india" fld="7" showDataAs="percentDiff" baseField="3" baseItem="5" numFmtId="10"/>
  </dataFields>
  <formats count="5">
    <format dxfId="24">
      <pivotArea dataOnly="0" labelOnly="1" outline="0" fieldPosition="0">
        <references count="1">
          <reference field="4294967294" count="1">
            <x v="1"/>
          </reference>
        </references>
      </pivotArea>
    </format>
    <format dxfId="23">
      <pivotArea outline="0" fieldPosition="0">
        <references count="1">
          <reference field="4294967294" count="1">
            <x v="2"/>
          </reference>
        </references>
      </pivotArea>
    </format>
    <format dxfId="22">
      <pivotArea dataOnly="0" outline="0" fieldPosition="0">
        <references count="1">
          <reference field="4294967294" count="1">
            <x v="2"/>
          </reference>
        </references>
      </pivotArea>
    </format>
    <format dxfId="21">
      <pivotArea dataOnly="0" labelOnly="1" outline="0" fieldPosition="0">
        <references count="1">
          <reference field="4294967294" count="1">
            <x v="1"/>
          </reference>
        </references>
      </pivotArea>
    </format>
    <format dxfId="2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DBD068-0384-4970-9978-F87214D0A553}" name="PivotTable1" cacheId="2" applyNumberFormats="0" applyBorderFormats="0" applyFontFormats="0" applyPatternFormats="0" applyAlignmentFormats="0" applyWidthHeightFormats="1" dataCaption="Values" updatedVersion="8" minRefreshableVersion="3" useAutoFormatting="1" itemPrintTitles="1" mergeItem="1" createdVersion="8" indent="0" compact="0" compactData="0" multipleFieldFilters="0">
  <location ref="A22:E33" firstHeaderRow="0" firstDataRow="1" firstDataCol="2"/>
  <pivotFields count="14">
    <pivotField compact="0" outline="0" showAll="0"/>
    <pivotField compact="0" numFmtId="14"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compact="0" outline="0" showAll="0"/>
    <pivotField axis="axisRow" compact="0" outline="0" showAll="0">
      <items count="8">
        <item x="0"/>
        <item x="6"/>
        <item x="2"/>
        <item x="5"/>
        <item x="1"/>
        <item x="4"/>
        <item x="3"/>
        <item t="default"/>
      </items>
    </pivotField>
    <pivotField compact="0" outline="0" showAll="0"/>
    <pivotField compact="0" outline="0" showAll="0"/>
    <pivotField axis="axisRow" compact="0" outline="0" showAll="0">
      <items count="4">
        <item x="0"/>
        <item x="1"/>
        <item x="2"/>
        <item t="default"/>
      </items>
    </pivotField>
    <pivotField dataField="1" compact="0" outline="0" showAll="0"/>
    <pivotField compact="0" outline="0" showAll="0"/>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2">
    <field x="6"/>
    <field x="3"/>
  </rowFields>
  <rowItems count="11">
    <i>
      <x/>
      <x/>
    </i>
    <i r="1">
      <x v="1"/>
    </i>
    <i r="1">
      <x v="3"/>
    </i>
    <i r="1">
      <x v="4"/>
    </i>
    <i t="default">
      <x/>
    </i>
    <i>
      <x v="1"/>
      <x v="2"/>
    </i>
    <i t="default">
      <x v="1"/>
    </i>
    <i>
      <x v="2"/>
      <x v="5"/>
    </i>
    <i r="1">
      <x v="6"/>
    </i>
    <i t="default">
      <x v="2"/>
    </i>
    <i t="grand">
      <x/>
    </i>
  </rowItems>
  <colFields count="1">
    <field x="-2"/>
  </colFields>
  <colItems count="3">
    <i>
      <x/>
    </i>
    <i i="1">
      <x v="1"/>
    </i>
    <i i="2">
      <x v="2"/>
    </i>
  </colItems>
  <dataFields count="3">
    <dataField name="Sum of Sales" fld="7" baseField="0" baseItem="0"/>
    <dataField name="% of parent row total" fld="7" baseField="0" baseItem="0" numFmtId="10">
      <extLst>
        <ext xmlns:x14="http://schemas.microsoft.com/office/spreadsheetml/2009/9/main" uri="{E15A36E0-9728-4e99-A89B-3F7291B0FE68}">
          <x14:dataField pivotShowAs="percentOfParentRow"/>
        </ext>
      </extLst>
    </dataField>
    <dataField name="%  of parent total base field region" fld="7" baseField="6" baseItem="0" numFmtId="10">
      <extLst>
        <ext xmlns:x14="http://schemas.microsoft.com/office/spreadsheetml/2009/9/main" uri="{E15A36E0-9728-4e99-A89B-3F7291B0FE68}">
          <x14:dataField pivotShowAs="percentOfParent"/>
        </ext>
      </extLst>
    </dataField>
  </dataFields>
  <formats count="4">
    <format dxfId="28">
      <pivotArea dataOnly="0" labelOnly="1" outline="0" fieldPosition="0">
        <references count="1">
          <reference field="4294967294" count="1">
            <x v="1"/>
          </reference>
        </references>
      </pivotArea>
    </format>
    <format dxfId="27">
      <pivotArea outline="0" fieldPosition="0">
        <references count="1">
          <reference field="4294967294" count="1">
            <x v="2"/>
          </reference>
        </references>
      </pivotArea>
    </format>
    <format dxfId="26">
      <pivotArea dataOnly="0" labelOnly="1" outline="0" fieldPosition="0">
        <references count="1">
          <reference field="4294967294" count="1">
            <x v="2"/>
          </reference>
        </references>
      </pivotArea>
    </format>
    <format dxfId="25">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265379-4629-4009-B26E-6C269FD67F1F}"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K17" firstHeaderRow="1" firstDataRow="2" firstDataCol="1"/>
  <pivotFields count="14">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axis="axisRow" showAll="0" defaultSubtotal="0">
      <items count="2">
        <item x="1"/>
        <item x="0"/>
      </items>
    </pivotField>
    <pivotField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 dragToRow="0" dragToCol="0" dragToPage="0" showAll="0" defaultSubtotal="0"/>
    <pivotField dragToRow="0" dragToCol="0" dragToPage="0" showAll="0" defaultSubtotal="0"/>
  </pivotFields>
  <rowFields count="2">
    <field x="9"/>
    <field x="3"/>
  </rowFields>
  <rowItems count="10">
    <i>
      <x/>
    </i>
    <i r="1">
      <x/>
    </i>
    <i r="1">
      <x v="1"/>
    </i>
    <i r="1">
      <x v="2"/>
    </i>
    <i r="1">
      <x v="3"/>
    </i>
    <i>
      <x v="1"/>
    </i>
    <i r="1">
      <x v="4"/>
    </i>
    <i r="1">
      <x v="5"/>
    </i>
    <i r="1">
      <x v="6"/>
    </i>
    <i t="grand">
      <x/>
    </i>
  </rowItems>
  <colFields count="1">
    <field x="11"/>
  </colFields>
  <colItems count="5">
    <i>
      <x v="1"/>
    </i>
    <i>
      <x v="2"/>
    </i>
    <i>
      <x v="3"/>
    </i>
    <i>
      <x v="4"/>
    </i>
    <i t="grand">
      <x/>
    </i>
  </colItems>
  <dataFields count="1">
    <dataField name="Sum of Sales" fld="7" showDataAs="percentOfRow" baseField="0" baseItem="0" numFmtId="10"/>
  </dataFields>
  <conditionalFormats count="1">
    <conditionalFormat priority="2">
      <pivotAreas count="1">
        <pivotArea type="data" collapsedLevelsAreSubtotals="1" fieldPosition="0">
          <references count="3">
            <reference field="4294967294" count="1" selected="0">
              <x v="0"/>
            </reference>
            <reference field="3" count="7">
              <x v="0"/>
              <x v="1"/>
              <x v="2"/>
              <x v="3"/>
              <x v="4"/>
              <x v="5"/>
              <x v="6"/>
            </reference>
            <reference field="11" count="4" selected="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ED5A7B-C661-4839-A001-996B0C84C021}"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0" firstDataRow="1" firstDataCol="1"/>
  <pivotFields count="14">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showAll="0" defaultSubtotal="0">
      <items count="2">
        <item x="1"/>
        <item x="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3"/>
  </rowFields>
  <rowItems count="8">
    <i>
      <x/>
    </i>
    <i>
      <x v="1"/>
    </i>
    <i>
      <x v="2"/>
    </i>
    <i>
      <x v="3"/>
    </i>
    <i>
      <x v="4"/>
    </i>
    <i>
      <x v="5"/>
    </i>
    <i>
      <x v="6"/>
    </i>
    <i t="grand">
      <x/>
    </i>
  </rowItems>
  <colFields count="1">
    <field x="-2"/>
  </colFields>
  <colItems count="3">
    <i>
      <x/>
    </i>
    <i i="1">
      <x v="1"/>
    </i>
    <i i="2">
      <x v="2"/>
    </i>
  </colItems>
  <dataFields count="3">
    <dataField name="Sum of Sales" fld="7" baseField="0" baseItem="0"/>
    <dataField name="% of grand total" fld="7" showDataAs="percentOfTotal" baseField="0" baseItem="0" numFmtId="10"/>
    <dataField name="others comapre to the % of india" fld="7" showDataAs="percent" baseField="3" baseItem="5" numFmtId="10"/>
  </dataFields>
  <formats count="3">
    <format dxfId="31">
      <pivotArea collapsedLevelsAreSubtotals="1" fieldPosition="0">
        <references count="2">
          <reference field="4294967294" count="1" selected="0">
            <x v="2"/>
          </reference>
          <reference field="3" count="1">
            <x v="5"/>
          </reference>
        </references>
      </pivotArea>
    </format>
    <format dxfId="30">
      <pivotArea dataOnly="0" labelOnly="1" outline="0" fieldPosition="0">
        <references count="1">
          <reference field="4294967294" count="1">
            <x v="2"/>
          </reference>
        </references>
      </pivotArea>
    </format>
    <format dxfId="29">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C45C54-FFA2-4AF1-9016-FE788A04CE3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N30" firstHeaderRow="0" firstDataRow="1" firstDataCol="1"/>
  <pivotFields count="14">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showAll="0" defaultSubtotal="0">
      <items count="2">
        <item x="1"/>
        <item x="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3"/>
  </rowFields>
  <rowItems count="8">
    <i>
      <x/>
    </i>
    <i>
      <x v="1"/>
    </i>
    <i>
      <x v="2"/>
    </i>
    <i>
      <x v="3"/>
    </i>
    <i>
      <x v="4"/>
    </i>
    <i>
      <x v="5"/>
    </i>
    <i>
      <x v="6"/>
    </i>
    <i t="grand">
      <x/>
    </i>
  </rowItems>
  <colFields count="1">
    <field x="-2"/>
  </colFields>
  <colItems count="2">
    <i>
      <x/>
    </i>
    <i i="1">
      <x v="1"/>
    </i>
  </colItems>
  <dataFields count="2">
    <dataField name="Sum of Sales" fld="7" baseField="0" baseItem="0"/>
    <dataField name="rank largest to smallest" fld="7" baseField="3" baseItem="0">
      <extLst>
        <ext xmlns:x14="http://schemas.microsoft.com/office/spreadsheetml/2009/9/main" uri="{E15A36E0-9728-4e99-A89B-3F7291B0FE68}">
          <x14:dataField pivotShowAs="rankDescending"/>
        </ext>
      </extLst>
    </dataField>
  </dataFields>
  <formats count="1">
    <format dxfId="3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A4354E2-7128-49C8-9D1D-7B5ED0F8447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26" firstHeaderRow="0" firstDataRow="1" firstDataCol="1"/>
  <pivotFields count="14">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22">
        <item x="3"/>
        <item x="6"/>
        <item x="18"/>
        <item x="12"/>
        <item x="19"/>
        <item x="10"/>
        <item x="15"/>
        <item x="4"/>
        <item x="5"/>
        <item x="16"/>
        <item x="14"/>
        <item x="1"/>
        <item x="0"/>
        <item x="20"/>
        <item x="17"/>
        <item x="8"/>
        <item x="13"/>
        <item x="2"/>
        <item x="11"/>
        <item x="7"/>
        <item x="9"/>
        <item t="default"/>
      </items>
    </pivotField>
    <pivotField showAll="0">
      <items count="8">
        <item x="0"/>
        <item x="6"/>
        <item x="2"/>
        <item x="5"/>
        <item x="1"/>
        <item x="4"/>
        <item x="3"/>
        <item t="default"/>
      </items>
    </pivotField>
    <pivotField showAll="0"/>
    <pivotField showAll="0"/>
    <pivotField showAll="0"/>
    <pivotField dataField="1" showAll="0"/>
    <pivotField showAll="0"/>
    <pivotField showAll="0" defaultSubtotal="0">
      <items count="2">
        <item x="0"/>
        <item x="1"/>
      </items>
    </pivotField>
    <pivotField showAll="0" defaultSubtotal="0"/>
    <pivotField showAll="0" defaultSubtotal="0">
      <items count="6">
        <item x="0"/>
        <item x="1"/>
        <item x="2"/>
        <item x="3"/>
        <item x="4"/>
        <item x="5"/>
      </items>
    </pivotField>
    <pivotField dataField="1" dragToRow="0" dragToCol="0" dragToPage="0" showAll="0" defaultSubtotal="0"/>
    <pivotField dataField="1" dragToRow="0" dragToCol="0" dragToPage="0" showAll="0" defaultSubtota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Sum of Sales" fld="7" baseField="0" baseItem="0" numFmtId="165"/>
    <dataField name="1% incentive of sales to all" fld="12" baseField="0" baseItem="0" numFmtId="165"/>
    <dataField name="conditional incentive 2%(&gt;=60K), 1%(&gt;=50K), 0%(others)" fld="13" baseField="2" baseItem="0" numFmtId="44"/>
  </dataFields>
  <formats count="11">
    <format dxfId="19">
      <pivotArea dataOnly="0" labelOnly="1" outline="0" fieldPosition="0">
        <references count="1">
          <reference field="4294967294" count="1">
            <x v="1"/>
          </reference>
        </references>
      </pivotArea>
    </format>
    <format dxfId="18">
      <pivotArea dataOnly="0" labelOnly="1" outline="0" fieldPosition="0">
        <references count="1">
          <reference field="4294967294" count="1">
            <x v="1"/>
          </reference>
        </references>
      </pivotArea>
    </format>
    <format dxfId="17">
      <pivotArea dataOnly="0" labelOnly="1" outline="0" fieldPosition="0">
        <references count="1">
          <reference field="4294967294" count="1">
            <x v="2"/>
          </reference>
        </references>
      </pivotArea>
    </format>
    <format dxfId="16">
      <pivotArea dataOnly="0" labelOnly="1" outline="0" fieldPosition="0">
        <references count="1">
          <reference field="4294967294" count="1">
            <x v="2"/>
          </reference>
        </references>
      </pivotArea>
    </format>
    <format dxfId="15">
      <pivotArea dataOnly="0" labelOnly="1" outline="0" fieldPosition="0">
        <references count="1">
          <reference field="4294967294" count="1">
            <x v="2"/>
          </reference>
        </references>
      </pivotArea>
    </format>
    <format dxfId="14">
      <pivotArea dataOnly="0" labelOnly="1" outline="0" fieldPosition="0">
        <references count="1">
          <reference field="4294967294" count="1">
            <x v="2"/>
          </reference>
        </references>
      </pivotArea>
    </format>
    <format dxfId="13">
      <pivotArea dataOnly="0" labelOnly="1" outline="0" fieldPosition="0">
        <references count="1">
          <reference field="4294967294" count="1">
            <x v="1"/>
          </reference>
        </references>
      </pivotArea>
    </format>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E9B6F9-BCD0-4334-9E38-1230CBAD8C8F}"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1:J35" firstHeaderRow="1" firstDataRow="1" firstDataCol="1"/>
  <pivotFields count="3">
    <pivotField showAll="0"/>
    <pivotField axis="axisRow" showAll="0">
      <items count="19">
        <item h="1" x="14"/>
        <item h="1" x="5"/>
        <item h="1" x="2"/>
        <item h="1" x="3"/>
        <item h="1" x="13"/>
        <item h="1" x="7"/>
        <item h="1" x="1"/>
        <item h="1" x="12"/>
        <item h="1" x="0"/>
        <item h="1" x="10"/>
        <item h="1" x="6"/>
        <item h="1" x="4"/>
        <item h="1" x="11"/>
        <item h="1" x="9"/>
        <item h="1" x="8"/>
        <item f="1" x="15"/>
        <item f="1" x="16"/>
        <item f="1" x="17"/>
        <item t="default"/>
      </items>
    </pivotField>
    <pivotField dataField="1" showAll="0"/>
  </pivotFields>
  <rowFields count="1">
    <field x="1"/>
  </rowFields>
  <rowItems count="4">
    <i>
      <x v="15"/>
    </i>
    <i>
      <x v="16"/>
    </i>
    <i>
      <x v="17"/>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00D20B-FF02-465C-8AE7-586C92531189}" name="PivotTable6" cacheId="4" applyNumberFormats="0" applyBorderFormats="0" applyFontFormats="0" applyPatternFormats="0" applyAlignmentFormats="0" applyWidthHeightFormats="1" dataCaption="Values" updatedVersion="8" minRefreshableVersion="3" useAutoFormatting="1" itemPrintTitles="1" mergeItem="1" createdVersion="8" indent="0" compact="0" compactData="0" multipleFieldFilters="0">
  <location ref="H7:J20" firstHeaderRow="1" firstDataRow="1" firstDataCol="2"/>
  <pivotFields count="4">
    <pivotField axis="axisRow" compact="0" outline="0" showAll="0">
      <items count="4">
        <item x="0"/>
        <item x="1"/>
        <item x="2"/>
        <item t="default"/>
      </items>
    </pivotField>
    <pivotField compact="0" outline="0" showAll="0"/>
    <pivotField axis="axisRow" compact="0" outline="0" showAll="0">
      <items count="4">
        <item x="0"/>
        <item x="1"/>
        <item f="1" x="2"/>
        <item t="default"/>
      </items>
    </pivotField>
    <pivotField dataField="1" compact="0" outline="0" showAll="0"/>
  </pivotFields>
  <rowFields count="2">
    <field x="0"/>
    <field x="2"/>
  </rowFields>
  <rowItems count="13">
    <i>
      <x/>
      <x/>
    </i>
    <i r="1">
      <x v="1"/>
    </i>
    <i r="1">
      <x v="2"/>
    </i>
    <i t="default">
      <x/>
    </i>
    <i>
      <x v="1"/>
      <x/>
    </i>
    <i r="1">
      <x v="1"/>
    </i>
    <i r="1">
      <x v="2"/>
    </i>
    <i t="default">
      <x v="1"/>
    </i>
    <i>
      <x v="2"/>
      <x/>
    </i>
    <i r="1">
      <x v="1"/>
    </i>
    <i r="1">
      <x v="2"/>
    </i>
    <i t="default">
      <x v="2"/>
    </i>
    <i t="grand">
      <x/>
    </i>
  </rowItems>
  <colItems count="1">
    <i/>
  </colItems>
  <dataFields count="1">
    <dataField name="Sum of Amount" fld="3" baseField="0" baseItem="0"/>
  </dataFields>
  <formats count="9">
    <format dxfId="8">
      <pivotArea collapsedLevelsAreSubtotals="1" fieldPosition="0">
        <references count="2">
          <reference field="0" count="1" selected="0">
            <x v="0"/>
          </reference>
          <reference field="2" count="1">
            <x v="2"/>
          </reference>
        </references>
      </pivotArea>
    </format>
    <format dxfId="7">
      <pivotArea collapsedLevelsAreSubtotals="1" fieldPosition="0">
        <references count="2">
          <reference field="0" count="1" selected="0">
            <x v="1"/>
          </reference>
          <reference field="2" count="1">
            <x v="2"/>
          </reference>
        </references>
      </pivotArea>
    </format>
    <format dxfId="6">
      <pivotArea collapsedLevelsAreSubtotals="1" fieldPosition="0">
        <references count="2">
          <reference field="0" count="1" selected="0">
            <x v="2"/>
          </reference>
          <reference field="2" count="1">
            <x v="2"/>
          </reference>
        </references>
      </pivotArea>
    </format>
    <format dxfId="5">
      <pivotArea dataOnly="0" labelOnly="1" outline="0" fieldPosition="0">
        <references count="2">
          <reference field="0" count="1" selected="0">
            <x v="0"/>
          </reference>
          <reference field="2" count="1">
            <x v="2"/>
          </reference>
        </references>
      </pivotArea>
    </format>
    <format dxfId="4">
      <pivotArea dataOnly="0" labelOnly="1" outline="0" fieldPosition="0">
        <references count="2">
          <reference field="0" count="1" selected="0">
            <x v="2"/>
          </reference>
          <reference field="2" count="1">
            <x v="2"/>
          </reference>
        </references>
      </pivotArea>
    </format>
    <format dxfId="3">
      <pivotArea dataOnly="0" labelOnly="1" outline="0" fieldPosition="0">
        <references count="2">
          <reference field="0" count="1" selected="0">
            <x v="1"/>
          </reference>
          <reference field="2" count="1">
            <x v="2"/>
          </reference>
        </references>
      </pivotArea>
    </format>
    <format dxfId="2">
      <pivotArea outline="0" fieldPosition="0">
        <references count="2">
          <reference field="0" count="1" selected="0">
            <x v="1"/>
          </reference>
          <reference field="2" count="1" selected="0">
            <x v="2"/>
          </reference>
        </references>
      </pivotArea>
    </format>
    <format dxfId="1">
      <pivotArea outline="0" fieldPosition="0">
        <references count="2">
          <reference field="0" count="1" selected="0">
            <x v="0"/>
          </reference>
          <reference field="2" count="1" selected="0">
            <x v="2"/>
          </reference>
        </references>
      </pivotArea>
    </format>
    <format dxfId="0">
      <pivotArea outline="0" fieldPosition="0">
        <references count="2">
          <reference field="0" count="1" selected="0">
            <x v="2"/>
          </reference>
          <reference field="2"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ECCF85A-1E9F-4434-9217-D2CB45B5178A}"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G44" firstHeaderRow="1" firstDataRow="1" firstDataCol="1"/>
  <pivotFields count="3">
    <pivotField showAll="0"/>
    <pivotField axis="axisRow" showAll="0">
      <items count="19">
        <item x="14"/>
        <item x="5"/>
        <item x="2"/>
        <item x="3"/>
        <item x="13"/>
        <item x="7"/>
        <item x="1"/>
        <item x="12"/>
        <item x="0"/>
        <item x="10"/>
        <item x="6"/>
        <item x="4"/>
        <item x="11"/>
        <item x="9"/>
        <item x="8"/>
        <item h="1" f="1" x="15"/>
        <item h="1" f="1" x="16"/>
        <item h="1" f="1" x="17"/>
        <item t="default"/>
      </items>
    </pivotField>
    <pivotField dataField="1"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FCC0C5-51E0-4722-99B8-8ECEA6347C9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Q22" firstHeaderRow="1" firstDataRow="2" firstDataCol="1"/>
  <pivotFields count="14">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showAll="0"/>
    <pivotField showAll="0"/>
    <pivotField axis="axisCol" showAll="0">
      <items count="4">
        <item x="0"/>
        <item x="1"/>
        <item x="2"/>
        <item t="default"/>
      </items>
    </pivotField>
    <pivotField dataField="1"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2">
    <field x="9"/>
    <field x="3"/>
  </rowFields>
  <rowItems count="10">
    <i>
      <x/>
    </i>
    <i r="1">
      <x/>
    </i>
    <i r="1">
      <x v="1"/>
    </i>
    <i r="1">
      <x v="2"/>
    </i>
    <i r="1">
      <x v="3"/>
    </i>
    <i>
      <x v="1"/>
    </i>
    <i r="1">
      <x v="4"/>
    </i>
    <i r="1">
      <x v="5"/>
    </i>
    <i r="1">
      <x v="6"/>
    </i>
    <i t="grand">
      <x/>
    </i>
  </rowItems>
  <colFields count="1">
    <field x="6"/>
  </colFields>
  <colItems count="4">
    <i>
      <x/>
    </i>
    <i>
      <x v="1"/>
    </i>
    <i>
      <x v="2"/>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6A75083-C275-4E09-86C3-C6FDFD7B03B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1:T28" firstHeaderRow="1" firstDataRow="1" firstDataCol="1"/>
  <pivotFields count="14">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showAll="0"/>
    <pivotField showAll="0"/>
    <pivotField axis="axisRow" showAll="0">
      <items count="4">
        <item x="0"/>
        <item x="1"/>
        <item x="2"/>
        <item t="default"/>
      </items>
    </pivotField>
    <pivotField dataField="1"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3">
    <field x="9"/>
    <field x="3"/>
    <field x="6"/>
  </rowFields>
  <rowItems count="17">
    <i>
      <x/>
    </i>
    <i r="1">
      <x/>
    </i>
    <i r="2">
      <x/>
    </i>
    <i r="1">
      <x v="1"/>
    </i>
    <i r="2">
      <x/>
    </i>
    <i r="1">
      <x v="2"/>
    </i>
    <i r="2">
      <x v="1"/>
    </i>
    <i r="1">
      <x v="3"/>
    </i>
    <i r="2">
      <x/>
    </i>
    <i>
      <x v="1"/>
    </i>
    <i r="1">
      <x v="4"/>
    </i>
    <i r="2">
      <x/>
    </i>
    <i r="1">
      <x v="5"/>
    </i>
    <i r="2">
      <x v="2"/>
    </i>
    <i r="1">
      <x v="6"/>
    </i>
    <i r="2">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21A03E9-F247-4C61-9AA0-89B91B8ED77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K13" firstHeaderRow="0" firstDataRow="1" firstDataCol="1"/>
  <pivotFields count="4">
    <pivotField showAll="0"/>
    <pivotField axis="axisRow" showAll="0">
      <items count="7">
        <item x="0"/>
        <item x="2"/>
        <item x="3"/>
        <item x="1"/>
        <item x="4"/>
        <item x="5"/>
        <item t="default"/>
      </items>
    </pivotField>
    <pivotField dataField="1" showAll="0"/>
    <pivotField dataField="1" showAll="0"/>
  </pivotFields>
  <rowFields count="1">
    <field x="1"/>
  </rowFields>
  <rowItems count="7">
    <i>
      <x/>
    </i>
    <i>
      <x v="1"/>
    </i>
    <i>
      <x v="2"/>
    </i>
    <i>
      <x v="3"/>
    </i>
    <i>
      <x v="4"/>
    </i>
    <i>
      <x v="5"/>
    </i>
    <i t="grand">
      <x/>
    </i>
  </rowItems>
  <colFields count="1">
    <field x="-2"/>
  </colFields>
  <colItems count="2">
    <i>
      <x/>
    </i>
    <i i="1">
      <x v="1"/>
    </i>
  </colItems>
  <dataFields count="2">
    <dataField name="Sum of Revenue" fld="2" baseField="0" baseItem="0"/>
    <dataField name="Sum of new column"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F1ABCC5-4FE9-4071-A27A-ECE7234401A8}"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9" firstHeaderRow="1" firstDataRow="1" firstDataCol="1"/>
  <pivotFields count="3">
    <pivotField showAll="0"/>
    <pivotField axis="axisRow" showAll="0">
      <items count="6">
        <item x="0"/>
        <item x="1"/>
        <item m="1" x="2"/>
        <item m="1" x="3"/>
        <item m="1" x="4"/>
        <item t="default"/>
      </items>
    </pivotField>
    <pivotField dataField="1" showAll="0"/>
  </pivotFields>
  <rowFields count="1">
    <field x="1"/>
  </rowFields>
  <rowItems count="3">
    <i>
      <x/>
    </i>
    <i>
      <x v="1"/>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0299012-6E96-4B2F-A219-963CF2C66EFE}" name="PivotTable1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4:X28" firstHeaderRow="1" firstDataRow="2" firstDataCol="1"/>
  <pivotFields count="8">
    <pivotField showAll="0"/>
    <pivotField axis="axisCol" showAll="0">
      <items count="11">
        <item x="2"/>
        <item x="1"/>
        <item x="6"/>
        <item x="0"/>
        <item x="3"/>
        <item x="7"/>
        <item x="4"/>
        <item x="9"/>
        <item x="5"/>
        <item x="8"/>
        <item t="default"/>
      </items>
    </pivotField>
    <pivotField axis="axisRow" showAll="0">
      <items count="13">
        <item x="5"/>
        <item x="7"/>
        <item x="9"/>
        <item x="4"/>
        <item x="1"/>
        <item x="0"/>
        <item x="6"/>
        <item x="11"/>
        <item x="10"/>
        <item x="3"/>
        <item x="8"/>
        <item x="2"/>
        <item t="default"/>
      </items>
    </pivotField>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Fields count="1">
    <field x="1"/>
  </colFields>
  <colItems count="11">
    <i>
      <x/>
    </i>
    <i>
      <x v="1"/>
    </i>
    <i>
      <x v="2"/>
    </i>
    <i>
      <x v="3"/>
    </i>
    <i>
      <x v="4"/>
    </i>
    <i>
      <x v="5"/>
    </i>
    <i>
      <x v="6"/>
    </i>
    <i>
      <x v="7"/>
    </i>
    <i>
      <x v="8"/>
    </i>
    <i>
      <x v="9"/>
    </i>
    <i t="grand">
      <x/>
    </i>
  </colItems>
  <dataFields count="1">
    <dataField name="Sum of 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1962062-0A58-40B1-881B-1F5D1C44AC5E}" sourceName="Country">
  <data>
    <tabular pivotCacheId="691704117">
      <items count="7">
        <i x="0" s="1"/>
        <i x="6" s="1"/>
        <i x="2"/>
        <i x="5"/>
        <i x="1" s="1"/>
        <i x="4"/>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20FDC7F-2C31-4D7E-AF4F-08600D8130DB}" cache="Slicer_Country" caption="Country" columnCount="4" style="my slicer style"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B94549B-8A92-4950-A0E6-1C512E2654FA}" sourceName="Order Date">
  <pivotTables>
    <pivotTable tabId="33" name="PivotTable8"/>
  </pivotTables>
  <state minimalRefreshVersion="6" lastRefreshVersion="6" pivotCacheId="2041903186" filterType="dateBetween">
    <selection startDate="2018-01-01T00:00:00" endDate="2018-01-31T00:00:00"/>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0A88D06-0765-4D53-9378-9CEEF07973C3}" cache="NativeTimeline_Order_Date" caption="Order Date" level="2" selectionLevel="2" scrollPosition="2018-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E6FD-EB4F-4D06-8042-05C782C46033}">
  <sheetPr codeName="Sheet2">
    <tabColor rgb="FFFF2F2F"/>
  </sheetPr>
  <dimension ref="A1:B17"/>
  <sheetViews>
    <sheetView tabSelected="1" topLeftCell="A5" zoomScale="102" workbookViewId="0">
      <selection activeCell="H18" sqref="H18"/>
    </sheetView>
  </sheetViews>
  <sheetFormatPr defaultRowHeight="14.4"/>
  <cols>
    <col min="1" max="1" width="7.77734375" customWidth="1"/>
    <col min="2" max="2" width="55.77734375" bestFit="1" customWidth="1"/>
  </cols>
  <sheetData>
    <row r="1" spans="1:2" ht="15.6">
      <c r="A1" s="42" t="s">
        <v>511</v>
      </c>
      <c r="B1" s="42"/>
    </row>
    <row r="3" spans="1:2" ht="21">
      <c r="A3" s="9">
        <v>1</v>
      </c>
      <c r="B3" s="24" t="s">
        <v>389</v>
      </c>
    </row>
    <row r="4" spans="1:2" ht="21">
      <c r="A4" s="9">
        <v>2</v>
      </c>
      <c r="B4" s="24" t="s">
        <v>390</v>
      </c>
    </row>
    <row r="5" spans="1:2" ht="21">
      <c r="A5" s="9">
        <v>3</v>
      </c>
      <c r="B5" s="24" t="s">
        <v>391</v>
      </c>
    </row>
    <row r="6" spans="1:2" ht="21">
      <c r="A6" s="9">
        <v>4</v>
      </c>
      <c r="B6" s="24" t="s">
        <v>392</v>
      </c>
    </row>
    <row r="7" spans="1:2" ht="21">
      <c r="A7" s="9">
        <v>5</v>
      </c>
      <c r="B7" s="24" t="s">
        <v>394</v>
      </c>
    </row>
    <row r="8" spans="1:2" ht="21">
      <c r="A8" s="9">
        <v>6</v>
      </c>
      <c r="B8" s="9" t="s">
        <v>393</v>
      </c>
    </row>
    <row r="9" spans="1:2" ht="21">
      <c r="A9" s="9">
        <v>7</v>
      </c>
      <c r="B9" s="9" t="s">
        <v>395</v>
      </c>
    </row>
    <row r="10" spans="1:2" ht="21">
      <c r="A10" s="9">
        <v>8</v>
      </c>
      <c r="B10" s="9" t="s">
        <v>453</v>
      </c>
    </row>
    <row r="11" spans="1:2" ht="21">
      <c r="A11" s="9">
        <v>9</v>
      </c>
      <c r="B11" s="9" t="s">
        <v>396</v>
      </c>
    </row>
    <row r="12" spans="1:2" ht="21">
      <c r="A12" s="9">
        <v>10</v>
      </c>
      <c r="B12" s="9" t="s">
        <v>397</v>
      </c>
    </row>
    <row r="13" spans="1:2" ht="21">
      <c r="A13" s="9">
        <v>11</v>
      </c>
      <c r="B13" s="9" t="s">
        <v>510</v>
      </c>
    </row>
    <row r="14" spans="1:2" ht="21">
      <c r="A14" s="9">
        <v>12</v>
      </c>
      <c r="B14" s="9" t="s">
        <v>398</v>
      </c>
    </row>
    <row r="15" spans="1:2" ht="21">
      <c r="A15" s="9">
        <v>13</v>
      </c>
      <c r="B15" s="9" t="s">
        <v>1060</v>
      </c>
    </row>
    <row r="16" spans="1:2" ht="21">
      <c r="A16" s="9">
        <v>14</v>
      </c>
      <c r="B16" s="9" t="s">
        <v>1165</v>
      </c>
    </row>
    <row r="17" spans="1:2" ht="21">
      <c r="A17" s="9">
        <v>15</v>
      </c>
      <c r="B17" s="9" t="s">
        <v>399</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4DCFE-6F40-4573-AC7B-6701028A8D8F}">
  <sheetPr codeName="Sheet3"/>
  <dimension ref="A1:P62"/>
  <sheetViews>
    <sheetView zoomScale="90" zoomScaleNormal="115" workbookViewId="0">
      <selection activeCell="D24" sqref="D24"/>
    </sheetView>
  </sheetViews>
  <sheetFormatPr defaultRowHeight="14.4"/>
  <cols>
    <col min="1" max="1" width="22" bestFit="1" customWidth="1"/>
    <col min="2" max="2" width="12.109375" bestFit="1" customWidth="1"/>
    <col min="3" max="3" width="12.44140625" bestFit="1" customWidth="1"/>
    <col min="4" max="4" width="13.44140625" bestFit="1" customWidth="1"/>
    <col min="5" max="5" width="12.44140625" bestFit="1" customWidth="1"/>
    <col min="7" max="7" width="4.44140625" bestFit="1" customWidth="1"/>
    <col min="8" max="8" width="7" bestFit="1" customWidth="1"/>
    <col min="10" max="10" width="7.33203125" customWidth="1"/>
    <col min="11" max="11" width="6.77734375" bestFit="1" customWidth="1"/>
    <col min="15" max="15" width="21.5546875" bestFit="1" customWidth="1"/>
    <col min="16" max="17" width="11.6640625" bestFit="1" customWidth="1"/>
  </cols>
  <sheetData>
    <row r="1" spans="1:8" ht="50.4" customHeight="1">
      <c r="A1" s="45" t="s">
        <v>405</v>
      </c>
      <c r="B1" s="45"/>
      <c r="C1" s="45"/>
      <c r="D1" s="45"/>
      <c r="E1" s="45"/>
    </row>
    <row r="3" spans="1:8" ht="31.8" customHeight="1">
      <c r="D3" s="46" t="s">
        <v>425</v>
      </c>
      <c r="E3" s="46"/>
    </row>
    <row r="4" spans="1:8">
      <c r="D4" s="5" t="s">
        <v>4</v>
      </c>
      <c r="E4" t="s">
        <v>424</v>
      </c>
      <c r="G4" s="5" t="s">
        <v>5</v>
      </c>
      <c r="H4" t="s">
        <v>424</v>
      </c>
    </row>
    <row r="5" spans="1:8">
      <c r="D5" s="5" t="s">
        <v>6</v>
      </c>
      <c r="E5" t="s">
        <v>424</v>
      </c>
    </row>
    <row r="7" spans="1:8">
      <c r="A7" s="5" t="s">
        <v>81</v>
      </c>
      <c r="B7" t="s">
        <v>423</v>
      </c>
      <c r="D7" s="5" t="s">
        <v>81</v>
      </c>
      <c r="E7" t="s">
        <v>388</v>
      </c>
    </row>
    <row r="8" spans="1:8">
      <c r="A8" s="6" t="s">
        <v>418</v>
      </c>
      <c r="B8" s="17">
        <v>3171.9352517985612</v>
      </c>
      <c r="D8" s="6" t="s">
        <v>9</v>
      </c>
      <c r="E8">
        <v>117396</v>
      </c>
    </row>
    <row r="9" spans="1:8">
      <c r="A9" s="7" t="s">
        <v>9</v>
      </c>
      <c r="B9" s="17">
        <v>3213.1111111111113</v>
      </c>
      <c r="D9" s="6" t="s">
        <v>62</v>
      </c>
      <c r="E9">
        <v>76810</v>
      </c>
    </row>
    <row r="10" spans="1:8">
      <c r="A10" s="16" t="s">
        <v>10</v>
      </c>
      <c r="B10" s="17">
        <v>3213.1111111111113</v>
      </c>
      <c r="D10" s="6" t="s">
        <v>31</v>
      </c>
      <c r="E10">
        <v>68801</v>
      </c>
    </row>
    <row r="11" spans="1:8">
      <c r="A11" s="7" t="s">
        <v>62</v>
      </c>
      <c r="B11" s="17">
        <v>3197.5294117647059</v>
      </c>
      <c r="D11" s="6" t="s">
        <v>53</v>
      </c>
      <c r="E11">
        <v>43009</v>
      </c>
    </row>
    <row r="12" spans="1:8">
      <c r="A12" s="16" t="s">
        <v>63</v>
      </c>
      <c r="B12" s="17">
        <v>3197.5294117647059</v>
      </c>
      <c r="D12" s="6" t="s">
        <v>18</v>
      </c>
      <c r="E12">
        <v>222818</v>
      </c>
    </row>
    <row r="13" spans="1:8">
      <c r="A13" s="7" t="s">
        <v>31</v>
      </c>
      <c r="B13" s="17">
        <v>3022.7352941176468</v>
      </c>
      <c r="D13" s="6" t="s">
        <v>75</v>
      </c>
      <c r="E13">
        <v>228651</v>
      </c>
    </row>
    <row r="14" spans="1:8">
      <c r="A14" s="16" t="s">
        <v>32</v>
      </c>
      <c r="B14" s="17">
        <v>3306.1176470588234</v>
      </c>
      <c r="D14" s="6" t="s">
        <v>37</v>
      </c>
      <c r="E14">
        <v>41352</v>
      </c>
    </row>
    <row r="15" spans="1:8">
      <c r="A15" s="16" t="s">
        <v>43</v>
      </c>
      <c r="B15" s="17">
        <v>2739.3529411764707</v>
      </c>
      <c r="D15" s="6" t="s">
        <v>82</v>
      </c>
      <c r="E15">
        <v>798837</v>
      </c>
    </row>
    <row r="16" spans="1:8">
      <c r="A16" s="7" t="s">
        <v>53</v>
      </c>
      <c r="B16" s="17">
        <v>3288.3529411764707</v>
      </c>
    </row>
    <row r="17" spans="1:16">
      <c r="A17" s="16" t="s">
        <v>54</v>
      </c>
      <c r="B17" s="17">
        <v>3288.3529411764707</v>
      </c>
    </row>
    <row r="18" spans="1:16">
      <c r="A18" s="6" t="s">
        <v>419</v>
      </c>
      <c r="B18" s="17">
        <v>3132.4955752212391</v>
      </c>
    </row>
    <row r="19" spans="1:16">
      <c r="A19" s="7" t="s">
        <v>18</v>
      </c>
      <c r="B19" s="17">
        <v>3100.5794392523367</v>
      </c>
    </row>
    <row r="20" spans="1:16">
      <c r="A20" s="16" t="s">
        <v>19</v>
      </c>
      <c r="B20" s="17">
        <v>3081.2666666666669</v>
      </c>
      <c r="P20" s="14"/>
    </row>
    <row r="21" spans="1:16">
      <c r="A21" s="16" t="s">
        <v>58</v>
      </c>
      <c r="B21" s="17">
        <v>3202.8235294117649</v>
      </c>
    </row>
    <row r="22" spans="1:16">
      <c r="A22" s="7" t="s">
        <v>75</v>
      </c>
      <c r="B22" s="17">
        <v>3166.6176470588234</v>
      </c>
    </row>
    <row r="23" spans="1:16">
      <c r="A23" s="16" t="s">
        <v>77</v>
      </c>
      <c r="B23" s="17">
        <v>3103.5</v>
      </c>
    </row>
    <row r="24" spans="1:16">
      <c r="A24" s="16" t="s">
        <v>76</v>
      </c>
      <c r="B24" s="17">
        <v>3198.1764705882351</v>
      </c>
    </row>
    <row r="25" spans="1:16">
      <c r="A25" s="7" t="s">
        <v>37</v>
      </c>
      <c r="B25" s="17">
        <v>3128.6470588235293</v>
      </c>
    </row>
    <row r="26" spans="1:16">
      <c r="A26" s="16" t="s">
        <v>38</v>
      </c>
      <c r="B26" s="17">
        <v>3128.6470588235293</v>
      </c>
    </row>
    <row r="27" spans="1:16">
      <c r="A27" s="6" t="s">
        <v>82</v>
      </c>
      <c r="B27" s="17">
        <v>3147.5150684931505</v>
      </c>
    </row>
    <row r="31" spans="1:16" ht="28.2" customHeight="1">
      <c r="A31" s="43" t="s">
        <v>402</v>
      </c>
      <c r="B31" s="43"/>
    </row>
    <row r="32" spans="1:16" ht="28.2" customHeight="1">
      <c r="A32" s="11" t="s">
        <v>400</v>
      </c>
      <c r="B32" s="10"/>
      <c r="D32" s="12" t="s">
        <v>401</v>
      </c>
    </row>
    <row r="33" spans="1:5">
      <c r="A33" s="5" t="s">
        <v>81</v>
      </c>
      <c r="B33" t="s">
        <v>83</v>
      </c>
      <c r="D33" s="5" t="s">
        <v>81</v>
      </c>
      <c r="E33" t="s">
        <v>83</v>
      </c>
    </row>
    <row r="34" spans="1:5">
      <c r="A34" s="6" t="s">
        <v>77</v>
      </c>
      <c r="B34">
        <v>105519</v>
      </c>
      <c r="D34" s="6" t="s">
        <v>9</v>
      </c>
      <c r="E34">
        <v>173508</v>
      </c>
    </row>
    <row r="35" spans="1:5">
      <c r="A35" s="6" t="s">
        <v>63</v>
      </c>
      <c r="B35">
        <v>108716</v>
      </c>
      <c r="D35" s="6" t="s">
        <v>62</v>
      </c>
      <c r="E35">
        <v>108716</v>
      </c>
    </row>
    <row r="36" spans="1:5">
      <c r="A36" s="6" t="s">
        <v>32</v>
      </c>
      <c r="B36">
        <v>56204</v>
      </c>
      <c r="D36" s="6" t="s">
        <v>31</v>
      </c>
      <c r="E36">
        <v>102773</v>
      </c>
    </row>
    <row r="37" spans="1:5">
      <c r="A37" s="6" t="s">
        <v>54</v>
      </c>
      <c r="B37">
        <v>55902</v>
      </c>
      <c r="D37" s="6" t="s">
        <v>53</v>
      </c>
      <c r="E37">
        <v>55902</v>
      </c>
    </row>
    <row r="38" spans="1:5">
      <c r="A38" s="6" t="s">
        <v>19</v>
      </c>
      <c r="B38">
        <v>277314</v>
      </c>
      <c r="D38" s="6" t="s">
        <v>18</v>
      </c>
      <c r="E38">
        <v>331762</v>
      </c>
    </row>
    <row r="39" spans="1:5">
      <c r="A39" s="6" t="s">
        <v>76</v>
      </c>
      <c r="B39">
        <v>217476</v>
      </c>
      <c r="D39" s="6" t="s">
        <v>75</v>
      </c>
      <c r="E39">
        <v>322995</v>
      </c>
    </row>
    <row r="40" spans="1:5">
      <c r="A40" s="6" t="s">
        <v>58</v>
      </c>
      <c r="B40">
        <v>54448</v>
      </c>
      <c r="D40" s="6" t="s">
        <v>37</v>
      </c>
      <c r="E40">
        <v>53187</v>
      </c>
    </row>
    <row r="41" spans="1:5">
      <c r="A41" s="6" t="s">
        <v>43</v>
      </c>
      <c r="B41">
        <v>46569</v>
      </c>
      <c r="D41" s="6" t="s">
        <v>82</v>
      </c>
      <c r="E41">
        <v>1148843</v>
      </c>
    </row>
    <row r="42" spans="1:5">
      <c r="A42" s="6" t="s">
        <v>38</v>
      </c>
      <c r="B42">
        <v>53187</v>
      </c>
    </row>
    <row r="43" spans="1:5">
      <c r="A43" s="6" t="s">
        <v>10</v>
      </c>
      <c r="B43">
        <v>173508</v>
      </c>
    </row>
    <row r="44" spans="1:5">
      <c r="A44" s="6" t="s">
        <v>82</v>
      </c>
      <c r="B44">
        <v>1148843</v>
      </c>
    </row>
    <row r="45" spans="1:5">
      <c r="A45" s="6"/>
    </row>
    <row r="46" spans="1:5">
      <c r="A46" s="6"/>
    </row>
    <row r="49" spans="1:4" s="10" customFormat="1" ht="21" customHeight="1">
      <c r="A49" s="44" t="s">
        <v>404</v>
      </c>
      <c r="B49" s="44"/>
    </row>
    <row r="50" spans="1:4">
      <c r="A50" s="5" t="s">
        <v>81</v>
      </c>
      <c r="B50" t="s">
        <v>83</v>
      </c>
      <c r="C50" t="s">
        <v>388</v>
      </c>
      <c r="D50" s="13" t="s">
        <v>403</v>
      </c>
    </row>
    <row r="51" spans="1:4">
      <c r="A51" s="6" t="s">
        <v>59</v>
      </c>
      <c r="B51">
        <v>2946</v>
      </c>
      <c r="C51">
        <v>2210</v>
      </c>
      <c r="D51">
        <v>1</v>
      </c>
    </row>
    <row r="52" spans="1:4">
      <c r="A52" s="6" t="s">
        <v>33</v>
      </c>
      <c r="B52">
        <v>7589</v>
      </c>
      <c r="C52">
        <v>5349</v>
      </c>
      <c r="D52">
        <v>2</v>
      </c>
    </row>
    <row r="53" spans="1:4">
      <c r="A53" s="6" t="s">
        <v>44</v>
      </c>
      <c r="B53">
        <v>2466</v>
      </c>
      <c r="C53">
        <v>1603</v>
      </c>
      <c r="D53">
        <v>1</v>
      </c>
    </row>
    <row r="54" spans="1:4">
      <c r="A54" s="6" t="s">
        <v>39</v>
      </c>
      <c r="B54">
        <v>6647</v>
      </c>
      <c r="C54">
        <v>5207</v>
      </c>
      <c r="D54">
        <v>2</v>
      </c>
    </row>
    <row r="55" spans="1:4">
      <c r="A55" s="6" t="s">
        <v>20</v>
      </c>
      <c r="B55">
        <v>30295</v>
      </c>
      <c r="C55">
        <v>20660</v>
      </c>
      <c r="D55">
        <v>10</v>
      </c>
    </row>
    <row r="56" spans="1:4">
      <c r="A56" s="6" t="s">
        <v>64</v>
      </c>
      <c r="B56">
        <v>6452</v>
      </c>
      <c r="C56">
        <v>4982</v>
      </c>
      <c r="D56">
        <v>2</v>
      </c>
    </row>
    <row r="57" spans="1:4">
      <c r="A57" s="6" t="s">
        <v>79</v>
      </c>
      <c r="B57">
        <v>2137</v>
      </c>
      <c r="C57">
        <v>1325</v>
      </c>
      <c r="D57">
        <v>1</v>
      </c>
    </row>
    <row r="58" spans="1:4">
      <c r="A58" s="6" t="s">
        <v>78</v>
      </c>
      <c r="B58">
        <v>7381</v>
      </c>
      <c r="C58">
        <v>5472</v>
      </c>
      <c r="D58">
        <v>2</v>
      </c>
    </row>
    <row r="59" spans="1:4">
      <c r="A59" s="6" t="s">
        <v>80</v>
      </c>
      <c r="B59">
        <v>7749</v>
      </c>
      <c r="C59">
        <v>5532</v>
      </c>
      <c r="D59">
        <v>3</v>
      </c>
    </row>
    <row r="60" spans="1:4">
      <c r="A60" s="6" t="s">
        <v>10</v>
      </c>
      <c r="B60">
        <v>19878</v>
      </c>
      <c r="C60">
        <v>13168</v>
      </c>
      <c r="D60">
        <v>6</v>
      </c>
    </row>
    <row r="61" spans="1:4">
      <c r="A61" s="6" t="s">
        <v>55</v>
      </c>
      <c r="B61">
        <v>3263</v>
      </c>
      <c r="C61">
        <v>2545</v>
      </c>
      <c r="D61">
        <v>1</v>
      </c>
    </row>
    <row r="62" spans="1:4">
      <c r="A62" s="6" t="s">
        <v>82</v>
      </c>
      <c r="B62">
        <v>96803</v>
      </c>
      <c r="C62">
        <v>68053</v>
      </c>
      <c r="D62">
        <v>31</v>
      </c>
    </row>
  </sheetData>
  <mergeCells count="4">
    <mergeCell ref="A31:B31"/>
    <mergeCell ref="A49:B49"/>
    <mergeCell ref="A1:E1"/>
    <mergeCell ref="D3:E3"/>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7DC3-F54E-4A86-BD91-65EF8DE325A3}">
  <sheetPr codeName="Sheet4"/>
  <dimension ref="A2:F385"/>
  <sheetViews>
    <sheetView zoomScale="96" zoomScaleNormal="100" workbookViewId="0">
      <selection activeCell="P25" sqref="P25"/>
    </sheetView>
  </sheetViews>
  <sheetFormatPr defaultRowHeight="14.4"/>
  <cols>
    <col min="1" max="1" width="16.6640625" bestFit="1" customWidth="1"/>
    <col min="2" max="2" width="12.109375" bestFit="1" customWidth="1"/>
    <col min="4" max="4" width="15.77734375" bestFit="1" customWidth="1"/>
    <col min="5" max="5" width="12.77734375" bestFit="1" customWidth="1"/>
    <col min="6" max="6" width="12.109375" bestFit="1" customWidth="1"/>
  </cols>
  <sheetData>
    <row r="2" spans="1:5">
      <c r="A2" s="8" t="s">
        <v>421</v>
      </c>
      <c r="D2" s="8" t="s">
        <v>422</v>
      </c>
    </row>
    <row r="3" spans="1:5">
      <c r="A3" s="5" t="s">
        <v>81</v>
      </c>
      <c r="B3" t="s">
        <v>83</v>
      </c>
      <c r="D3" s="5" t="s">
        <v>81</v>
      </c>
      <c r="E3" t="s">
        <v>83</v>
      </c>
    </row>
    <row r="4" spans="1:5">
      <c r="A4" s="6" t="s">
        <v>427</v>
      </c>
      <c r="B4">
        <v>284457</v>
      </c>
      <c r="D4" s="6" t="s">
        <v>418</v>
      </c>
      <c r="E4">
        <v>440899</v>
      </c>
    </row>
    <row r="5" spans="1:5">
      <c r="A5" s="7" t="s">
        <v>406</v>
      </c>
      <c r="B5">
        <v>96803</v>
      </c>
      <c r="D5" s="7" t="s">
        <v>9</v>
      </c>
      <c r="E5">
        <v>173508</v>
      </c>
    </row>
    <row r="6" spans="1:5">
      <c r="A6" s="15">
        <v>43101</v>
      </c>
      <c r="B6">
        <v>2934</v>
      </c>
      <c r="D6" s="7" t="s">
        <v>62</v>
      </c>
      <c r="E6">
        <v>108716</v>
      </c>
    </row>
    <row r="7" spans="1:5">
      <c r="A7" s="15">
        <v>43102</v>
      </c>
      <c r="B7">
        <v>4354</v>
      </c>
      <c r="D7" s="7" t="s">
        <v>31</v>
      </c>
      <c r="E7">
        <v>102773</v>
      </c>
    </row>
    <row r="8" spans="1:5">
      <c r="A8" s="15">
        <v>43103</v>
      </c>
      <c r="B8">
        <v>2102</v>
      </c>
      <c r="D8" s="7" t="s">
        <v>53</v>
      </c>
      <c r="E8">
        <v>55902</v>
      </c>
    </row>
    <row r="9" spans="1:5">
      <c r="A9" s="15">
        <v>43104</v>
      </c>
      <c r="B9">
        <v>3261</v>
      </c>
      <c r="D9" s="6" t="s">
        <v>420</v>
      </c>
      <c r="E9">
        <v>707944</v>
      </c>
    </row>
    <row r="10" spans="1:5">
      <c r="A10" s="15">
        <v>43105</v>
      </c>
      <c r="B10">
        <v>2577</v>
      </c>
      <c r="D10" s="7" t="s">
        <v>18</v>
      </c>
      <c r="E10">
        <v>331762</v>
      </c>
    </row>
    <row r="11" spans="1:5">
      <c r="A11" s="15">
        <v>43106</v>
      </c>
      <c r="B11">
        <v>3131</v>
      </c>
      <c r="D11" s="7" t="s">
        <v>75</v>
      </c>
      <c r="E11">
        <v>322995</v>
      </c>
    </row>
    <row r="12" spans="1:5">
      <c r="A12" s="15">
        <v>43107</v>
      </c>
      <c r="B12">
        <v>2683</v>
      </c>
      <c r="D12" s="7" t="s">
        <v>37</v>
      </c>
      <c r="E12">
        <v>53187</v>
      </c>
    </row>
    <row r="13" spans="1:5">
      <c r="A13" s="15">
        <v>43108</v>
      </c>
      <c r="B13">
        <v>2613</v>
      </c>
      <c r="D13" s="6" t="s">
        <v>82</v>
      </c>
      <c r="E13">
        <v>1148843</v>
      </c>
    </row>
    <row r="14" spans="1:5">
      <c r="A14" s="15">
        <v>43109</v>
      </c>
      <c r="B14">
        <v>4076</v>
      </c>
    </row>
    <row r="15" spans="1:5">
      <c r="A15" s="15">
        <v>43110</v>
      </c>
      <c r="B15">
        <v>4400</v>
      </c>
    </row>
    <row r="16" spans="1:5">
      <c r="A16" s="15">
        <v>43111</v>
      </c>
      <c r="B16">
        <v>2466</v>
      </c>
    </row>
    <row r="17" spans="1:6">
      <c r="A17" s="15">
        <v>43112</v>
      </c>
      <c r="B17">
        <v>2137</v>
      </c>
      <c r="D17" s="49" t="s">
        <v>441</v>
      </c>
      <c r="E17" s="49"/>
      <c r="F17" s="49"/>
    </row>
    <row r="18" spans="1:6">
      <c r="A18" s="15">
        <v>43113</v>
      </c>
      <c r="B18">
        <v>4216</v>
      </c>
      <c r="D18" s="19" t="s">
        <v>438</v>
      </c>
      <c r="E18" s="19" t="s">
        <v>3</v>
      </c>
      <c r="F18" s="20" t="s">
        <v>83</v>
      </c>
    </row>
    <row r="19" spans="1:6">
      <c r="A19" s="15">
        <v>43114</v>
      </c>
      <c r="B19">
        <v>3165</v>
      </c>
      <c r="D19" s="47" t="s">
        <v>418</v>
      </c>
      <c r="E19" s="22" t="s">
        <v>9</v>
      </c>
      <c r="F19">
        <v>173508</v>
      </c>
    </row>
    <row r="20" spans="1:6">
      <c r="A20" s="15">
        <v>43115</v>
      </c>
      <c r="B20">
        <v>3263</v>
      </c>
      <c r="D20" s="48"/>
      <c r="E20" s="22" t="s">
        <v>62</v>
      </c>
      <c r="F20">
        <v>108716</v>
      </c>
    </row>
    <row r="21" spans="1:6">
      <c r="A21" s="15">
        <v>43116</v>
      </c>
      <c r="B21">
        <v>2946</v>
      </c>
      <c r="D21" s="48"/>
      <c r="E21" s="22" t="s">
        <v>31</v>
      </c>
      <c r="F21">
        <v>102773</v>
      </c>
    </row>
    <row r="22" spans="1:6">
      <c r="A22" s="15">
        <v>43117</v>
      </c>
      <c r="B22">
        <v>2989</v>
      </c>
      <c r="D22" s="48"/>
      <c r="E22" s="22" t="s">
        <v>53</v>
      </c>
      <c r="F22">
        <v>55902</v>
      </c>
    </row>
    <row r="23" spans="1:6">
      <c r="A23" s="15">
        <v>43118</v>
      </c>
      <c r="B23">
        <v>3463</v>
      </c>
      <c r="D23" s="47" t="s">
        <v>439</v>
      </c>
      <c r="E23" s="48"/>
      <c r="F23">
        <v>440899</v>
      </c>
    </row>
    <row r="24" spans="1:6">
      <c r="A24" s="15">
        <v>43119</v>
      </c>
      <c r="B24">
        <v>2677</v>
      </c>
      <c r="D24" s="47" t="s">
        <v>420</v>
      </c>
      <c r="E24" s="22" t="s">
        <v>18</v>
      </c>
      <c r="F24">
        <v>331762</v>
      </c>
    </row>
    <row r="25" spans="1:6">
      <c r="A25" s="15">
        <v>43120</v>
      </c>
      <c r="B25">
        <v>2966</v>
      </c>
      <c r="D25" s="48"/>
      <c r="E25" s="22" t="s">
        <v>75</v>
      </c>
      <c r="F25">
        <v>322995</v>
      </c>
    </row>
    <row r="26" spans="1:6">
      <c r="A26" s="15">
        <v>43121</v>
      </c>
      <c r="B26">
        <v>2106</v>
      </c>
      <c r="D26" s="48"/>
      <c r="E26" s="22" t="s">
        <v>37</v>
      </c>
      <c r="F26">
        <v>53187</v>
      </c>
    </row>
    <row r="27" spans="1:6">
      <c r="A27" s="15">
        <v>43122</v>
      </c>
      <c r="B27">
        <v>3664</v>
      </c>
      <c r="D27" s="47" t="s">
        <v>440</v>
      </c>
      <c r="E27" s="48"/>
      <c r="F27">
        <v>707944</v>
      </c>
    </row>
    <row r="28" spans="1:6">
      <c r="A28" s="15">
        <v>43123</v>
      </c>
      <c r="B28">
        <v>3069</v>
      </c>
      <c r="D28" s="47" t="s">
        <v>82</v>
      </c>
      <c r="E28" s="48"/>
      <c r="F28">
        <v>1148843</v>
      </c>
    </row>
    <row r="29" spans="1:6">
      <c r="A29" s="15">
        <v>43124</v>
      </c>
      <c r="B29">
        <v>3755</v>
      </c>
    </row>
    <row r="30" spans="1:6">
      <c r="A30" s="15">
        <v>43125</v>
      </c>
      <c r="B30">
        <v>3215</v>
      </c>
    </row>
    <row r="31" spans="1:6">
      <c r="A31" s="15">
        <v>43126</v>
      </c>
      <c r="B31">
        <v>3685</v>
      </c>
    </row>
    <row r="32" spans="1:6">
      <c r="A32" s="15">
        <v>43127</v>
      </c>
      <c r="B32">
        <v>4015</v>
      </c>
    </row>
    <row r="33" spans="1:2">
      <c r="A33" s="15">
        <v>43128</v>
      </c>
      <c r="B33">
        <v>2517</v>
      </c>
    </row>
    <row r="34" spans="1:2">
      <c r="A34" s="15">
        <v>43129</v>
      </c>
      <c r="B34">
        <v>2598</v>
      </c>
    </row>
    <row r="35" spans="1:2">
      <c r="A35" s="15">
        <v>43130</v>
      </c>
      <c r="B35">
        <v>3513</v>
      </c>
    </row>
    <row r="36" spans="1:2">
      <c r="A36" s="15">
        <v>43131</v>
      </c>
      <c r="B36">
        <v>2247</v>
      </c>
    </row>
    <row r="37" spans="1:2">
      <c r="A37" s="7" t="s">
        <v>407</v>
      </c>
      <c r="B37">
        <v>86562</v>
      </c>
    </row>
    <row r="38" spans="1:2">
      <c r="A38" s="15">
        <v>43132</v>
      </c>
      <c r="B38">
        <v>2878</v>
      </c>
    </row>
    <row r="39" spans="1:2">
      <c r="A39" s="15">
        <v>43133</v>
      </c>
      <c r="B39">
        <v>3425</v>
      </c>
    </row>
    <row r="40" spans="1:2">
      <c r="A40" s="15">
        <v>43134</v>
      </c>
      <c r="B40">
        <v>2865</v>
      </c>
    </row>
    <row r="41" spans="1:2">
      <c r="A41" s="15">
        <v>43135</v>
      </c>
      <c r="B41">
        <v>2393</v>
      </c>
    </row>
    <row r="42" spans="1:2">
      <c r="A42" s="15">
        <v>43136</v>
      </c>
      <c r="B42">
        <v>3149</v>
      </c>
    </row>
    <row r="43" spans="1:2">
      <c r="A43" s="15">
        <v>43137</v>
      </c>
      <c r="B43">
        <v>3277</v>
      </c>
    </row>
    <row r="44" spans="1:2">
      <c r="A44" s="15">
        <v>43138</v>
      </c>
      <c r="B44">
        <v>2713</v>
      </c>
    </row>
    <row r="45" spans="1:2">
      <c r="A45" s="15">
        <v>43139</v>
      </c>
      <c r="B45">
        <v>3381</v>
      </c>
    </row>
    <row r="46" spans="1:2">
      <c r="A46" s="15">
        <v>43140</v>
      </c>
      <c r="B46">
        <v>2545</v>
      </c>
    </row>
    <row r="47" spans="1:2">
      <c r="A47" s="15">
        <v>43141</v>
      </c>
      <c r="B47">
        <v>4473</v>
      </c>
    </row>
    <row r="48" spans="1:2">
      <c r="A48" s="15">
        <v>43142</v>
      </c>
      <c r="B48">
        <v>3332</v>
      </c>
    </row>
    <row r="49" spans="1:2">
      <c r="A49" s="15">
        <v>43143</v>
      </c>
      <c r="B49">
        <v>2283</v>
      </c>
    </row>
    <row r="50" spans="1:2">
      <c r="A50" s="15">
        <v>43144</v>
      </c>
      <c r="B50">
        <v>2696</v>
      </c>
    </row>
    <row r="51" spans="1:2">
      <c r="A51" s="15">
        <v>43145</v>
      </c>
      <c r="B51">
        <v>4061</v>
      </c>
    </row>
    <row r="52" spans="1:2">
      <c r="A52" s="15">
        <v>43146</v>
      </c>
      <c r="B52">
        <v>2382</v>
      </c>
    </row>
    <row r="53" spans="1:2">
      <c r="A53" s="15">
        <v>43147</v>
      </c>
      <c r="B53">
        <v>4336</v>
      </c>
    </row>
    <row r="54" spans="1:2">
      <c r="A54" s="15">
        <v>43148</v>
      </c>
      <c r="B54">
        <v>2602</v>
      </c>
    </row>
    <row r="55" spans="1:2">
      <c r="A55" s="15">
        <v>43149</v>
      </c>
      <c r="B55">
        <v>3094</v>
      </c>
    </row>
    <row r="56" spans="1:2">
      <c r="A56" s="15">
        <v>43150</v>
      </c>
      <c r="B56">
        <v>3510</v>
      </c>
    </row>
    <row r="57" spans="1:2">
      <c r="A57" s="15">
        <v>43151</v>
      </c>
      <c r="B57">
        <v>2134</v>
      </c>
    </row>
    <row r="58" spans="1:2">
      <c r="A58" s="15">
        <v>43152</v>
      </c>
      <c r="B58">
        <v>2661</v>
      </c>
    </row>
    <row r="59" spans="1:2">
      <c r="A59" s="15">
        <v>43153</v>
      </c>
      <c r="B59">
        <v>2901</v>
      </c>
    </row>
    <row r="60" spans="1:2">
      <c r="A60" s="15">
        <v>43154</v>
      </c>
      <c r="B60">
        <v>3784</v>
      </c>
    </row>
    <row r="61" spans="1:2">
      <c r="A61" s="15">
        <v>43155</v>
      </c>
      <c r="B61">
        <v>3135</v>
      </c>
    </row>
    <row r="62" spans="1:2">
      <c r="A62" s="15">
        <v>43156</v>
      </c>
      <c r="B62">
        <v>2802</v>
      </c>
    </row>
    <row r="63" spans="1:2">
      <c r="A63" s="15">
        <v>43157</v>
      </c>
      <c r="B63">
        <v>3486</v>
      </c>
    </row>
    <row r="64" spans="1:2">
      <c r="A64" s="15">
        <v>43158</v>
      </c>
      <c r="B64">
        <v>3422</v>
      </c>
    </row>
    <row r="65" spans="1:2">
      <c r="A65" s="15">
        <v>43159</v>
      </c>
      <c r="B65">
        <v>2842</v>
      </c>
    </row>
    <row r="66" spans="1:2">
      <c r="A66" s="7" t="s">
        <v>408</v>
      </c>
      <c r="B66">
        <v>101092</v>
      </c>
    </row>
    <row r="67" spans="1:2">
      <c r="A67" s="15">
        <v>43160</v>
      </c>
      <c r="B67">
        <v>3846</v>
      </c>
    </row>
    <row r="68" spans="1:2">
      <c r="A68" s="15">
        <v>43161</v>
      </c>
      <c r="B68">
        <v>3131</v>
      </c>
    </row>
    <row r="69" spans="1:2">
      <c r="A69" s="15">
        <v>43162</v>
      </c>
      <c r="B69">
        <v>3825</v>
      </c>
    </row>
    <row r="70" spans="1:2">
      <c r="A70" s="15">
        <v>43163</v>
      </c>
      <c r="B70">
        <v>4362</v>
      </c>
    </row>
    <row r="71" spans="1:2">
      <c r="A71" s="15">
        <v>43164</v>
      </c>
      <c r="B71">
        <v>2934</v>
      </c>
    </row>
    <row r="72" spans="1:2">
      <c r="A72" s="15">
        <v>43165</v>
      </c>
      <c r="B72">
        <v>4354</v>
      </c>
    </row>
    <row r="73" spans="1:2">
      <c r="A73" s="15">
        <v>43166</v>
      </c>
      <c r="B73">
        <v>2102</v>
      </c>
    </row>
    <row r="74" spans="1:2">
      <c r="A74" s="15">
        <v>43167</v>
      </c>
      <c r="B74">
        <v>3261</v>
      </c>
    </row>
    <row r="75" spans="1:2">
      <c r="A75" s="15">
        <v>43168</v>
      </c>
      <c r="B75">
        <v>2577</v>
      </c>
    </row>
    <row r="76" spans="1:2">
      <c r="A76" s="15">
        <v>43169</v>
      </c>
      <c r="B76">
        <v>3131</v>
      </c>
    </row>
    <row r="77" spans="1:2">
      <c r="A77" s="15">
        <v>43170</v>
      </c>
      <c r="B77">
        <v>2683</v>
      </c>
    </row>
    <row r="78" spans="1:2">
      <c r="A78" s="15">
        <v>43171</v>
      </c>
      <c r="B78">
        <v>2613</v>
      </c>
    </row>
    <row r="79" spans="1:2">
      <c r="A79" s="15">
        <v>43172</v>
      </c>
      <c r="B79">
        <v>4076</v>
      </c>
    </row>
    <row r="80" spans="1:2">
      <c r="A80" s="15">
        <v>43173</v>
      </c>
      <c r="B80">
        <v>4400</v>
      </c>
    </row>
    <row r="81" spans="1:2">
      <c r="A81" s="15">
        <v>43174</v>
      </c>
      <c r="B81">
        <v>2466</v>
      </c>
    </row>
    <row r="82" spans="1:2">
      <c r="A82" s="15">
        <v>43175</v>
      </c>
      <c r="B82">
        <v>2137</v>
      </c>
    </row>
    <row r="83" spans="1:2">
      <c r="A83" s="15">
        <v>43176</v>
      </c>
      <c r="B83">
        <v>4216</v>
      </c>
    </row>
    <row r="84" spans="1:2">
      <c r="A84" s="15">
        <v>43177</v>
      </c>
      <c r="B84">
        <v>3165</v>
      </c>
    </row>
    <row r="85" spans="1:2">
      <c r="A85" s="15">
        <v>43178</v>
      </c>
      <c r="B85">
        <v>3263</v>
      </c>
    </row>
    <row r="86" spans="1:2">
      <c r="A86" s="15">
        <v>43179</v>
      </c>
      <c r="B86">
        <v>2946</v>
      </c>
    </row>
    <row r="87" spans="1:2">
      <c r="A87" s="15">
        <v>43180</v>
      </c>
      <c r="B87">
        <v>2989</v>
      </c>
    </row>
    <row r="88" spans="1:2">
      <c r="A88" s="15">
        <v>43181</v>
      </c>
      <c r="B88">
        <v>3463</v>
      </c>
    </row>
    <row r="89" spans="1:2">
      <c r="A89" s="15">
        <v>43182</v>
      </c>
      <c r="B89">
        <v>2677</v>
      </c>
    </row>
    <row r="90" spans="1:2">
      <c r="A90" s="15">
        <v>43183</v>
      </c>
      <c r="B90">
        <v>2966</v>
      </c>
    </row>
    <row r="91" spans="1:2">
      <c r="A91" s="15">
        <v>43184</v>
      </c>
      <c r="B91">
        <v>2106</v>
      </c>
    </row>
    <row r="92" spans="1:2">
      <c r="A92" s="15">
        <v>43185</v>
      </c>
      <c r="B92">
        <v>3664</v>
      </c>
    </row>
    <row r="93" spans="1:2">
      <c r="A93" s="15">
        <v>43186</v>
      </c>
      <c r="B93">
        <v>3069</v>
      </c>
    </row>
    <row r="94" spans="1:2">
      <c r="A94" s="15">
        <v>43187</v>
      </c>
      <c r="B94">
        <v>3755</v>
      </c>
    </row>
    <row r="95" spans="1:2">
      <c r="A95" s="15">
        <v>43188</v>
      </c>
      <c r="B95">
        <v>3215</v>
      </c>
    </row>
    <row r="96" spans="1:2">
      <c r="A96" s="15">
        <v>43189</v>
      </c>
      <c r="B96">
        <v>3685</v>
      </c>
    </row>
    <row r="97" spans="1:2">
      <c r="A97" s="15">
        <v>43190</v>
      </c>
      <c r="B97">
        <v>4015</v>
      </c>
    </row>
    <row r="98" spans="1:2">
      <c r="A98" s="6" t="s">
        <v>428</v>
      </c>
      <c r="B98">
        <v>283414</v>
      </c>
    </row>
    <row r="99" spans="1:2">
      <c r="A99" s="7" t="s">
        <v>409</v>
      </c>
      <c r="B99">
        <v>91173</v>
      </c>
    </row>
    <row r="100" spans="1:2">
      <c r="A100" s="15">
        <v>43191</v>
      </c>
      <c r="B100">
        <v>2517</v>
      </c>
    </row>
    <row r="101" spans="1:2">
      <c r="A101" s="15">
        <v>43192</v>
      </c>
      <c r="B101">
        <v>2598</v>
      </c>
    </row>
    <row r="102" spans="1:2">
      <c r="A102" s="15">
        <v>43193</v>
      </c>
      <c r="B102">
        <v>3513</v>
      </c>
    </row>
    <row r="103" spans="1:2">
      <c r="A103" s="15">
        <v>43194</v>
      </c>
      <c r="B103">
        <v>2247</v>
      </c>
    </row>
    <row r="104" spans="1:2">
      <c r="A104" s="15">
        <v>43195</v>
      </c>
      <c r="B104">
        <v>2878</v>
      </c>
    </row>
    <row r="105" spans="1:2">
      <c r="A105" s="15">
        <v>43196</v>
      </c>
      <c r="B105">
        <v>3425</v>
      </c>
    </row>
    <row r="106" spans="1:2">
      <c r="A106" s="15">
        <v>43197</v>
      </c>
      <c r="B106">
        <v>2865</v>
      </c>
    </row>
    <row r="107" spans="1:2">
      <c r="A107" s="15">
        <v>43198</v>
      </c>
      <c r="B107">
        <v>2393</v>
      </c>
    </row>
    <row r="108" spans="1:2">
      <c r="A108" s="15">
        <v>43199</v>
      </c>
      <c r="B108">
        <v>3149</v>
      </c>
    </row>
    <row r="109" spans="1:2">
      <c r="A109" s="15">
        <v>43200</v>
      </c>
      <c r="B109">
        <v>3277</v>
      </c>
    </row>
    <row r="110" spans="1:2">
      <c r="A110" s="15">
        <v>43201</v>
      </c>
      <c r="B110">
        <v>2713</v>
      </c>
    </row>
    <row r="111" spans="1:2">
      <c r="A111" s="15">
        <v>43202</v>
      </c>
      <c r="B111">
        <v>3381</v>
      </c>
    </row>
    <row r="112" spans="1:2">
      <c r="A112" s="15">
        <v>43203</v>
      </c>
      <c r="B112">
        <v>2545</v>
      </c>
    </row>
    <row r="113" spans="1:2">
      <c r="A113" s="15">
        <v>43204</v>
      </c>
      <c r="B113">
        <v>4473</v>
      </c>
    </row>
    <row r="114" spans="1:2">
      <c r="A114" s="15">
        <v>43205</v>
      </c>
      <c r="B114">
        <v>3332</v>
      </c>
    </row>
    <row r="115" spans="1:2">
      <c r="A115" s="15">
        <v>43206</v>
      </c>
      <c r="B115">
        <v>2283</v>
      </c>
    </row>
    <row r="116" spans="1:2">
      <c r="A116" s="15">
        <v>43207</v>
      </c>
      <c r="B116">
        <v>2696</v>
      </c>
    </row>
    <row r="117" spans="1:2">
      <c r="A117" s="15">
        <v>43208</v>
      </c>
      <c r="B117">
        <v>4061</v>
      </c>
    </row>
    <row r="118" spans="1:2">
      <c r="A118" s="15">
        <v>43209</v>
      </c>
      <c r="B118">
        <v>2382</v>
      </c>
    </row>
    <row r="119" spans="1:2">
      <c r="A119" s="15">
        <v>43210</v>
      </c>
      <c r="B119">
        <v>4336</v>
      </c>
    </row>
    <row r="120" spans="1:2">
      <c r="A120" s="15">
        <v>43211</v>
      </c>
      <c r="B120">
        <v>2602</v>
      </c>
    </row>
    <row r="121" spans="1:2">
      <c r="A121" s="15">
        <v>43212</v>
      </c>
      <c r="B121">
        <v>3094</v>
      </c>
    </row>
    <row r="122" spans="1:2">
      <c r="A122" s="15">
        <v>43213</v>
      </c>
      <c r="B122">
        <v>3510</v>
      </c>
    </row>
    <row r="123" spans="1:2">
      <c r="A123" s="15">
        <v>43214</v>
      </c>
      <c r="B123">
        <v>2134</v>
      </c>
    </row>
    <row r="124" spans="1:2">
      <c r="A124" s="15">
        <v>43215</v>
      </c>
      <c r="B124">
        <v>2661</v>
      </c>
    </row>
    <row r="125" spans="1:2">
      <c r="A125" s="15">
        <v>43216</v>
      </c>
      <c r="B125">
        <v>2901</v>
      </c>
    </row>
    <row r="126" spans="1:2">
      <c r="A126" s="15">
        <v>43217</v>
      </c>
      <c r="B126">
        <v>3784</v>
      </c>
    </row>
    <row r="127" spans="1:2">
      <c r="A127" s="15">
        <v>43218</v>
      </c>
      <c r="B127">
        <v>3135</v>
      </c>
    </row>
    <row r="128" spans="1:2">
      <c r="A128" s="15">
        <v>43219</v>
      </c>
      <c r="B128">
        <v>2802</v>
      </c>
    </row>
    <row r="129" spans="1:2">
      <c r="A129" s="15">
        <v>43220</v>
      </c>
      <c r="B129">
        <v>3486</v>
      </c>
    </row>
    <row r="130" spans="1:2">
      <c r="A130" s="7" t="s">
        <v>410</v>
      </c>
      <c r="B130">
        <v>99656</v>
      </c>
    </row>
    <row r="131" spans="1:2">
      <c r="A131" s="15">
        <v>43221</v>
      </c>
      <c r="B131">
        <v>3422</v>
      </c>
    </row>
    <row r="132" spans="1:2">
      <c r="A132" s="15">
        <v>43222</v>
      </c>
      <c r="B132">
        <v>2842</v>
      </c>
    </row>
    <row r="133" spans="1:2">
      <c r="A133" s="15">
        <v>43223</v>
      </c>
      <c r="B133">
        <v>3846</v>
      </c>
    </row>
    <row r="134" spans="1:2">
      <c r="A134" s="15">
        <v>43224</v>
      </c>
      <c r="B134">
        <v>3131</v>
      </c>
    </row>
    <row r="135" spans="1:2">
      <c r="A135" s="15">
        <v>43225</v>
      </c>
      <c r="B135">
        <v>3825</v>
      </c>
    </row>
    <row r="136" spans="1:2">
      <c r="A136" s="15">
        <v>43226</v>
      </c>
      <c r="B136">
        <v>4362</v>
      </c>
    </row>
    <row r="137" spans="1:2">
      <c r="A137" s="15">
        <v>43227</v>
      </c>
      <c r="B137">
        <v>2934</v>
      </c>
    </row>
    <row r="138" spans="1:2">
      <c r="A138" s="15">
        <v>43228</v>
      </c>
      <c r="B138">
        <v>4354</v>
      </c>
    </row>
    <row r="139" spans="1:2">
      <c r="A139" s="15">
        <v>43229</v>
      </c>
      <c r="B139">
        <v>2102</v>
      </c>
    </row>
    <row r="140" spans="1:2">
      <c r="A140" s="15">
        <v>43230</v>
      </c>
      <c r="B140">
        <v>3261</v>
      </c>
    </row>
    <row r="141" spans="1:2">
      <c r="A141" s="15">
        <v>43231</v>
      </c>
      <c r="B141">
        <v>2577</v>
      </c>
    </row>
    <row r="142" spans="1:2">
      <c r="A142" s="15">
        <v>43232</v>
      </c>
      <c r="B142">
        <v>3131</v>
      </c>
    </row>
    <row r="143" spans="1:2">
      <c r="A143" s="15">
        <v>43233</v>
      </c>
      <c r="B143">
        <v>2683</v>
      </c>
    </row>
    <row r="144" spans="1:2">
      <c r="A144" s="15">
        <v>43234</v>
      </c>
      <c r="B144">
        <v>2613</v>
      </c>
    </row>
    <row r="145" spans="1:2">
      <c r="A145" s="15">
        <v>43235</v>
      </c>
      <c r="B145">
        <v>4076</v>
      </c>
    </row>
    <row r="146" spans="1:2">
      <c r="A146" s="15">
        <v>43236</v>
      </c>
      <c r="B146">
        <v>4400</v>
      </c>
    </row>
    <row r="147" spans="1:2">
      <c r="A147" s="15">
        <v>43237</v>
      </c>
      <c r="B147">
        <v>2466</v>
      </c>
    </row>
    <row r="148" spans="1:2">
      <c r="A148" s="15">
        <v>43238</v>
      </c>
      <c r="B148">
        <v>2137</v>
      </c>
    </row>
    <row r="149" spans="1:2">
      <c r="A149" s="15">
        <v>43239</v>
      </c>
      <c r="B149">
        <v>4216</v>
      </c>
    </row>
    <row r="150" spans="1:2">
      <c r="A150" s="15">
        <v>43240</v>
      </c>
      <c r="B150">
        <v>3165</v>
      </c>
    </row>
    <row r="151" spans="1:2">
      <c r="A151" s="15">
        <v>43241</v>
      </c>
      <c r="B151">
        <v>3263</v>
      </c>
    </row>
    <row r="152" spans="1:2">
      <c r="A152" s="15">
        <v>43242</v>
      </c>
      <c r="B152">
        <v>2946</v>
      </c>
    </row>
    <row r="153" spans="1:2">
      <c r="A153" s="15">
        <v>43243</v>
      </c>
      <c r="B153">
        <v>2989</v>
      </c>
    </row>
    <row r="154" spans="1:2">
      <c r="A154" s="15">
        <v>43244</v>
      </c>
      <c r="B154">
        <v>3463</v>
      </c>
    </row>
    <row r="155" spans="1:2">
      <c r="A155" s="15">
        <v>43245</v>
      </c>
      <c r="B155">
        <v>2677</v>
      </c>
    </row>
    <row r="156" spans="1:2">
      <c r="A156" s="15">
        <v>43246</v>
      </c>
      <c r="B156">
        <v>2966</v>
      </c>
    </row>
    <row r="157" spans="1:2">
      <c r="A157" s="15">
        <v>43247</v>
      </c>
      <c r="B157">
        <v>2106</v>
      </c>
    </row>
    <row r="158" spans="1:2">
      <c r="A158" s="15">
        <v>43248</v>
      </c>
      <c r="B158">
        <v>3664</v>
      </c>
    </row>
    <row r="159" spans="1:2">
      <c r="A159" s="15">
        <v>43249</v>
      </c>
      <c r="B159">
        <v>3069</v>
      </c>
    </row>
    <row r="160" spans="1:2">
      <c r="A160" s="15">
        <v>43250</v>
      </c>
      <c r="B160">
        <v>3755</v>
      </c>
    </row>
    <row r="161" spans="1:2">
      <c r="A161" s="15">
        <v>43251</v>
      </c>
      <c r="B161">
        <v>3215</v>
      </c>
    </row>
    <row r="162" spans="1:2">
      <c r="A162" s="7" t="s">
        <v>411</v>
      </c>
      <c r="B162">
        <v>92585</v>
      </c>
    </row>
    <row r="163" spans="1:2">
      <c r="A163" s="15">
        <v>43252</v>
      </c>
      <c r="B163">
        <v>3685</v>
      </c>
    </row>
    <row r="164" spans="1:2">
      <c r="A164" s="15">
        <v>43253</v>
      </c>
      <c r="B164">
        <v>4015</v>
      </c>
    </row>
    <row r="165" spans="1:2">
      <c r="A165" s="15">
        <v>43254</v>
      </c>
      <c r="B165">
        <v>2517</v>
      </c>
    </row>
    <row r="166" spans="1:2">
      <c r="A166" s="15">
        <v>43255</v>
      </c>
      <c r="B166">
        <v>2598</v>
      </c>
    </row>
    <row r="167" spans="1:2">
      <c r="A167" s="15">
        <v>43256</v>
      </c>
      <c r="B167">
        <v>3513</v>
      </c>
    </row>
    <row r="168" spans="1:2">
      <c r="A168" s="15">
        <v>43257</v>
      </c>
      <c r="B168">
        <v>2247</v>
      </c>
    </row>
    <row r="169" spans="1:2">
      <c r="A169" s="15">
        <v>43258</v>
      </c>
      <c r="B169">
        <v>2878</v>
      </c>
    </row>
    <row r="170" spans="1:2">
      <c r="A170" s="15">
        <v>43259</v>
      </c>
      <c r="B170">
        <v>3425</v>
      </c>
    </row>
    <row r="171" spans="1:2">
      <c r="A171" s="15">
        <v>43260</v>
      </c>
      <c r="B171">
        <v>2865</v>
      </c>
    </row>
    <row r="172" spans="1:2">
      <c r="A172" s="15">
        <v>43261</v>
      </c>
      <c r="B172">
        <v>2393</v>
      </c>
    </row>
    <row r="173" spans="1:2">
      <c r="A173" s="15">
        <v>43262</v>
      </c>
      <c r="B173">
        <v>3149</v>
      </c>
    </row>
    <row r="174" spans="1:2">
      <c r="A174" s="15">
        <v>43263</v>
      </c>
      <c r="B174">
        <v>3277</v>
      </c>
    </row>
    <row r="175" spans="1:2">
      <c r="A175" s="15">
        <v>43264</v>
      </c>
      <c r="B175">
        <v>2713</v>
      </c>
    </row>
    <row r="176" spans="1:2">
      <c r="A176" s="15">
        <v>43265</v>
      </c>
      <c r="B176">
        <v>3381</v>
      </c>
    </row>
    <row r="177" spans="1:2">
      <c r="A177" s="15">
        <v>43266</v>
      </c>
      <c r="B177">
        <v>2545</v>
      </c>
    </row>
    <row r="178" spans="1:2">
      <c r="A178" s="15">
        <v>43267</v>
      </c>
      <c r="B178">
        <v>4473</v>
      </c>
    </row>
    <row r="179" spans="1:2">
      <c r="A179" s="15">
        <v>43268</v>
      </c>
      <c r="B179">
        <v>3332</v>
      </c>
    </row>
    <row r="180" spans="1:2">
      <c r="A180" s="15">
        <v>43269</v>
      </c>
      <c r="B180">
        <v>2283</v>
      </c>
    </row>
    <row r="181" spans="1:2">
      <c r="A181" s="15">
        <v>43270</v>
      </c>
      <c r="B181">
        <v>2696</v>
      </c>
    </row>
    <row r="182" spans="1:2">
      <c r="A182" s="15">
        <v>43271</v>
      </c>
      <c r="B182">
        <v>4061</v>
      </c>
    </row>
    <row r="183" spans="1:2">
      <c r="A183" s="15">
        <v>43272</v>
      </c>
      <c r="B183">
        <v>2382</v>
      </c>
    </row>
    <row r="184" spans="1:2">
      <c r="A184" s="15">
        <v>43273</v>
      </c>
      <c r="B184">
        <v>4336</v>
      </c>
    </row>
    <row r="185" spans="1:2">
      <c r="A185" s="15">
        <v>43274</v>
      </c>
      <c r="B185">
        <v>2602</v>
      </c>
    </row>
    <row r="186" spans="1:2">
      <c r="A186" s="15">
        <v>43275</v>
      </c>
      <c r="B186">
        <v>3094</v>
      </c>
    </row>
    <row r="187" spans="1:2">
      <c r="A187" s="15">
        <v>43276</v>
      </c>
      <c r="B187">
        <v>3510</v>
      </c>
    </row>
    <row r="188" spans="1:2">
      <c r="A188" s="15">
        <v>43277</v>
      </c>
      <c r="B188">
        <v>2134</v>
      </c>
    </row>
    <row r="189" spans="1:2">
      <c r="A189" s="15">
        <v>43278</v>
      </c>
      <c r="B189">
        <v>2661</v>
      </c>
    </row>
    <row r="190" spans="1:2">
      <c r="A190" s="15">
        <v>43279</v>
      </c>
      <c r="B190">
        <v>2901</v>
      </c>
    </row>
    <row r="191" spans="1:2">
      <c r="A191" s="15">
        <v>43280</v>
      </c>
      <c r="B191">
        <v>3784</v>
      </c>
    </row>
    <row r="192" spans="1:2">
      <c r="A192" s="15">
        <v>43281</v>
      </c>
      <c r="B192">
        <v>3135</v>
      </c>
    </row>
    <row r="193" spans="1:2">
      <c r="A193" s="6" t="s">
        <v>429</v>
      </c>
      <c r="B193">
        <v>290770</v>
      </c>
    </row>
    <row r="194" spans="1:2">
      <c r="A194" s="7" t="s">
        <v>412</v>
      </c>
      <c r="B194">
        <v>98974</v>
      </c>
    </row>
    <row r="195" spans="1:2">
      <c r="A195" s="15">
        <v>43282</v>
      </c>
      <c r="B195">
        <v>2802</v>
      </c>
    </row>
    <row r="196" spans="1:2">
      <c r="A196" s="15">
        <v>43283</v>
      </c>
      <c r="B196">
        <v>3486</v>
      </c>
    </row>
    <row r="197" spans="1:2">
      <c r="A197" s="15">
        <v>43284</v>
      </c>
      <c r="B197">
        <v>3422</v>
      </c>
    </row>
    <row r="198" spans="1:2">
      <c r="A198" s="15">
        <v>43285</v>
      </c>
      <c r="B198">
        <v>2842</v>
      </c>
    </row>
    <row r="199" spans="1:2">
      <c r="A199" s="15">
        <v>43286</v>
      </c>
      <c r="B199">
        <v>3846</v>
      </c>
    </row>
    <row r="200" spans="1:2">
      <c r="A200" s="15">
        <v>43287</v>
      </c>
      <c r="B200">
        <v>3131</v>
      </c>
    </row>
    <row r="201" spans="1:2">
      <c r="A201" s="15">
        <v>43288</v>
      </c>
      <c r="B201">
        <v>3825</v>
      </c>
    </row>
    <row r="202" spans="1:2">
      <c r="A202" s="15">
        <v>43289</v>
      </c>
      <c r="B202">
        <v>4362</v>
      </c>
    </row>
    <row r="203" spans="1:2">
      <c r="A203" s="15">
        <v>43290</v>
      </c>
      <c r="B203">
        <v>2934</v>
      </c>
    </row>
    <row r="204" spans="1:2">
      <c r="A204" s="15">
        <v>43291</v>
      </c>
      <c r="B204">
        <v>4354</v>
      </c>
    </row>
    <row r="205" spans="1:2">
      <c r="A205" s="15">
        <v>43292</v>
      </c>
      <c r="B205">
        <v>2102</v>
      </c>
    </row>
    <row r="206" spans="1:2">
      <c r="A206" s="15">
        <v>43293</v>
      </c>
      <c r="B206">
        <v>3261</v>
      </c>
    </row>
    <row r="207" spans="1:2">
      <c r="A207" s="15">
        <v>43294</v>
      </c>
      <c r="B207">
        <v>2577</v>
      </c>
    </row>
    <row r="208" spans="1:2">
      <c r="A208" s="15">
        <v>43295</v>
      </c>
      <c r="B208">
        <v>3131</v>
      </c>
    </row>
    <row r="209" spans="1:2">
      <c r="A209" s="15">
        <v>43296</v>
      </c>
      <c r="B209">
        <v>2683</v>
      </c>
    </row>
    <row r="210" spans="1:2">
      <c r="A210" s="15">
        <v>43297</v>
      </c>
      <c r="B210">
        <v>2613</v>
      </c>
    </row>
    <row r="211" spans="1:2">
      <c r="A211" s="15">
        <v>43298</v>
      </c>
      <c r="B211">
        <v>4076</v>
      </c>
    </row>
    <row r="212" spans="1:2">
      <c r="A212" s="15">
        <v>43299</v>
      </c>
      <c r="B212">
        <v>4400</v>
      </c>
    </row>
    <row r="213" spans="1:2">
      <c r="A213" s="15">
        <v>43300</v>
      </c>
      <c r="B213">
        <v>2466</v>
      </c>
    </row>
    <row r="214" spans="1:2">
      <c r="A214" s="15">
        <v>43301</v>
      </c>
      <c r="B214">
        <v>2137</v>
      </c>
    </row>
    <row r="215" spans="1:2">
      <c r="A215" s="15">
        <v>43302</v>
      </c>
      <c r="B215">
        <v>4216</v>
      </c>
    </row>
    <row r="216" spans="1:2">
      <c r="A216" s="15">
        <v>43303</v>
      </c>
      <c r="B216">
        <v>3165</v>
      </c>
    </row>
    <row r="217" spans="1:2">
      <c r="A217" s="15">
        <v>43304</v>
      </c>
      <c r="B217">
        <v>3263</v>
      </c>
    </row>
    <row r="218" spans="1:2">
      <c r="A218" s="15">
        <v>43305</v>
      </c>
      <c r="B218">
        <v>2946</v>
      </c>
    </row>
    <row r="219" spans="1:2">
      <c r="A219" s="15">
        <v>43306</v>
      </c>
      <c r="B219">
        <v>2989</v>
      </c>
    </row>
    <row r="220" spans="1:2">
      <c r="A220" s="15">
        <v>43307</v>
      </c>
      <c r="B220">
        <v>3463</v>
      </c>
    </row>
    <row r="221" spans="1:2">
      <c r="A221" s="15">
        <v>43308</v>
      </c>
      <c r="B221">
        <v>2677</v>
      </c>
    </row>
    <row r="222" spans="1:2">
      <c r="A222" s="15">
        <v>43309</v>
      </c>
      <c r="B222">
        <v>2966</v>
      </c>
    </row>
    <row r="223" spans="1:2">
      <c r="A223" s="15">
        <v>43310</v>
      </c>
      <c r="B223">
        <v>2106</v>
      </c>
    </row>
    <row r="224" spans="1:2">
      <c r="A224" s="15">
        <v>43311</v>
      </c>
      <c r="B224">
        <v>3664</v>
      </c>
    </row>
    <row r="225" spans="1:2">
      <c r="A225" s="15">
        <v>43312</v>
      </c>
      <c r="B225">
        <v>3069</v>
      </c>
    </row>
    <row r="226" spans="1:2">
      <c r="A226" s="7" t="s">
        <v>413</v>
      </c>
      <c r="B226">
        <v>96420</v>
      </c>
    </row>
    <row r="227" spans="1:2">
      <c r="A227" s="15">
        <v>43313</v>
      </c>
      <c r="B227">
        <v>3755</v>
      </c>
    </row>
    <row r="228" spans="1:2">
      <c r="A228" s="15">
        <v>43314</v>
      </c>
      <c r="B228">
        <v>3215</v>
      </c>
    </row>
    <row r="229" spans="1:2">
      <c r="A229" s="15">
        <v>43315</v>
      </c>
      <c r="B229">
        <v>3685</v>
      </c>
    </row>
    <row r="230" spans="1:2">
      <c r="A230" s="15">
        <v>43316</v>
      </c>
      <c r="B230">
        <v>4015</v>
      </c>
    </row>
    <row r="231" spans="1:2">
      <c r="A231" s="15">
        <v>43317</v>
      </c>
      <c r="B231">
        <v>2517</v>
      </c>
    </row>
    <row r="232" spans="1:2">
      <c r="A232" s="15">
        <v>43318</v>
      </c>
      <c r="B232">
        <v>2598</v>
      </c>
    </row>
    <row r="233" spans="1:2">
      <c r="A233" s="15">
        <v>43319</v>
      </c>
      <c r="B233">
        <v>3513</v>
      </c>
    </row>
    <row r="234" spans="1:2">
      <c r="A234" s="15">
        <v>43320</v>
      </c>
      <c r="B234">
        <v>2247</v>
      </c>
    </row>
    <row r="235" spans="1:2">
      <c r="A235" s="15">
        <v>43321</v>
      </c>
      <c r="B235">
        <v>2878</v>
      </c>
    </row>
    <row r="236" spans="1:2">
      <c r="A236" s="15">
        <v>43322</v>
      </c>
      <c r="B236">
        <v>3425</v>
      </c>
    </row>
    <row r="237" spans="1:2">
      <c r="A237" s="15">
        <v>43323</v>
      </c>
      <c r="B237">
        <v>2865</v>
      </c>
    </row>
    <row r="238" spans="1:2">
      <c r="A238" s="15">
        <v>43324</v>
      </c>
      <c r="B238">
        <v>2393</v>
      </c>
    </row>
    <row r="239" spans="1:2">
      <c r="A239" s="15">
        <v>43325</v>
      </c>
      <c r="B239">
        <v>3149</v>
      </c>
    </row>
    <row r="240" spans="1:2">
      <c r="A240" s="15">
        <v>43326</v>
      </c>
      <c r="B240">
        <v>3277</v>
      </c>
    </row>
    <row r="241" spans="1:2">
      <c r="A241" s="15">
        <v>43327</v>
      </c>
      <c r="B241">
        <v>2713</v>
      </c>
    </row>
    <row r="242" spans="1:2">
      <c r="A242" s="15">
        <v>43328</v>
      </c>
      <c r="B242">
        <v>3381</v>
      </c>
    </row>
    <row r="243" spans="1:2">
      <c r="A243" s="15">
        <v>43329</v>
      </c>
      <c r="B243">
        <v>2545</v>
      </c>
    </row>
    <row r="244" spans="1:2">
      <c r="A244" s="15">
        <v>43330</v>
      </c>
      <c r="B244">
        <v>4473</v>
      </c>
    </row>
    <row r="245" spans="1:2">
      <c r="A245" s="15">
        <v>43331</v>
      </c>
      <c r="B245">
        <v>3332</v>
      </c>
    </row>
    <row r="246" spans="1:2">
      <c r="A246" s="15">
        <v>43332</v>
      </c>
      <c r="B246">
        <v>2283</v>
      </c>
    </row>
    <row r="247" spans="1:2">
      <c r="A247" s="15">
        <v>43333</v>
      </c>
      <c r="B247">
        <v>2696</v>
      </c>
    </row>
    <row r="248" spans="1:2">
      <c r="A248" s="15">
        <v>43334</v>
      </c>
      <c r="B248">
        <v>4061</v>
      </c>
    </row>
    <row r="249" spans="1:2">
      <c r="A249" s="15">
        <v>43335</v>
      </c>
      <c r="B249">
        <v>2382</v>
      </c>
    </row>
    <row r="250" spans="1:2">
      <c r="A250" s="15">
        <v>43336</v>
      </c>
      <c r="B250">
        <v>4336</v>
      </c>
    </row>
    <row r="251" spans="1:2">
      <c r="A251" s="15">
        <v>43337</v>
      </c>
      <c r="B251">
        <v>2602</v>
      </c>
    </row>
    <row r="252" spans="1:2">
      <c r="A252" s="15">
        <v>43338</v>
      </c>
      <c r="B252">
        <v>3094</v>
      </c>
    </row>
    <row r="253" spans="1:2">
      <c r="A253" s="15">
        <v>43339</v>
      </c>
      <c r="B253">
        <v>3510</v>
      </c>
    </row>
    <row r="254" spans="1:2">
      <c r="A254" s="15">
        <v>43340</v>
      </c>
      <c r="B254">
        <v>2134</v>
      </c>
    </row>
    <row r="255" spans="1:2">
      <c r="A255" s="15">
        <v>43341</v>
      </c>
      <c r="B255">
        <v>2661</v>
      </c>
    </row>
    <row r="256" spans="1:2">
      <c r="A256" s="15">
        <v>43342</v>
      </c>
      <c r="B256">
        <v>2901</v>
      </c>
    </row>
    <row r="257" spans="1:2">
      <c r="A257" s="15">
        <v>43343</v>
      </c>
      <c r="B257">
        <v>3784</v>
      </c>
    </row>
    <row r="258" spans="1:2">
      <c r="A258" s="7" t="s">
        <v>414</v>
      </c>
      <c r="B258">
        <v>95376</v>
      </c>
    </row>
    <row r="259" spans="1:2">
      <c r="A259" s="15">
        <v>43344</v>
      </c>
      <c r="B259">
        <v>3135</v>
      </c>
    </row>
    <row r="260" spans="1:2">
      <c r="A260" s="15">
        <v>43345</v>
      </c>
      <c r="B260">
        <v>2802</v>
      </c>
    </row>
    <row r="261" spans="1:2">
      <c r="A261" s="15">
        <v>43346</v>
      </c>
      <c r="B261">
        <v>3486</v>
      </c>
    </row>
    <row r="262" spans="1:2">
      <c r="A262" s="15">
        <v>43347</v>
      </c>
      <c r="B262">
        <v>3422</v>
      </c>
    </row>
    <row r="263" spans="1:2">
      <c r="A263" s="15">
        <v>43348</v>
      </c>
      <c r="B263">
        <v>2842</v>
      </c>
    </row>
    <row r="264" spans="1:2">
      <c r="A264" s="15">
        <v>43349</v>
      </c>
      <c r="B264">
        <v>3846</v>
      </c>
    </row>
    <row r="265" spans="1:2">
      <c r="A265" s="15">
        <v>43350</v>
      </c>
      <c r="B265">
        <v>3131</v>
      </c>
    </row>
    <row r="266" spans="1:2">
      <c r="A266" s="15">
        <v>43351</v>
      </c>
      <c r="B266">
        <v>3825</v>
      </c>
    </row>
    <row r="267" spans="1:2">
      <c r="A267" s="15">
        <v>43352</v>
      </c>
      <c r="B267">
        <v>4362</v>
      </c>
    </row>
    <row r="268" spans="1:2">
      <c r="A268" s="15">
        <v>43353</v>
      </c>
      <c r="B268">
        <v>2934</v>
      </c>
    </row>
    <row r="269" spans="1:2">
      <c r="A269" s="15">
        <v>43354</v>
      </c>
      <c r="B269">
        <v>4354</v>
      </c>
    </row>
    <row r="270" spans="1:2">
      <c r="A270" s="15">
        <v>43355</v>
      </c>
      <c r="B270">
        <v>2102</v>
      </c>
    </row>
    <row r="271" spans="1:2">
      <c r="A271" s="15">
        <v>43356</v>
      </c>
      <c r="B271">
        <v>3261</v>
      </c>
    </row>
    <row r="272" spans="1:2">
      <c r="A272" s="15">
        <v>43357</v>
      </c>
      <c r="B272">
        <v>2577</v>
      </c>
    </row>
    <row r="273" spans="1:2">
      <c r="A273" s="15">
        <v>43358</v>
      </c>
      <c r="B273">
        <v>3131</v>
      </c>
    </row>
    <row r="274" spans="1:2">
      <c r="A274" s="15">
        <v>43359</v>
      </c>
      <c r="B274">
        <v>2683</v>
      </c>
    </row>
    <row r="275" spans="1:2">
      <c r="A275" s="15">
        <v>43360</v>
      </c>
      <c r="B275">
        <v>2613</v>
      </c>
    </row>
    <row r="276" spans="1:2">
      <c r="A276" s="15">
        <v>43361</v>
      </c>
      <c r="B276">
        <v>4076</v>
      </c>
    </row>
    <row r="277" spans="1:2">
      <c r="A277" s="15">
        <v>43362</v>
      </c>
      <c r="B277">
        <v>4400</v>
      </c>
    </row>
    <row r="278" spans="1:2">
      <c r="A278" s="15">
        <v>43363</v>
      </c>
      <c r="B278">
        <v>2466</v>
      </c>
    </row>
    <row r="279" spans="1:2">
      <c r="A279" s="15">
        <v>43364</v>
      </c>
      <c r="B279">
        <v>2137</v>
      </c>
    </row>
    <row r="280" spans="1:2">
      <c r="A280" s="15">
        <v>43365</v>
      </c>
      <c r="B280">
        <v>4216</v>
      </c>
    </row>
    <row r="281" spans="1:2">
      <c r="A281" s="15">
        <v>43366</v>
      </c>
      <c r="B281">
        <v>3165</v>
      </c>
    </row>
    <row r="282" spans="1:2">
      <c r="A282" s="15">
        <v>43367</v>
      </c>
      <c r="B282">
        <v>3263</v>
      </c>
    </row>
    <row r="283" spans="1:2">
      <c r="A283" s="15">
        <v>43368</v>
      </c>
      <c r="B283">
        <v>2946</v>
      </c>
    </row>
    <row r="284" spans="1:2">
      <c r="A284" s="15">
        <v>43369</v>
      </c>
      <c r="B284">
        <v>2989</v>
      </c>
    </row>
    <row r="285" spans="1:2">
      <c r="A285" s="15">
        <v>43370</v>
      </c>
      <c r="B285">
        <v>3463</v>
      </c>
    </row>
    <row r="286" spans="1:2">
      <c r="A286" s="15">
        <v>43371</v>
      </c>
      <c r="B286">
        <v>2677</v>
      </c>
    </row>
    <row r="287" spans="1:2">
      <c r="A287" s="15">
        <v>43372</v>
      </c>
      <c r="B287">
        <v>2966</v>
      </c>
    </row>
    <row r="288" spans="1:2">
      <c r="A288" s="15">
        <v>43373</v>
      </c>
      <c r="B288">
        <v>2106</v>
      </c>
    </row>
    <row r="289" spans="1:2">
      <c r="A289" s="6" t="s">
        <v>430</v>
      </c>
      <c r="B289">
        <v>290202</v>
      </c>
    </row>
    <row r="290" spans="1:2">
      <c r="A290" s="7" t="s">
        <v>415</v>
      </c>
      <c r="B290">
        <v>96468</v>
      </c>
    </row>
    <row r="291" spans="1:2">
      <c r="A291" s="15">
        <v>43374</v>
      </c>
      <c r="B291">
        <v>3664</v>
      </c>
    </row>
    <row r="292" spans="1:2">
      <c r="A292" s="15">
        <v>43375</v>
      </c>
      <c r="B292">
        <v>3069</v>
      </c>
    </row>
    <row r="293" spans="1:2">
      <c r="A293" s="15">
        <v>43376</v>
      </c>
      <c r="B293">
        <v>3755</v>
      </c>
    </row>
    <row r="294" spans="1:2">
      <c r="A294" s="15">
        <v>43377</v>
      </c>
      <c r="B294">
        <v>3215</v>
      </c>
    </row>
    <row r="295" spans="1:2">
      <c r="A295" s="15">
        <v>43378</v>
      </c>
      <c r="B295">
        <v>3685</v>
      </c>
    </row>
    <row r="296" spans="1:2">
      <c r="A296" s="15">
        <v>43379</v>
      </c>
      <c r="B296">
        <v>4015</v>
      </c>
    </row>
    <row r="297" spans="1:2">
      <c r="A297" s="15">
        <v>43380</v>
      </c>
      <c r="B297">
        <v>2517</v>
      </c>
    </row>
    <row r="298" spans="1:2">
      <c r="A298" s="15">
        <v>43381</v>
      </c>
      <c r="B298">
        <v>2598</v>
      </c>
    </row>
    <row r="299" spans="1:2">
      <c r="A299" s="15">
        <v>43382</v>
      </c>
      <c r="B299">
        <v>3513</v>
      </c>
    </row>
    <row r="300" spans="1:2">
      <c r="A300" s="15">
        <v>43383</v>
      </c>
      <c r="B300">
        <v>2247</v>
      </c>
    </row>
    <row r="301" spans="1:2">
      <c r="A301" s="15">
        <v>43384</v>
      </c>
      <c r="B301">
        <v>2878</v>
      </c>
    </row>
    <row r="302" spans="1:2">
      <c r="A302" s="15">
        <v>43385</v>
      </c>
      <c r="B302">
        <v>3425</v>
      </c>
    </row>
    <row r="303" spans="1:2">
      <c r="A303" s="15">
        <v>43386</v>
      </c>
      <c r="B303">
        <v>2865</v>
      </c>
    </row>
    <row r="304" spans="1:2">
      <c r="A304" s="15">
        <v>43387</v>
      </c>
      <c r="B304">
        <v>2393</v>
      </c>
    </row>
    <row r="305" spans="1:2">
      <c r="A305" s="15">
        <v>43388</v>
      </c>
      <c r="B305">
        <v>3149</v>
      </c>
    </row>
    <row r="306" spans="1:2">
      <c r="A306" s="15">
        <v>43389</v>
      </c>
      <c r="B306">
        <v>3277</v>
      </c>
    </row>
    <row r="307" spans="1:2">
      <c r="A307" s="15">
        <v>43390</v>
      </c>
      <c r="B307">
        <v>2713</v>
      </c>
    </row>
    <row r="308" spans="1:2">
      <c r="A308" s="15">
        <v>43391</v>
      </c>
      <c r="B308">
        <v>3381</v>
      </c>
    </row>
    <row r="309" spans="1:2">
      <c r="A309" s="15">
        <v>43392</v>
      </c>
      <c r="B309">
        <v>2545</v>
      </c>
    </row>
    <row r="310" spans="1:2">
      <c r="A310" s="15">
        <v>43393</v>
      </c>
      <c r="B310">
        <v>4473</v>
      </c>
    </row>
    <row r="311" spans="1:2">
      <c r="A311" s="15">
        <v>43394</v>
      </c>
      <c r="B311">
        <v>3332</v>
      </c>
    </row>
    <row r="312" spans="1:2">
      <c r="A312" s="15">
        <v>43395</v>
      </c>
      <c r="B312">
        <v>2283</v>
      </c>
    </row>
    <row r="313" spans="1:2">
      <c r="A313" s="15">
        <v>43396</v>
      </c>
      <c r="B313">
        <v>2696</v>
      </c>
    </row>
    <row r="314" spans="1:2">
      <c r="A314" s="15">
        <v>43397</v>
      </c>
      <c r="B314">
        <v>4061</v>
      </c>
    </row>
    <row r="315" spans="1:2">
      <c r="A315" s="15">
        <v>43398</v>
      </c>
      <c r="B315">
        <v>2382</v>
      </c>
    </row>
    <row r="316" spans="1:2">
      <c r="A316" s="15">
        <v>43399</v>
      </c>
      <c r="B316">
        <v>4336</v>
      </c>
    </row>
    <row r="317" spans="1:2">
      <c r="A317" s="15">
        <v>43400</v>
      </c>
      <c r="B317">
        <v>2602</v>
      </c>
    </row>
    <row r="318" spans="1:2">
      <c r="A318" s="15">
        <v>43401</v>
      </c>
      <c r="B318">
        <v>3094</v>
      </c>
    </row>
    <row r="319" spans="1:2">
      <c r="A319" s="15">
        <v>43402</v>
      </c>
      <c r="B319">
        <v>3510</v>
      </c>
    </row>
    <row r="320" spans="1:2">
      <c r="A320" s="15">
        <v>43403</v>
      </c>
      <c r="B320">
        <v>2134</v>
      </c>
    </row>
    <row r="321" spans="1:2">
      <c r="A321" s="15">
        <v>43404</v>
      </c>
      <c r="B321">
        <v>2661</v>
      </c>
    </row>
    <row r="322" spans="1:2">
      <c r="A322" s="7" t="s">
        <v>416</v>
      </c>
      <c r="B322">
        <v>96989</v>
      </c>
    </row>
    <row r="323" spans="1:2">
      <c r="A323" s="15">
        <v>43405</v>
      </c>
      <c r="B323">
        <v>2901</v>
      </c>
    </row>
    <row r="324" spans="1:2">
      <c r="A324" s="15">
        <v>43406</v>
      </c>
      <c r="B324">
        <v>3784</v>
      </c>
    </row>
    <row r="325" spans="1:2">
      <c r="A325" s="15">
        <v>43407</v>
      </c>
      <c r="B325">
        <v>3135</v>
      </c>
    </row>
    <row r="326" spans="1:2">
      <c r="A326" s="15">
        <v>43408</v>
      </c>
      <c r="B326">
        <v>2802</v>
      </c>
    </row>
    <row r="327" spans="1:2">
      <c r="A327" s="15">
        <v>43409</v>
      </c>
      <c r="B327">
        <v>3486</v>
      </c>
    </row>
    <row r="328" spans="1:2">
      <c r="A328" s="15">
        <v>43410</v>
      </c>
      <c r="B328">
        <v>3422</v>
      </c>
    </row>
    <row r="329" spans="1:2">
      <c r="A329" s="15">
        <v>43411</v>
      </c>
      <c r="B329">
        <v>2842</v>
      </c>
    </row>
    <row r="330" spans="1:2">
      <c r="A330" s="15">
        <v>43412</v>
      </c>
      <c r="B330">
        <v>3846</v>
      </c>
    </row>
    <row r="331" spans="1:2">
      <c r="A331" s="15">
        <v>43413</v>
      </c>
      <c r="B331">
        <v>3131</v>
      </c>
    </row>
    <row r="332" spans="1:2">
      <c r="A332" s="15">
        <v>43414</v>
      </c>
      <c r="B332">
        <v>3825</v>
      </c>
    </row>
    <row r="333" spans="1:2">
      <c r="A333" s="15">
        <v>43415</v>
      </c>
      <c r="B333">
        <v>4362</v>
      </c>
    </row>
    <row r="334" spans="1:2">
      <c r="A334" s="15">
        <v>43416</v>
      </c>
      <c r="B334">
        <v>2934</v>
      </c>
    </row>
    <row r="335" spans="1:2">
      <c r="A335" s="15">
        <v>43417</v>
      </c>
      <c r="B335">
        <v>4354</v>
      </c>
    </row>
    <row r="336" spans="1:2">
      <c r="A336" s="15">
        <v>43418</v>
      </c>
      <c r="B336">
        <v>2102</v>
      </c>
    </row>
    <row r="337" spans="1:2">
      <c r="A337" s="15">
        <v>43419</v>
      </c>
      <c r="B337">
        <v>3261</v>
      </c>
    </row>
    <row r="338" spans="1:2">
      <c r="A338" s="15">
        <v>43420</v>
      </c>
      <c r="B338">
        <v>2577</v>
      </c>
    </row>
    <row r="339" spans="1:2">
      <c r="A339" s="15">
        <v>43421</v>
      </c>
      <c r="B339">
        <v>3131</v>
      </c>
    </row>
    <row r="340" spans="1:2">
      <c r="A340" s="15">
        <v>43422</v>
      </c>
      <c r="B340">
        <v>2683</v>
      </c>
    </row>
    <row r="341" spans="1:2">
      <c r="A341" s="15">
        <v>43423</v>
      </c>
      <c r="B341">
        <v>2613</v>
      </c>
    </row>
    <row r="342" spans="1:2">
      <c r="A342" s="15">
        <v>43424</v>
      </c>
      <c r="B342">
        <v>4076</v>
      </c>
    </row>
    <row r="343" spans="1:2">
      <c r="A343" s="15">
        <v>43425</v>
      </c>
      <c r="B343">
        <v>4400</v>
      </c>
    </row>
    <row r="344" spans="1:2">
      <c r="A344" s="15">
        <v>43426</v>
      </c>
      <c r="B344">
        <v>2466</v>
      </c>
    </row>
    <row r="345" spans="1:2">
      <c r="A345" s="15">
        <v>43427</v>
      </c>
      <c r="B345">
        <v>2137</v>
      </c>
    </row>
    <row r="346" spans="1:2">
      <c r="A346" s="15">
        <v>43428</v>
      </c>
      <c r="B346">
        <v>4216</v>
      </c>
    </row>
    <row r="347" spans="1:2">
      <c r="A347" s="15">
        <v>43429</v>
      </c>
      <c r="B347">
        <v>3165</v>
      </c>
    </row>
    <row r="348" spans="1:2">
      <c r="A348" s="15">
        <v>43430</v>
      </c>
      <c r="B348">
        <v>3263</v>
      </c>
    </row>
    <row r="349" spans="1:2">
      <c r="A349" s="15">
        <v>43431</v>
      </c>
      <c r="B349">
        <v>2946</v>
      </c>
    </row>
    <row r="350" spans="1:2">
      <c r="A350" s="15">
        <v>43432</v>
      </c>
      <c r="B350">
        <v>2989</v>
      </c>
    </row>
    <row r="351" spans="1:2">
      <c r="A351" s="15">
        <v>43433</v>
      </c>
      <c r="B351">
        <v>3463</v>
      </c>
    </row>
    <row r="352" spans="1:2">
      <c r="A352" s="15">
        <v>43434</v>
      </c>
      <c r="B352">
        <v>2677</v>
      </c>
    </row>
    <row r="353" spans="1:2">
      <c r="A353" s="7" t="s">
        <v>417</v>
      </c>
      <c r="B353">
        <v>96745</v>
      </c>
    </row>
    <row r="354" spans="1:2">
      <c r="A354" s="15">
        <v>43435</v>
      </c>
      <c r="B354">
        <v>2966</v>
      </c>
    </row>
    <row r="355" spans="1:2">
      <c r="A355" s="15">
        <v>43436</v>
      </c>
      <c r="B355">
        <v>2106</v>
      </c>
    </row>
    <row r="356" spans="1:2">
      <c r="A356" s="15">
        <v>43437</v>
      </c>
      <c r="B356">
        <v>3664</v>
      </c>
    </row>
    <row r="357" spans="1:2">
      <c r="A357" s="15">
        <v>43438</v>
      </c>
      <c r="B357">
        <v>3069</v>
      </c>
    </row>
    <row r="358" spans="1:2">
      <c r="A358" s="15">
        <v>43439</v>
      </c>
      <c r="B358">
        <v>3755</v>
      </c>
    </row>
    <row r="359" spans="1:2">
      <c r="A359" s="15">
        <v>43440</v>
      </c>
      <c r="B359">
        <v>3215</v>
      </c>
    </row>
    <row r="360" spans="1:2">
      <c r="A360" s="15">
        <v>43441</v>
      </c>
      <c r="B360">
        <v>3685</v>
      </c>
    </row>
    <row r="361" spans="1:2">
      <c r="A361" s="15">
        <v>43442</v>
      </c>
      <c r="B361">
        <v>4015</v>
      </c>
    </row>
    <row r="362" spans="1:2">
      <c r="A362" s="15">
        <v>43443</v>
      </c>
      <c r="B362">
        <v>2517</v>
      </c>
    </row>
    <row r="363" spans="1:2">
      <c r="A363" s="15">
        <v>43444</v>
      </c>
      <c r="B363">
        <v>2598</v>
      </c>
    </row>
    <row r="364" spans="1:2">
      <c r="A364" s="15">
        <v>43445</v>
      </c>
      <c r="B364">
        <v>3513</v>
      </c>
    </row>
    <row r="365" spans="1:2">
      <c r="A365" s="15">
        <v>43446</v>
      </c>
      <c r="B365">
        <v>2247</v>
      </c>
    </row>
    <row r="366" spans="1:2">
      <c r="A366" s="15">
        <v>43447</v>
      </c>
      <c r="B366">
        <v>2878</v>
      </c>
    </row>
    <row r="367" spans="1:2">
      <c r="A367" s="15">
        <v>43448</v>
      </c>
      <c r="B367">
        <v>3425</v>
      </c>
    </row>
    <row r="368" spans="1:2">
      <c r="A368" s="15">
        <v>43449</v>
      </c>
      <c r="B368">
        <v>2865</v>
      </c>
    </row>
    <row r="369" spans="1:2">
      <c r="A369" s="15">
        <v>43450</v>
      </c>
      <c r="B369">
        <v>2393</v>
      </c>
    </row>
    <row r="370" spans="1:2">
      <c r="A370" s="15">
        <v>43451</v>
      </c>
      <c r="B370">
        <v>3149</v>
      </c>
    </row>
    <row r="371" spans="1:2">
      <c r="A371" s="15">
        <v>43452</v>
      </c>
      <c r="B371">
        <v>3277</v>
      </c>
    </row>
    <row r="372" spans="1:2">
      <c r="A372" s="15">
        <v>43453</v>
      </c>
      <c r="B372">
        <v>2713</v>
      </c>
    </row>
    <row r="373" spans="1:2">
      <c r="A373" s="15">
        <v>43454</v>
      </c>
      <c r="B373">
        <v>3381</v>
      </c>
    </row>
    <row r="374" spans="1:2">
      <c r="A374" s="15">
        <v>43455</v>
      </c>
      <c r="B374">
        <v>2545</v>
      </c>
    </row>
    <row r="375" spans="1:2">
      <c r="A375" s="15">
        <v>43456</v>
      </c>
      <c r="B375">
        <v>4473</v>
      </c>
    </row>
    <row r="376" spans="1:2">
      <c r="A376" s="15">
        <v>43457</v>
      </c>
      <c r="B376">
        <v>3332</v>
      </c>
    </row>
    <row r="377" spans="1:2">
      <c r="A377" s="15">
        <v>43458</v>
      </c>
      <c r="B377">
        <v>2283</v>
      </c>
    </row>
    <row r="378" spans="1:2">
      <c r="A378" s="15">
        <v>43459</v>
      </c>
      <c r="B378">
        <v>2696</v>
      </c>
    </row>
    <row r="379" spans="1:2">
      <c r="A379" s="15">
        <v>43460</v>
      </c>
      <c r="B379">
        <v>4061</v>
      </c>
    </row>
    <row r="380" spans="1:2">
      <c r="A380" s="15">
        <v>43461</v>
      </c>
      <c r="B380">
        <v>2382</v>
      </c>
    </row>
    <row r="381" spans="1:2">
      <c r="A381" s="15">
        <v>43462</v>
      </c>
      <c r="B381">
        <v>4336</v>
      </c>
    </row>
    <row r="382" spans="1:2">
      <c r="A382" s="15">
        <v>43463</v>
      </c>
      <c r="B382">
        <v>2602</v>
      </c>
    </row>
    <row r="383" spans="1:2">
      <c r="A383" s="15">
        <v>43464</v>
      </c>
      <c r="B383">
        <v>3094</v>
      </c>
    </row>
    <row r="384" spans="1:2">
      <c r="A384" s="15">
        <v>43465</v>
      </c>
      <c r="B384">
        <v>3510</v>
      </c>
    </row>
    <row r="385" spans="1:2">
      <c r="A385" s="6" t="s">
        <v>82</v>
      </c>
      <c r="B385">
        <v>1148843</v>
      </c>
    </row>
  </sheetData>
  <mergeCells count="6">
    <mergeCell ref="D28:E28"/>
    <mergeCell ref="D17:F17"/>
    <mergeCell ref="D19:D22"/>
    <mergeCell ref="D23:E23"/>
    <mergeCell ref="D24:D26"/>
    <mergeCell ref="D27:E27"/>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343D5-578A-4189-A724-09605109D3D1}">
  <sheetPr codeName="Sheet5"/>
  <dimension ref="A1:N33"/>
  <sheetViews>
    <sheetView zoomScale="68" workbookViewId="0">
      <selection activeCell="E8" sqref="E8"/>
    </sheetView>
  </sheetViews>
  <sheetFormatPr defaultRowHeight="14.4"/>
  <cols>
    <col min="1" max="1" width="14.33203125" bestFit="1" customWidth="1"/>
    <col min="2" max="2" width="12.21875" bestFit="1" customWidth="1"/>
    <col min="3" max="3" width="15.33203125" bestFit="1" customWidth="1"/>
    <col min="4" max="4" width="20.33203125" bestFit="1" customWidth="1"/>
    <col min="5" max="5" width="32.44140625" bestFit="1" customWidth="1"/>
    <col min="6" max="6" width="14.33203125" bestFit="1" customWidth="1"/>
    <col min="7" max="7" width="17.21875" bestFit="1" customWidth="1"/>
    <col min="8" max="10" width="7.6640625" bestFit="1" customWidth="1"/>
    <col min="11" max="11" width="11.33203125" bestFit="1" customWidth="1"/>
    <col min="12" max="12" width="14.33203125" bestFit="1" customWidth="1"/>
    <col min="13" max="13" width="12.21875" bestFit="1" customWidth="1"/>
    <col min="14" max="14" width="22.21875" bestFit="1" customWidth="1"/>
    <col min="15" max="15" width="14.88671875" bestFit="1" customWidth="1"/>
    <col min="16" max="16" width="29.6640625" bestFit="1" customWidth="1"/>
    <col min="17" max="17" width="6" bestFit="1" customWidth="1"/>
    <col min="18" max="18" width="9.33203125" bestFit="1" customWidth="1"/>
    <col min="19" max="19" width="6.6640625" bestFit="1" customWidth="1"/>
    <col min="20" max="21" width="6" bestFit="1" customWidth="1"/>
    <col min="22" max="22" width="9.33203125" bestFit="1" customWidth="1"/>
    <col min="23" max="23" width="10.77734375" bestFit="1" customWidth="1"/>
    <col min="24" max="371" width="10.33203125" bestFit="1" customWidth="1"/>
    <col min="372" max="372" width="10.77734375" bestFit="1" customWidth="1"/>
  </cols>
  <sheetData>
    <row r="1" spans="1:11" ht="14.4" customHeight="1">
      <c r="A1" s="50" t="s">
        <v>449</v>
      </c>
      <c r="B1" s="50"/>
      <c r="C1" s="50"/>
    </row>
    <row r="2" spans="1:11" ht="21" customHeight="1">
      <c r="A2" s="50"/>
      <c r="B2" s="50"/>
      <c r="C2" s="50"/>
    </row>
    <row r="5" spans="1:11" ht="27.6" customHeight="1">
      <c r="A5" s="46" t="s">
        <v>433</v>
      </c>
      <c r="B5" s="46"/>
      <c r="F5" s="46" t="s">
        <v>431</v>
      </c>
      <c r="G5" s="46"/>
    </row>
    <row r="6" spans="1:11" ht="28.8">
      <c r="A6" s="5" t="s">
        <v>81</v>
      </c>
      <c r="B6" t="s">
        <v>83</v>
      </c>
      <c r="C6" t="s">
        <v>426</v>
      </c>
      <c r="D6" s="10" t="s">
        <v>432</v>
      </c>
      <c r="F6" s="5" t="s">
        <v>83</v>
      </c>
      <c r="G6" s="5" t="s">
        <v>386</v>
      </c>
    </row>
    <row r="7" spans="1:11">
      <c r="A7" s="6" t="s">
        <v>9</v>
      </c>
      <c r="B7">
        <v>173508</v>
      </c>
      <c r="C7" s="18">
        <v>0.15102846951237028</v>
      </c>
      <c r="D7" s="18">
        <v>0.53718478614220033</v>
      </c>
      <c r="F7" s="5" t="s">
        <v>81</v>
      </c>
      <c r="G7" t="s">
        <v>427</v>
      </c>
      <c r="H7" t="s">
        <v>428</v>
      </c>
      <c r="I7" t="s">
        <v>429</v>
      </c>
      <c r="J7" t="s">
        <v>430</v>
      </c>
      <c r="K7" t="s">
        <v>82</v>
      </c>
    </row>
    <row r="8" spans="1:11">
      <c r="A8" s="6" t="s">
        <v>62</v>
      </c>
      <c r="B8">
        <v>108716</v>
      </c>
      <c r="C8" s="18">
        <v>9.4630859046884563E-2</v>
      </c>
      <c r="D8" s="18">
        <v>0.33658725367265746</v>
      </c>
      <c r="F8" s="6" t="s">
        <v>418</v>
      </c>
      <c r="G8" s="18"/>
      <c r="H8" s="18"/>
      <c r="I8" s="18"/>
      <c r="J8" s="18"/>
      <c r="K8" s="18"/>
    </row>
    <row r="9" spans="1:11">
      <c r="A9" s="6" t="s">
        <v>31</v>
      </c>
      <c r="B9">
        <v>102773</v>
      </c>
      <c r="C9" s="18">
        <v>8.9457828441310089E-2</v>
      </c>
      <c r="D9" s="18">
        <v>0.31818758804315855</v>
      </c>
      <c r="F9" s="7" t="s">
        <v>9</v>
      </c>
      <c r="G9" s="18">
        <v>0.2812319893030869</v>
      </c>
      <c r="H9" s="18">
        <v>0.21876801069691312</v>
      </c>
      <c r="I9" s="18">
        <v>0.22078520875118149</v>
      </c>
      <c r="J9" s="18">
        <v>0.27921479124881848</v>
      </c>
      <c r="K9" s="18">
        <v>1</v>
      </c>
    </row>
    <row r="10" spans="1:11">
      <c r="A10" s="6" t="s">
        <v>53</v>
      </c>
      <c r="B10">
        <v>55902</v>
      </c>
      <c r="C10" s="18">
        <v>4.8659390360562757E-2</v>
      </c>
      <c r="D10" s="18">
        <v>0.1730738865926717</v>
      </c>
      <c r="F10" s="7" t="s">
        <v>62</v>
      </c>
      <c r="G10" s="18">
        <v>0.23626697082306192</v>
      </c>
      <c r="H10" s="18">
        <v>0.23297398726958313</v>
      </c>
      <c r="I10" s="18">
        <v>0.29778505463777183</v>
      </c>
      <c r="J10" s="18">
        <v>0.23297398726958313</v>
      </c>
      <c r="K10" s="18">
        <v>1</v>
      </c>
    </row>
    <row r="11" spans="1:11">
      <c r="A11" s="6" t="s">
        <v>18</v>
      </c>
      <c r="B11">
        <v>331762</v>
      </c>
      <c r="C11" s="18">
        <v>0.28877923267147904</v>
      </c>
      <c r="D11" s="18">
        <v>1.027142835028406</v>
      </c>
      <c r="F11" s="7" t="s">
        <v>31</v>
      </c>
      <c r="G11" s="18">
        <v>0.23848676208731864</v>
      </c>
      <c r="H11" s="18">
        <v>0.28600897122785168</v>
      </c>
      <c r="I11" s="18">
        <v>0.23848676208731864</v>
      </c>
      <c r="J11" s="18">
        <v>0.23701750459751103</v>
      </c>
      <c r="K11" s="18">
        <v>1</v>
      </c>
    </row>
    <row r="12" spans="1:11">
      <c r="A12" s="6" t="s">
        <v>75</v>
      </c>
      <c r="B12">
        <v>322995</v>
      </c>
      <c r="C12" s="18">
        <v>0.28114807680422826</v>
      </c>
      <c r="D12" s="18">
        <v>1</v>
      </c>
      <c r="F12" s="7" t="s">
        <v>53</v>
      </c>
      <c r="G12" s="18">
        <v>0.23542985939680156</v>
      </c>
      <c r="H12" s="18">
        <v>0.23339057636578298</v>
      </c>
      <c r="I12" s="18">
        <v>0.29778898787163249</v>
      </c>
      <c r="J12" s="18">
        <v>0.23339057636578298</v>
      </c>
      <c r="K12" s="18">
        <v>1</v>
      </c>
    </row>
    <row r="13" spans="1:11">
      <c r="A13" s="6" t="s">
        <v>37</v>
      </c>
      <c r="B13">
        <v>53187</v>
      </c>
      <c r="C13" s="18">
        <v>4.6296143163165028E-2</v>
      </c>
      <c r="D13" s="18">
        <v>0.1646681837180142</v>
      </c>
      <c r="F13" s="6" t="s">
        <v>419</v>
      </c>
      <c r="G13" s="18"/>
      <c r="H13" s="18"/>
      <c r="I13" s="18"/>
      <c r="J13" s="18"/>
      <c r="K13" s="18"/>
    </row>
    <row r="14" spans="1:11">
      <c r="A14" s="6" t="s">
        <v>82</v>
      </c>
      <c r="B14">
        <v>1148843</v>
      </c>
      <c r="C14" s="18">
        <v>1</v>
      </c>
      <c r="D14" s="18"/>
      <c r="F14" s="7" t="s">
        <v>18</v>
      </c>
      <c r="G14" s="18">
        <v>0.25316341232570339</v>
      </c>
      <c r="H14" s="18">
        <v>0.24167927610757109</v>
      </c>
      <c r="I14" s="18">
        <v>0.23057794443004323</v>
      </c>
      <c r="J14" s="18">
        <v>0.2745793671366823</v>
      </c>
      <c r="K14" s="18">
        <v>1</v>
      </c>
    </row>
    <row r="15" spans="1:11">
      <c r="F15" s="7" t="s">
        <v>75</v>
      </c>
      <c r="G15" s="18">
        <v>0.23098190374464</v>
      </c>
      <c r="H15" s="18">
        <v>0.25787086487406924</v>
      </c>
      <c r="I15" s="18">
        <v>0.27469775073917552</v>
      </c>
      <c r="J15" s="18">
        <v>0.23644948064211521</v>
      </c>
      <c r="K15" s="18">
        <v>1</v>
      </c>
    </row>
    <row r="16" spans="1:11">
      <c r="F16" s="7" t="s">
        <v>37</v>
      </c>
      <c r="G16" s="18">
        <v>0.25773215259367893</v>
      </c>
      <c r="H16" s="18">
        <v>0.26728335871547559</v>
      </c>
      <c r="I16" s="18">
        <v>0.25773215259367893</v>
      </c>
      <c r="J16" s="18">
        <v>0.2172523360971666</v>
      </c>
      <c r="K16" s="18">
        <v>1</v>
      </c>
    </row>
    <row r="17" spans="1:14">
      <c r="F17" s="6" t="s">
        <v>82</v>
      </c>
      <c r="G17" s="18">
        <v>0.24760302321553077</v>
      </c>
      <c r="H17" s="18">
        <v>0.24669515329770908</v>
      </c>
      <c r="I17" s="18">
        <v>0.25309811697507839</v>
      </c>
      <c r="J17" s="18">
        <v>0.25260370651168174</v>
      </c>
      <c r="K17" s="18">
        <v>1</v>
      </c>
    </row>
    <row r="18" spans="1:14">
      <c r="F18" s="6"/>
      <c r="G18" s="18"/>
      <c r="H18" s="18"/>
      <c r="I18" s="18"/>
      <c r="J18" s="18"/>
      <c r="K18" s="18"/>
    </row>
    <row r="21" spans="1:14" ht="20.399999999999999" customHeight="1">
      <c r="A21" s="51" t="s">
        <v>443</v>
      </c>
      <c r="B21" s="51"/>
      <c r="G21" s="51" t="s">
        <v>444</v>
      </c>
      <c r="H21" s="51"/>
      <c r="I21" s="51"/>
      <c r="L21" s="8" t="s">
        <v>447</v>
      </c>
    </row>
    <row r="22" spans="1:14" ht="27" customHeight="1">
      <c r="A22" s="19" t="s">
        <v>6</v>
      </c>
      <c r="B22" s="19" t="s">
        <v>3</v>
      </c>
      <c r="C22" s="20" t="s">
        <v>83</v>
      </c>
      <c r="D22" s="21" t="s">
        <v>434</v>
      </c>
      <c r="E22" s="21" t="s">
        <v>442</v>
      </c>
      <c r="G22" s="5" t="s">
        <v>81</v>
      </c>
      <c r="H22" t="s">
        <v>83</v>
      </c>
      <c r="I22" s="21" t="s">
        <v>445</v>
      </c>
      <c r="J22" s="21" t="s">
        <v>446</v>
      </c>
      <c r="L22" s="5" t="s">
        <v>81</v>
      </c>
      <c r="M22" t="s">
        <v>83</v>
      </c>
      <c r="N22" s="10" t="s">
        <v>448</v>
      </c>
    </row>
    <row r="23" spans="1:14">
      <c r="A23" s="47" t="s">
        <v>11</v>
      </c>
      <c r="B23" s="22" t="s">
        <v>9</v>
      </c>
      <c r="C23">
        <v>173508</v>
      </c>
      <c r="D23" s="18">
        <v>0.25901046145027229</v>
      </c>
      <c r="E23" s="18">
        <v>0.25901046145027229</v>
      </c>
      <c r="G23" s="6" t="s">
        <v>9</v>
      </c>
      <c r="H23">
        <v>173508</v>
      </c>
      <c r="I23">
        <v>-149487</v>
      </c>
      <c r="J23" s="23">
        <v>-0.46281521385779967</v>
      </c>
      <c r="L23" s="6" t="s">
        <v>9</v>
      </c>
      <c r="M23">
        <v>173508</v>
      </c>
      <c r="N23">
        <v>3</v>
      </c>
    </row>
    <row r="24" spans="1:14">
      <c r="A24" s="48"/>
      <c r="B24" s="22" t="s">
        <v>62</v>
      </c>
      <c r="C24">
        <v>108716</v>
      </c>
      <c r="D24" s="18">
        <v>0.16228981561096781</v>
      </c>
      <c r="E24" s="18">
        <v>0.16228981561096781</v>
      </c>
      <c r="G24" s="6" t="s">
        <v>62</v>
      </c>
      <c r="H24">
        <v>108716</v>
      </c>
      <c r="I24">
        <v>-214279</v>
      </c>
      <c r="J24" s="23">
        <v>-0.66341274632734248</v>
      </c>
      <c r="L24" s="6" t="s">
        <v>62</v>
      </c>
      <c r="M24">
        <v>108716</v>
      </c>
      <c r="N24">
        <v>4</v>
      </c>
    </row>
    <row r="25" spans="1:14">
      <c r="A25" s="48"/>
      <c r="B25" s="22" t="s">
        <v>53</v>
      </c>
      <c r="C25">
        <v>55902</v>
      </c>
      <c r="D25" s="18">
        <v>8.3449770707939241E-2</v>
      </c>
      <c r="E25" s="18">
        <v>8.3449770707939241E-2</v>
      </c>
      <c r="G25" s="6" t="s">
        <v>31</v>
      </c>
      <c r="H25">
        <v>102773</v>
      </c>
      <c r="I25">
        <v>-220222</v>
      </c>
      <c r="J25" s="23">
        <v>-0.68181241195684139</v>
      </c>
      <c r="L25" s="6" t="s">
        <v>31</v>
      </c>
      <c r="M25">
        <v>102773</v>
      </c>
      <c r="N25">
        <v>5</v>
      </c>
    </row>
    <row r="26" spans="1:14">
      <c r="A26" s="48"/>
      <c r="B26" s="22" t="s">
        <v>18</v>
      </c>
      <c r="C26">
        <v>331762</v>
      </c>
      <c r="D26" s="18">
        <v>0.49524995223082069</v>
      </c>
      <c r="E26" s="18">
        <v>0.49524995223082069</v>
      </c>
      <c r="G26" s="6" t="s">
        <v>53</v>
      </c>
      <c r="H26">
        <v>55902</v>
      </c>
      <c r="I26">
        <v>-267093</v>
      </c>
      <c r="J26" s="23">
        <v>-0.82692611340732824</v>
      </c>
      <c r="L26" s="6" t="s">
        <v>53</v>
      </c>
      <c r="M26">
        <v>55902</v>
      </c>
      <c r="N26">
        <v>6</v>
      </c>
    </row>
    <row r="27" spans="1:14">
      <c r="A27" s="47" t="s">
        <v>435</v>
      </c>
      <c r="B27" s="48"/>
      <c r="C27">
        <v>669888</v>
      </c>
      <c r="D27" s="18">
        <v>0.58309795159129663</v>
      </c>
      <c r="E27" s="18">
        <v>1</v>
      </c>
      <c r="G27" s="6" t="s">
        <v>18</v>
      </c>
      <c r="H27">
        <v>331762</v>
      </c>
      <c r="I27">
        <v>8767</v>
      </c>
      <c r="J27" s="23">
        <v>2.7142835028406011E-2</v>
      </c>
      <c r="L27" s="6" t="s">
        <v>18</v>
      </c>
      <c r="M27">
        <v>331762</v>
      </c>
      <c r="N27">
        <v>1</v>
      </c>
    </row>
    <row r="28" spans="1:14">
      <c r="A28" s="22" t="s">
        <v>34</v>
      </c>
      <c r="B28" s="22" t="s">
        <v>31</v>
      </c>
      <c r="C28">
        <v>102773</v>
      </c>
      <c r="D28" s="18">
        <v>1</v>
      </c>
      <c r="E28" s="18">
        <v>1</v>
      </c>
      <c r="G28" s="6" t="s">
        <v>75</v>
      </c>
      <c r="H28">
        <v>322995</v>
      </c>
      <c r="J28" s="23"/>
      <c r="L28" s="6" t="s">
        <v>75</v>
      </c>
      <c r="M28">
        <v>322995</v>
      </c>
      <c r="N28">
        <v>2</v>
      </c>
    </row>
    <row r="29" spans="1:14">
      <c r="A29" s="47" t="s">
        <v>436</v>
      </c>
      <c r="B29" s="48"/>
      <c r="C29">
        <v>102773</v>
      </c>
      <c r="D29" s="18">
        <v>8.9457828441310089E-2</v>
      </c>
      <c r="E29" s="18">
        <v>1</v>
      </c>
      <c r="G29" s="6" t="s">
        <v>37</v>
      </c>
      <c r="H29">
        <v>53187</v>
      </c>
      <c r="I29">
        <v>-269808</v>
      </c>
      <c r="J29" s="23">
        <v>-0.83533181628198583</v>
      </c>
      <c r="L29" s="6" t="s">
        <v>37</v>
      </c>
      <c r="M29">
        <v>53187</v>
      </c>
      <c r="N29">
        <v>7</v>
      </c>
    </row>
    <row r="30" spans="1:14">
      <c r="A30" s="47" t="s">
        <v>40</v>
      </c>
      <c r="B30" s="22" t="s">
        <v>75</v>
      </c>
      <c r="C30">
        <v>322995</v>
      </c>
      <c r="D30" s="18">
        <v>0.85861364977590637</v>
      </c>
      <c r="E30" s="18">
        <v>0.85861364977590637</v>
      </c>
      <c r="G30" s="6" t="s">
        <v>82</v>
      </c>
      <c r="H30">
        <v>1148843</v>
      </c>
      <c r="J30" s="23"/>
      <c r="L30" s="6" t="s">
        <v>82</v>
      </c>
      <c r="M30">
        <v>1148843</v>
      </c>
    </row>
    <row r="31" spans="1:14">
      <c r="A31" s="48"/>
      <c r="B31" s="22" t="s">
        <v>37</v>
      </c>
      <c r="C31">
        <v>53187</v>
      </c>
      <c r="D31" s="18">
        <v>0.14138635022409365</v>
      </c>
      <c r="E31" s="18">
        <v>0.14138635022409365</v>
      </c>
    </row>
    <row r="32" spans="1:14">
      <c r="A32" s="47" t="s">
        <v>437</v>
      </c>
      <c r="B32" s="48"/>
      <c r="C32">
        <v>376182</v>
      </c>
      <c r="D32" s="18">
        <v>0.32744421996739326</v>
      </c>
      <c r="E32" s="18">
        <v>1</v>
      </c>
    </row>
    <row r="33" spans="1:5">
      <c r="A33" s="47" t="s">
        <v>82</v>
      </c>
      <c r="B33" s="48"/>
      <c r="C33">
        <v>1148843</v>
      </c>
      <c r="D33" s="18">
        <v>1</v>
      </c>
      <c r="E33" s="18"/>
    </row>
  </sheetData>
  <mergeCells count="11">
    <mergeCell ref="A33:B33"/>
    <mergeCell ref="A1:C2"/>
    <mergeCell ref="A5:B5"/>
    <mergeCell ref="F5:G5"/>
    <mergeCell ref="A21:B21"/>
    <mergeCell ref="G21:I21"/>
    <mergeCell ref="A23:A26"/>
    <mergeCell ref="A27:B27"/>
    <mergeCell ref="A29:B29"/>
    <mergeCell ref="A30:A31"/>
    <mergeCell ref="A32:B32"/>
  </mergeCells>
  <conditionalFormatting pivot="1" sqref="G9:J12 G14:J16">
    <cfRule type="colorScale" priority="2">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C2B47-AD57-4829-B097-365581E9501D}">
  <sheetPr codeName="Sheet6"/>
  <dimension ref="A1:J26"/>
  <sheetViews>
    <sheetView workbookViewId="0">
      <selection activeCell="G20" sqref="G20"/>
    </sheetView>
  </sheetViews>
  <sheetFormatPr defaultRowHeight="14.4"/>
  <cols>
    <col min="1" max="1" width="16.88671875" bestFit="1" customWidth="1"/>
    <col min="2" max="2" width="13.21875" bestFit="1" customWidth="1"/>
    <col min="3" max="3" width="14.33203125" bestFit="1" customWidth="1"/>
    <col min="4" max="4" width="29.33203125" bestFit="1" customWidth="1"/>
  </cols>
  <sheetData>
    <row r="1" spans="1:10" ht="35.4" customHeight="1">
      <c r="A1" s="52" t="s">
        <v>450</v>
      </c>
      <c r="B1" s="52"/>
      <c r="C1" s="52"/>
      <c r="D1" s="52"/>
      <c r="E1" s="52"/>
      <c r="F1" s="52"/>
      <c r="G1" s="52"/>
      <c r="H1" s="52"/>
      <c r="I1" s="52"/>
      <c r="J1" s="52"/>
    </row>
    <row r="3" spans="1:10" ht="15.6" customHeight="1"/>
    <row r="4" spans="1:10" ht="37.200000000000003" customHeight="1">
      <c r="A4" s="5" t="s">
        <v>81</v>
      </c>
      <c r="B4" t="s">
        <v>83</v>
      </c>
      <c r="C4" s="27" t="s">
        <v>451</v>
      </c>
      <c r="D4" s="26" t="s">
        <v>452</v>
      </c>
    </row>
    <row r="5" spans="1:10">
      <c r="A5" s="6" t="s">
        <v>17</v>
      </c>
      <c r="B5" s="28">
        <v>53148</v>
      </c>
      <c r="C5" s="28">
        <v>531.48</v>
      </c>
      <c r="D5" s="25">
        <v>531.48</v>
      </c>
    </row>
    <row r="6" spans="1:10">
      <c r="A6" s="6" t="s">
        <v>26</v>
      </c>
      <c r="B6" s="28">
        <v>49764</v>
      </c>
      <c r="C6" s="28">
        <v>497.64</v>
      </c>
      <c r="D6" s="25">
        <v>0</v>
      </c>
    </row>
    <row r="7" spans="1:10">
      <c r="A7" s="6" t="s">
        <v>68</v>
      </c>
      <c r="B7" s="28">
        <v>46987</v>
      </c>
      <c r="C7" s="28">
        <v>469.87</v>
      </c>
      <c r="D7" s="25">
        <v>0</v>
      </c>
    </row>
    <row r="8" spans="1:10">
      <c r="A8" s="6" t="s">
        <v>48</v>
      </c>
      <c r="B8" s="28">
        <v>58161</v>
      </c>
      <c r="C8" s="28">
        <v>581.61</v>
      </c>
      <c r="D8" s="25">
        <v>581.61</v>
      </c>
    </row>
    <row r="9" spans="1:10">
      <c r="A9" s="6" t="s">
        <v>70</v>
      </c>
      <c r="B9" s="28">
        <v>63759</v>
      </c>
      <c r="C9" s="28">
        <v>637.59</v>
      </c>
      <c r="D9" s="25">
        <v>1275.18</v>
      </c>
    </row>
    <row r="10" spans="1:10">
      <c r="A10" s="6" t="s">
        <v>42</v>
      </c>
      <c r="B10" s="28">
        <v>46569</v>
      </c>
      <c r="C10" s="28">
        <v>465.69</v>
      </c>
      <c r="D10" s="25">
        <v>0</v>
      </c>
    </row>
    <row r="11" spans="1:10">
      <c r="A11" s="6" t="s">
        <v>57</v>
      </c>
      <c r="B11" s="28">
        <v>54448</v>
      </c>
      <c r="C11" s="28">
        <v>544.48</v>
      </c>
      <c r="D11" s="25">
        <v>544.48</v>
      </c>
    </row>
    <row r="12" spans="1:10">
      <c r="A12" s="6" t="s">
        <v>22</v>
      </c>
      <c r="B12" s="28">
        <v>63588</v>
      </c>
      <c r="C12" s="28">
        <v>635.88</v>
      </c>
      <c r="D12" s="25">
        <v>1271.76</v>
      </c>
    </row>
    <row r="13" spans="1:10">
      <c r="A13" s="6" t="s">
        <v>24</v>
      </c>
      <c r="B13" s="28">
        <v>58488</v>
      </c>
      <c r="C13" s="28">
        <v>584.88</v>
      </c>
      <c r="D13" s="25">
        <v>584.88</v>
      </c>
    </row>
    <row r="14" spans="1:10">
      <c r="A14" s="6" t="s">
        <v>61</v>
      </c>
      <c r="B14" s="28">
        <v>48422</v>
      </c>
      <c r="C14" s="28">
        <v>484.22</v>
      </c>
      <c r="D14" s="25">
        <v>0</v>
      </c>
    </row>
    <row r="15" spans="1:10">
      <c r="A15" s="6" t="s">
        <v>52</v>
      </c>
      <c r="B15" s="28">
        <v>55902</v>
      </c>
      <c r="C15" s="28">
        <v>559.02</v>
      </c>
      <c r="D15" s="25">
        <v>559.02</v>
      </c>
    </row>
    <row r="16" spans="1:10">
      <c r="A16" s="6" t="s">
        <v>13</v>
      </c>
      <c r="B16" s="28">
        <v>60714</v>
      </c>
      <c r="C16" s="28">
        <v>607.14</v>
      </c>
      <c r="D16" s="25">
        <v>1214.28</v>
      </c>
    </row>
    <row r="17" spans="1:4">
      <c r="A17" s="6" t="s">
        <v>8</v>
      </c>
      <c r="B17" s="28">
        <v>53286</v>
      </c>
      <c r="C17" s="28">
        <v>532.86</v>
      </c>
      <c r="D17" s="25">
        <v>532.86</v>
      </c>
    </row>
    <row r="18" spans="1:4">
      <c r="A18" s="6" t="s">
        <v>72</v>
      </c>
      <c r="B18" s="28">
        <v>54438</v>
      </c>
      <c r="C18" s="28">
        <v>544.38</v>
      </c>
      <c r="D18" s="25">
        <v>544.38</v>
      </c>
    </row>
    <row r="19" spans="1:4">
      <c r="A19" s="6" t="s">
        <v>66</v>
      </c>
      <c r="B19" s="28">
        <v>60294</v>
      </c>
      <c r="C19" s="28">
        <v>602.94000000000005</v>
      </c>
      <c r="D19" s="25">
        <v>1205.8800000000001</v>
      </c>
    </row>
    <row r="20" spans="1:4">
      <c r="A20" s="6" t="s">
        <v>30</v>
      </c>
      <c r="B20" s="28">
        <v>56204</v>
      </c>
      <c r="C20" s="28">
        <v>562.04</v>
      </c>
      <c r="D20" s="25">
        <v>562.04</v>
      </c>
    </row>
    <row r="21" spans="1:4">
      <c r="A21" s="6" t="s">
        <v>50</v>
      </c>
      <c r="B21" s="28">
        <v>47358</v>
      </c>
      <c r="C21" s="28">
        <v>473.58</v>
      </c>
      <c r="D21" s="25">
        <v>0</v>
      </c>
    </row>
    <row r="22" spans="1:4">
      <c r="A22" s="6" t="s">
        <v>15</v>
      </c>
      <c r="B22" s="28">
        <v>59508</v>
      </c>
      <c r="C22" s="28">
        <v>595.08000000000004</v>
      </c>
      <c r="D22" s="25">
        <v>595.08000000000004</v>
      </c>
    </row>
    <row r="23" spans="1:4">
      <c r="A23" s="6" t="s">
        <v>46</v>
      </c>
      <c r="B23" s="28">
        <v>52292</v>
      </c>
      <c r="C23" s="28">
        <v>522.91999999999996</v>
      </c>
      <c r="D23" s="25">
        <v>522.91999999999996</v>
      </c>
    </row>
    <row r="24" spans="1:4">
      <c r="A24" s="6" t="s">
        <v>28</v>
      </c>
      <c r="B24" s="28">
        <v>52326</v>
      </c>
      <c r="C24" s="28">
        <v>523.26</v>
      </c>
      <c r="D24" s="25">
        <v>523.26</v>
      </c>
    </row>
    <row r="25" spans="1:4">
      <c r="A25" s="6" t="s">
        <v>36</v>
      </c>
      <c r="B25" s="28">
        <v>53187</v>
      </c>
      <c r="C25" s="28">
        <v>531.87</v>
      </c>
      <c r="D25" s="25">
        <v>531.87</v>
      </c>
    </row>
    <row r="26" spans="1:4">
      <c r="A26" s="6" t="s">
        <v>82</v>
      </c>
      <c r="B26" s="28">
        <v>1148843</v>
      </c>
      <c r="C26" s="28">
        <v>11488.43</v>
      </c>
      <c r="D26" s="25">
        <v>22976.86</v>
      </c>
    </row>
  </sheetData>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A083-B762-45FF-BD3D-29154A8FFF35}">
  <sheetPr codeName="Sheet7"/>
  <dimension ref="A1:K47"/>
  <sheetViews>
    <sheetView topLeftCell="B2" zoomScale="86" workbookViewId="0">
      <selection activeCell="L25" sqref="L25"/>
    </sheetView>
  </sheetViews>
  <sheetFormatPr defaultRowHeight="14.4"/>
  <cols>
    <col min="1" max="1" width="9.77734375" customWidth="1"/>
    <col min="2" max="2" width="14.77734375" customWidth="1"/>
    <col min="3" max="3" width="11" bestFit="1" customWidth="1"/>
    <col min="4" max="4" width="7.44140625" bestFit="1" customWidth="1"/>
    <col min="6" max="6" width="15" bestFit="1" customWidth="1"/>
    <col min="7" max="7" width="11.77734375" bestFit="1" customWidth="1"/>
    <col min="8" max="8" width="11.44140625" bestFit="1" customWidth="1"/>
    <col min="9" max="9" width="33.21875" customWidth="1"/>
    <col min="10" max="10" width="11.77734375" bestFit="1" customWidth="1"/>
    <col min="11" max="11" width="11.44140625" bestFit="1" customWidth="1"/>
  </cols>
  <sheetData>
    <row r="1" spans="1:11" ht="49.8" customHeight="1">
      <c r="A1" s="54" t="s">
        <v>466</v>
      </c>
      <c r="B1" s="54"/>
      <c r="C1" s="54"/>
      <c r="D1" s="54"/>
      <c r="E1" s="54"/>
      <c r="F1" s="54"/>
      <c r="G1" s="54"/>
      <c r="H1" s="54"/>
      <c r="I1" s="54"/>
    </row>
    <row r="2" spans="1:11" ht="18">
      <c r="A2" s="29"/>
      <c r="B2" s="29"/>
      <c r="C2" s="29"/>
      <c r="D2" s="29"/>
      <c r="E2" s="29"/>
      <c r="F2" s="29"/>
      <c r="G2" s="29"/>
      <c r="H2" s="29"/>
      <c r="I2" s="29"/>
    </row>
    <row r="4" spans="1:11">
      <c r="A4" s="8" t="s">
        <v>483</v>
      </c>
    </row>
    <row r="5" spans="1:11">
      <c r="A5" s="33" t="s">
        <v>454</v>
      </c>
      <c r="B5" s="33" t="s">
        <v>455</v>
      </c>
      <c r="C5" s="33" t="s">
        <v>456</v>
      </c>
      <c r="D5" s="33" t="s">
        <v>457</v>
      </c>
      <c r="H5" s="51" t="s">
        <v>492</v>
      </c>
      <c r="I5" s="51"/>
    </row>
    <row r="6" spans="1:11">
      <c r="A6" s="33" t="s">
        <v>458</v>
      </c>
      <c r="B6" s="33" t="s">
        <v>459</v>
      </c>
      <c r="C6" s="33" t="s">
        <v>460</v>
      </c>
      <c r="D6" s="33">
        <v>3209</v>
      </c>
    </row>
    <row r="7" spans="1:11">
      <c r="A7" s="33" t="s">
        <v>458</v>
      </c>
      <c r="B7" s="33" t="s">
        <v>461</v>
      </c>
      <c r="C7" s="33" t="s">
        <v>462</v>
      </c>
      <c r="D7" s="33">
        <v>3601</v>
      </c>
      <c r="H7" s="19" t="s">
        <v>454</v>
      </c>
      <c r="I7" s="19" t="s">
        <v>456</v>
      </c>
      <c r="J7" s="20" t="s">
        <v>465</v>
      </c>
    </row>
    <row r="8" spans="1:11">
      <c r="A8" s="33" t="s">
        <v>458</v>
      </c>
      <c r="B8" s="33" t="s">
        <v>459</v>
      </c>
      <c r="C8" s="33" t="s">
        <v>460</v>
      </c>
      <c r="D8" s="33">
        <v>3862</v>
      </c>
      <c r="H8" s="47" t="s">
        <v>458</v>
      </c>
      <c r="I8" s="22" t="s">
        <v>460</v>
      </c>
      <c r="J8">
        <v>7071</v>
      </c>
    </row>
    <row r="9" spans="1:11">
      <c r="A9" s="33" t="s">
        <v>458</v>
      </c>
      <c r="B9" s="33" t="s">
        <v>461</v>
      </c>
      <c r="C9" s="33" t="s">
        <v>462</v>
      </c>
      <c r="D9" s="33">
        <v>2711</v>
      </c>
      <c r="H9" s="48"/>
      <c r="I9" s="22" t="s">
        <v>462</v>
      </c>
      <c r="J9">
        <v>6312</v>
      </c>
    </row>
    <row r="10" spans="1:11">
      <c r="A10" s="33" t="s">
        <v>463</v>
      </c>
      <c r="B10" s="33" t="s">
        <v>459</v>
      </c>
      <c r="C10" s="33" t="s">
        <v>462</v>
      </c>
      <c r="D10" s="33">
        <v>2628</v>
      </c>
      <c r="H10" s="48"/>
      <c r="I10" s="30" t="s">
        <v>485</v>
      </c>
      <c r="J10" s="18">
        <v>0.47164312934319658</v>
      </c>
    </row>
    <row r="11" spans="1:11">
      <c r="A11" s="33" t="s">
        <v>463</v>
      </c>
      <c r="B11" s="33" t="s">
        <v>461</v>
      </c>
      <c r="C11" s="33" t="s">
        <v>462</v>
      </c>
      <c r="D11" s="33">
        <v>3226</v>
      </c>
      <c r="H11" s="47" t="s">
        <v>486</v>
      </c>
      <c r="I11" s="48"/>
      <c r="J11">
        <v>13383.471643129344</v>
      </c>
    </row>
    <row r="12" spans="1:11">
      <c r="A12" s="33" t="s">
        <v>463</v>
      </c>
      <c r="B12" s="33" t="s">
        <v>459</v>
      </c>
      <c r="C12" s="33" t="s">
        <v>460</v>
      </c>
      <c r="D12" s="33">
        <v>3079</v>
      </c>
      <c r="H12" s="47" t="s">
        <v>463</v>
      </c>
      <c r="I12" s="22" t="s">
        <v>460</v>
      </c>
      <c r="J12">
        <v>5609</v>
      </c>
    </row>
    <row r="13" spans="1:11">
      <c r="A13" s="33" t="s">
        <v>463</v>
      </c>
      <c r="B13" s="33" t="s">
        <v>461</v>
      </c>
      <c r="C13" s="33" t="s">
        <v>460</v>
      </c>
      <c r="D13" s="33">
        <v>2530</v>
      </c>
      <c r="H13" s="48"/>
      <c r="I13" s="22" t="s">
        <v>462</v>
      </c>
      <c r="J13">
        <v>9062</v>
      </c>
    </row>
    <row r="14" spans="1:11">
      <c r="A14" s="33" t="s">
        <v>463</v>
      </c>
      <c r="B14" s="33" t="s">
        <v>459</v>
      </c>
      <c r="C14" s="33" t="s">
        <v>462</v>
      </c>
      <c r="D14" s="33">
        <v>3208</v>
      </c>
      <c r="H14" s="48"/>
      <c r="I14" s="30" t="s">
        <v>485</v>
      </c>
      <c r="J14" s="18">
        <v>0.61768113966328131</v>
      </c>
    </row>
    <row r="15" spans="1:11">
      <c r="A15" s="33" t="s">
        <v>464</v>
      </c>
      <c r="B15" s="33" t="s">
        <v>461</v>
      </c>
      <c r="C15" s="33" t="s">
        <v>460</v>
      </c>
      <c r="D15" s="33">
        <v>3377</v>
      </c>
      <c r="H15" s="47" t="s">
        <v>487</v>
      </c>
      <c r="I15" s="48"/>
      <c r="J15">
        <v>14671.617681139664</v>
      </c>
    </row>
    <row r="16" spans="1:11">
      <c r="A16" s="33" t="s">
        <v>464</v>
      </c>
      <c r="B16" s="33" t="s">
        <v>459</v>
      </c>
      <c r="C16" s="33" t="s">
        <v>460</v>
      </c>
      <c r="D16" s="33">
        <v>3727</v>
      </c>
      <c r="H16" s="47" t="s">
        <v>464</v>
      </c>
      <c r="I16" s="22" t="s">
        <v>460</v>
      </c>
      <c r="J16">
        <v>16600</v>
      </c>
      <c r="K16" s="18"/>
    </row>
    <row r="17" spans="1:10">
      <c r="A17" s="33" t="s">
        <v>464</v>
      </c>
      <c r="B17" s="33" t="s">
        <v>461</v>
      </c>
      <c r="C17" s="33" t="s">
        <v>462</v>
      </c>
      <c r="D17" s="33">
        <v>2855</v>
      </c>
      <c r="H17" s="48"/>
      <c r="I17" s="22" t="s">
        <v>462</v>
      </c>
      <c r="J17">
        <v>10186</v>
      </c>
    </row>
    <row r="18" spans="1:10">
      <c r="A18" s="33" t="s">
        <v>464</v>
      </c>
      <c r="B18" s="33" t="s">
        <v>459</v>
      </c>
      <c r="C18" s="33" t="s">
        <v>460</v>
      </c>
      <c r="D18" s="33">
        <v>2876</v>
      </c>
      <c r="H18" s="48"/>
      <c r="I18" s="30" t="s">
        <v>485</v>
      </c>
      <c r="J18" s="18">
        <v>0.38027327708504444</v>
      </c>
    </row>
    <row r="19" spans="1:10">
      <c r="A19" s="33" t="s">
        <v>464</v>
      </c>
      <c r="B19" s="33" t="s">
        <v>461</v>
      </c>
      <c r="C19" s="33" t="s">
        <v>462</v>
      </c>
      <c r="D19" s="33">
        <v>3631</v>
      </c>
      <c r="H19" s="47" t="s">
        <v>488</v>
      </c>
      <c r="I19" s="48"/>
      <c r="J19">
        <v>26786.380273277086</v>
      </c>
    </row>
    <row r="20" spans="1:10">
      <c r="A20" s="33" t="s">
        <v>464</v>
      </c>
      <c r="B20" s="33" t="s">
        <v>459</v>
      </c>
      <c r="C20" s="33" t="s">
        <v>460</v>
      </c>
      <c r="D20" s="33">
        <v>3630</v>
      </c>
      <c r="H20" s="47" t="s">
        <v>82</v>
      </c>
      <c r="I20" s="48"/>
      <c r="J20">
        <v>54841.469597546093</v>
      </c>
    </row>
    <row r="21" spans="1:10">
      <c r="A21" s="33" t="s">
        <v>464</v>
      </c>
      <c r="B21" s="33" t="s">
        <v>461</v>
      </c>
      <c r="C21" s="33" t="s">
        <v>462</v>
      </c>
      <c r="D21" s="33">
        <v>3700</v>
      </c>
    </row>
    <row r="22" spans="1:10">
      <c r="A22" s="33" t="s">
        <v>464</v>
      </c>
      <c r="B22" s="33" t="s">
        <v>459</v>
      </c>
      <c r="C22" s="33" t="s">
        <v>460</v>
      </c>
      <c r="D22" s="33">
        <v>2990</v>
      </c>
    </row>
    <row r="26" spans="1:10">
      <c r="A26" s="8" t="s">
        <v>484</v>
      </c>
    </row>
    <row r="27" spans="1:10">
      <c r="A27" s="31" t="s">
        <v>467</v>
      </c>
      <c r="B27" s="31" t="s">
        <v>468</v>
      </c>
      <c r="C27" s="31" t="s">
        <v>469</v>
      </c>
    </row>
    <row r="28" spans="1:10">
      <c r="A28" s="32">
        <v>1</v>
      </c>
      <c r="B28" s="32" t="s">
        <v>76</v>
      </c>
      <c r="C28" s="32">
        <v>5623</v>
      </c>
      <c r="F28" s="5" t="s">
        <v>81</v>
      </c>
      <c r="G28" t="s">
        <v>489</v>
      </c>
    </row>
    <row r="29" spans="1:10">
      <c r="A29" s="32">
        <v>2</v>
      </c>
      <c r="B29" s="32" t="s">
        <v>470</v>
      </c>
      <c r="C29" s="32">
        <v>7245</v>
      </c>
      <c r="F29" s="6" t="s">
        <v>482</v>
      </c>
      <c r="G29">
        <v>3520</v>
      </c>
      <c r="I29" s="53" t="s">
        <v>491</v>
      </c>
      <c r="J29" s="53"/>
    </row>
    <row r="30" spans="1:10">
      <c r="A30" s="32">
        <v>3</v>
      </c>
      <c r="B30" s="32" t="s">
        <v>77</v>
      </c>
      <c r="C30" s="32">
        <v>3457</v>
      </c>
      <c r="F30" s="6" t="s">
        <v>473</v>
      </c>
      <c r="G30">
        <v>6590</v>
      </c>
      <c r="I30" s="53"/>
      <c r="J30" s="53"/>
    </row>
    <row r="31" spans="1:10">
      <c r="A31" s="32">
        <v>4</v>
      </c>
      <c r="B31" s="32" t="s">
        <v>471</v>
      </c>
      <c r="C31" s="32">
        <v>8976</v>
      </c>
      <c r="F31" s="6" t="s">
        <v>77</v>
      </c>
      <c r="G31">
        <v>3457</v>
      </c>
      <c r="I31" s="5" t="s">
        <v>81</v>
      </c>
      <c r="J31" t="s">
        <v>489</v>
      </c>
    </row>
    <row r="32" spans="1:10">
      <c r="A32" s="32">
        <v>5</v>
      </c>
      <c r="B32" s="32" t="s">
        <v>472</v>
      </c>
      <c r="C32" s="32">
        <v>2345</v>
      </c>
      <c r="F32" s="6" t="s">
        <v>471</v>
      </c>
      <c r="G32">
        <v>13343</v>
      </c>
      <c r="I32" s="6" t="s">
        <v>34</v>
      </c>
      <c r="J32">
        <v>30652</v>
      </c>
    </row>
    <row r="33" spans="1:10">
      <c r="A33" s="32">
        <v>6</v>
      </c>
      <c r="B33" s="32" t="s">
        <v>473</v>
      </c>
      <c r="C33" s="32">
        <v>6590</v>
      </c>
      <c r="F33" s="6" t="s">
        <v>481</v>
      </c>
      <c r="G33">
        <v>4871</v>
      </c>
      <c r="I33" s="6" t="s">
        <v>490</v>
      </c>
      <c r="J33">
        <v>24146</v>
      </c>
    </row>
    <row r="34" spans="1:10">
      <c r="A34" s="32">
        <v>7</v>
      </c>
      <c r="B34" s="32" t="s">
        <v>474</v>
      </c>
      <c r="C34" s="32">
        <v>4832</v>
      </c>
      <c r="F34" s="6" t="s">
        <v>475</v>
      </c>
      <c r="G34">
        <v>14977</v>
      </c>
      <c r="I34" s="6" t="s">
        <v>40</v>
      </c>
      <c r="J34">
        <v>59702</v>
      </c>
    </row>
    <row r="35" spans="1:10">
      <c r="A35" s="32">
        <v>8</v>
      </c>
      <c r="B35" s="32" t="s">
        <v>475</v>
      </c>
      <c r="C35" s="32">
        <v>7754</v>
      </c>
      <c r="F35" s="6" t="s">
        <v>470</v>
      </c>
      <c r="G35">
        <v>13149</v>
      </c>
      <c r="I35" s="6" t="s">
        <v>82</v>
      </c>
      <c r="J35">
        <v>114500</v>
      </c>
    </row>
    <row r="36" spans="1:10">
      <c r="A36" s="32">
        <v>9</v>
      </c>
      <c r="B36" s="32" t="s">
        <v>476</v>
      </c>
      <c r="C36" s="32">
        <v>5241</v>
      </c>
      <c r="F36" s="6" t="s">
        <v>480</v>
      </c>
      <c r="G36">
        <v>6354</v>
      </c>
    </row>
    <row r="37" spans="1:10">
      <c r="A37" s="32">
        <v>10</v>
      </c>
      <c r="B37" s="32" t="s">
        <v>477</v>
      </c>
      <c r="C37" s="32">
        <v>6123</v>
      </c>
      <c r="F37" s="6" t="s">
        <v>76</v>
      </c>
      <c r="G37">
        <v>13604</v>
      </c>
    </row>
    <row r="38" spans="1:10">
      <c r="A38" s="32">
        <v>11</v>
      </c>
      <c r="B38" s="32" t="s">
        <v>478</v>
      </c>
      <c r="C38" s="32">
        <v>3987</v>
      </c>
      <c r="F38" s="6" t="s">
        <v>478</v>
      </c>
      <c r="G38">
        <v>3987</v>
      </c>
    </row>
    <row r="39" spans="1:10">
      <c r="A39" s="32">
        <v>12</v>
      </c>
      <c r="B39" s="32" t="s">
        <v>479</v>
      </c>
      <c r="C39" s="32">
        <v>7412</v>
      </c>
      <c r="F39" s="6" t="s">
        <v>474</v>
      </c>
      <c r="G39">
        <v>4832</v>
      </c>
    </row>
    <row r="40" spans="1:10">
      <c r="A40" s="32">
        <v>13</v>
      </c>
      <c r="B40" s="32" t="s">
        <v>480</v>
      </c>
      <c r="C40" s="32">
        <v>6354</v>
      </c>
      <c r="F40" s="6" t="s">
        <v>472</v>
      </c>
      <c r="G40">
        <v>7040</v>
      </c>
    </row>
    <row r="41" spans="1:10">
      <c r="A41" s="32">
        <v>14</v>
      </c>
      <c r="B41" s="32" t="s">
        <v>481</v>
      </c>
      <c r="C41" s="32">
        <v>4871</v>
      </c>
      <c r="F41" s="6" t="s">
        <v>479</v>
      </c>
      <c r="G41">
        <v>7412</v>
      </c>
    </row>
    <row r="42" spans="1:10">
      <c r="A42" s="32">
        <v>15</v>
      </c>
      <c r="B42" s="32" t="s">
        <v>482</v>
      </c>
      <c r="C42" s="32">
        <v>3520</v>
      </c>
      <c r="F42" s="6" t="s">
        <v>477</v>
      </c>
      <c r="G42">
        <v>6123</v>
      </c>
    </row>
    <row r="43" spans="1:10">
      <c r="A43" s="32">
        <v>16</v>
      </c>
      <c r="B43" s="32" t="s">
        <v>76</v>
      </c>
      <c r="C43" s="32">
        <v>7981</v>
      </c>
      <c r="F43" s="6" t="s">
        <v>476</v>
      </c>
      <c r="G43">
        <v>5241</v>
      </c>
    </row>
    <row r="44" spans="1:10">
      <c r="A44" s="32">
        <v>17</v>
      </c>
      <c r="B44" s="32" t="s">
        <v>472</v>
      </c>
      <c r="C44" s="32">
        <v>4695</v>
      </c>
      <c r="F44" s="6" t="s">
        <v>82</v>
      </c>
      <c r="G44">
        <v>114500</v>
      </c>
    </row>
    <row r="45" spans="1:10">
      <c r="A45" s="32">
        <v>18</v>
      </c>
      <c r="B45" s="32" t="s">
        <v>470</v>
      </c>
      <c r="C45" s="32">
        <v>5904</v>
      </c>
    </row>
    <row r="46" spans="1:10">
      <c r="A46" s="32">
        <v>19</v>
      </c>
      <c r="B46" s="32" t="s">
        <v>471</v>
      </c>
      <c r="C46" s="32">
        <v>4367</v>
      </c>
    </row>
    <row r="47" spans="1:10">
      <c r="A47" s="32">
        <v>20</v>
      </c>
      <c r="B47" s="32" t="s">
        <v>475</v>
      </c>
      <c r="C47" s="32">
        <v>7223</v>
      </c>
    </row>
  </sheetData>
  <autoFilter ref="A27:C47" xr:uid="{4BBAA083-B762-45FF-BD3D-29154A8FFF35}"/>
  <mergeCells count="10">
    <mergeCell ref="H20:I20"/>
    <mergeCell ref="H8:H10"/>
    <mergeCell ref="I29:J30"/>
    <mergeCell ref="H5:I5"/>
    <mergeCell ref="A1:I1"/>
    <mergeCell ref="H11:I11"/>
    <mergeCell ref="H12:H14"/>
    <mergeCell ref="H15:I15"/>
    <mergeCell ref="H16:H18"/>
    <mergeCell ref="H19:I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F299-9FAB-49AB-BACF-DB2CF9C20E8A}">
  <sheetPr codeName="Sheet1">
    <tabColor theme="9" tint="0.39997558519241921"/>
  </sheetPr>
  <dimension ref="A1:T366"/>
  <sheetViews>
    <sheetView zoomScale="86" zoomScaleNormal="130" workbookViewId="0">
      <selection activeCell="I30" sqref="I30"/>
    </sheetView>
  </sheetViews>
  <sheetFormatPr defaultRowHeight="14.4"/>
  <cols>
    <col min="1" max="1" width="15.88671875" bestFit="1" customWidth="1"/>
    <col min="2" max="2" width="13.6640625" bestFit="1" customWidth="1"/>
    <col min="3" max="3" width="17.33203125" bestFit="1" customWidth="1"/>
    <col min="4" max="4" width="9.6640625" customWidth="1"/>
    <col min="5" max="5" width="20.6640625" customWidth="1"/>
    <col min="6" max="6" width="16.6640625" bestFit="1" customWidth="1"/>
    <col min="7" max="7" width="8" customWidth="1"/>
    <col min="8" max="8" width="10.109375" customWidth="1"/>
    <col min="9" max="9" width="9.33203125" customWidth="1"/>
    <col min="13" max="13" width="13.33203125" bestFit="1" customWidth="1"/>
    <col min="14" max="14" width="16.21875" bestFit="1" customWidth="1"/>
    <col min="15" max="16" width="7.109375" bestFit="1" customWidth="1"/>
    <col min="17" max="17" width="11.33203125" bestFit="1" customWidth="1"/>
    <col min="19" max="19" width="13.33203125" bestFit="1" customWidth="1"/>
    <col min="20" max="20" width="12" bestFit="1" customWidth="1"/>
    <col min="21" max="21" width="11.6640625" bestFit="1" customWidth="1"/>
    <col min="22" max="22" width="6.21875" bestFit="1" customWidth="1"/>
    <col min="23" max="23" width="11.21875" bestFit="1" customWidth="1"/>
  </cols>
  <sheetData>
    <row r="1" spans="1:20" ht="15.6">
      <c r="A1" s="1" t="s">
        <v>0</v>
      </c>
      <c r="B1" s="2" t="s">
        <v>1</v>
      </c>
      <c r="C1" s="1" t="s">
        <v>2</v>
      </c>
      <c r="D1" s="1" t="s">
        <v>3</v>
      </c>
      <c r="E1" s="1" t="s">
        <v>4</v>
      </c>
      <c r="F1" s="1" t="s">
        <v>5</v>
      </c>
      <c r="G1" s="1" t="s">
        <v>6</v>
      </c>
      <c r="H1" s="1" t="s">
        <v>73</v>
      </c>
      <c r="I1" s="1" t="s">
        <v>74</v>
      </c>
    </row>
    <row r="2" spans="1:20">
      <c r="A2" s="3" t="s">
        <v>7</v>
      </c>
      <c r="B2" s="4">
        <v>43101</v>
      </c>
      <c r="C2" s="3" t="s">
        <v>8</v>
      </c>
      <c r="D2" s="3" t="s">
        <v>9</v>
      </c>
      <c r="E2" s="3" t="s">
        <v>10</v>
      </c>
      <c r="F2" s="3" t="s">
        <v>10</v>
      </c>
      <c r="G2" s="3" t="s">
        <v>11</v>
      </c>
      <c r="H2" s="3">
        <v>2934</v>
      </c>
      <c r="I2" s="3">
        <v>1819</v>
      </c>
    </row>
    <row r="3" spans="1:20">
      <c r="A3" s="3" t="s">
        <v>12</v>
      </c>
      <c r="B3" s="4">
        <v>43102</v>
      </c>
      <c r="C3" s="3" t="s">
        <v>13</v>
      </c>
      <c r="D3" s="3" t="s">
        <v>9</v>
      </c>
      <c r="E3" s="3" t="s">
        <v>10</v>
      </c>
      <c r="F3" s="3" t="s">
        <v>10</v>
      </c>
      <c r="G3" s="3" t="s">
        <v>11</v>
      </c>
      <c r="H3" s="3">
        <v>4354</v>
      </c>
      <c r="I3" s="3">
        <v>2787</v>
      </c>
    </row>
    <row r="4" spans="1:20">
      <c r="A4" s="3" t="s">
        <v>14</v>
      </c>
      <c r="B4" s="4">
        <v>43103</v>
      </c>
      <c r="C4" s="3" t="s">
        <v>15</v>
      </c>
      <c r="D4" s="3" t="s">
        <v>9</v>
      </c>
      <c r="E4" s="3" t="s">
        <v>10</v>
      </c>
      <c r="F4" s="3" t="s">
        <v>10</v>
      </c>
      <c r="G4" s="3" t="s">
        <v>11</v>
      </c>
      <c r="H4" s="3">
        <v>2102</v>
      </c>
      <c r="I4" s="3">
        <v>1534</v>
      </c>
      <c r="M4" s="49" t="s">
        <v>387</v>
      </c>
      <c r="N4" s="49"/>
      <c r="O4" s="49"/>
      <c r="P4" s="49"/>
      <c r="Q4" s="49"/>
      <c r="R4" s="49"/>
    </row>
    <row r="5" spans="1:20">
      <c r="A5" s="3" t="s">
        <v>16</v>
      </c>
      <c r="B5" s="4">
        <v>43104</v>
      </c>
      <c r="C5" s="3" t="s">
        <v>17</v>
      </c>
      <c r="D5" s="3" t="s">
        <v>18</v>
      </c>
      <c r="E5" s="3" t="s">
        <v>19</v>
      </c>
      <c r="F5" s="3" t="s">
        <v>20</v>
      </c>
      <c r="G5" s="3" t="s">
        <v>11</v>
      </c>
      <c r="H5" s="3">
        <v>3261</v>
      </c>
      <c r="I5" s="3">
        <v>2446</v>
      </c>
      <c r="M5">
        <f>SUMIFS(H2:H366,D2:D366,"India",G2:G366,"south")</f>
        <v>322995</v>
      </c>
    </row>
    <row r="6" spans="1:20">
      <c r="A6" s="3" t="s">
        <v>21</v>
      </c>
      <c r="B6" s="4">
        <v>43105</v>
      </c>
      <c r="C6" s="3" t="s">
        <v>22</v>
      </c>
      <c r="D6" s="3" t="s">
        <v>18</v>
      </c>
      <c r="E6" s="3" t="s">
        <v>19</v>
      </c>
      <c r="F6" s="3" t="s">
        <v>20</v>
      </c>
      <c r="G6" s="3" t="s">
        <v>11</v>
      </c>
      <c r="H6" s="3">
        <v>2577</v>
      </c>
      <c r="I6" s="3">
        <v>1907</v>
      </c>
    </row>
    <row r="7" spans="1:20">
      <c r="A7" s="3" t="s">
        <v>23</v>
      </c>
      <c r="B7" s="4">
        <v>43106</v>
      </c>
      <c r="C7" s="3" t="s">
        <v>24</v>
      </c>
      <c r="D7" s="3" t="s">
        <v>18</v>
      </c>
      <c r="E7" s="3" t="s">
        <v>19</v>
      </c>
      <c r="F7" s="3" t="s">
        <v>20</v>
      </c>
      <c r="G7" s="3" t="s">
        <v>11</v>
      </c>
      <c r="H7" s="3">
        <v>3131</v>
      </c>
      <c r="I7" s="3">
        <v>1973</v>
      </c>
    </row>
    <row r="8" spans="1:20">
      <c r="A8" s="3" t="s">
        <v>25</v>
      </c>
      <c r="B8" s="4">
        <v>43107</v>
      </c>
      <c r="C8" s="3" t="s">
        <v>26</v>
      </c>
      <c r="D8" s="3" t="s">
        <v>18</v>
      </c>
      <c r="E8" s="3" t="s">
        <v>19</v>
      </c>
      <c r="F8" s="3" t="s">
        <v>20</v>
      </c>
      <c r="G8" s="3" t="s">
        <v>11</v>
      </c>
      <c r="H8" s="3">
        <v>2683</v>
      </c>
      <c r="I8" s="3">
        <v>1798</v>
      </c>
    </row>
    <row r="9" spans="1:20">
      <c r="A9" s="3" t="s">
        <v>27</v>
      </c>
      <c r="B9" s="4">
        <v>43108</v>
      </c>
      <c r="C9" s="3" t="s">
        <v>28</v>
      </c>
      <c r="D9" s="3" t="s">
        <v>18</v>
      </c>
      <c r="E9" s="3" t="s">
        <v>19</v>
      </c>
      <c r="F9" s="3" t="s">
        <v>20</v>
      </c>
      <c r="G9" s="3" t="s">
        <v>11</v>
      </c>
      <c r="H9" s="3">
        <v>2613</v>
      </c>
      <c r="I9" s="3">
        <v>1751</v>
      </c>
    </row>
    <row r="10" spans="1:20">
      <c r="A10" s="3" t="s">
        <v>29</v>
      </c>
      <c r="B10" s="4">
        <v>43109</v>
      </c>
      <c r="C10" s="3" t="s">
        <v>30</v>
      </c>
      <c r="D10" s="3" t="s">
        <v>31</v>
      </c>
      <c r="E10" s="3" t="s">
        <v>32</v>
      </c>
      <c r="F10" s="3" t="s">
        <v>33</v>
      </c>
      <c r="G10" s="3" t="s">
        <v>34</v>
      </c>
      <c r="H10" s="3">
        <v>4076</v>
      </c>
      <c r="I10" s="3">
        <v>2609</v>
      </c>
    </row>
    <row r="11" spans="1:20">
      <c r="A11" s="3" t="s">
        <v>35</v>
      </c>
      <c r="B11" s="4">
        <v>43110</v>
      </c>
      <c r="C11" s="3" t="s">
        <v>36</v>
      </c>
      <c r="D11" s="3" t="s">
        <v>37</v>
      </c>
      <c r="E11" s="3" t="s">
        <v>38</v>
      </c>
      <c r="F11" s="3" t="s">
        <v>39</v>
      </c>
      <c r="G11" s="3" t="s">
        <v>40</v>
      </c>
      <c r="H11" s="3">
        <v>4400</v>
      </c>
      <c r="I11" s="3">
        <v>3432</v>
      </c>
      <c r="M11" s="5" t="s">
        <v>83</v>
      </c>
      <c r="N11" s="5" t="s">
        <v>386</v>
      </c>
      <c r="S11" s="5" t="s">
        <v>81</v>
      </c>
      <c r="T11" t="s">
        <v>83</v>
      </c>
    </row>
    <row r="12" spans="1:20">
      <c r="A12" s="3" t="s">
        <v>41</v>
      </c>
      <c r="B12" s="4">
        <v>43111</v>
      </c>
      <c r="C12" s="3" t="s">
        <v>42</v>
      </c>
      <c r="D12" s="3" t="s">
        <v>31</v>
      </c>
      <c r="E12" s="3" t="s">
        <v>43</v>
      </c>
      <c r="F12" s="3" t="s">
        <v>44</v>
      </c>
      <c r="G12" s="3" t="s">
        <v>34</v>
      </c>
      <c r="H12" s="3">
        <v>2466</v>
      </c>
      <c r="I12" s="3">
        <v>1603</v>
      </c>
      <c r="M12" s="5" t="s">
        <v>81</v>
      </c>
      <c r="N12" t="s">
        <v>11</v>
      </c>
      <c r="O12" t="s">
        <v>34</v>
      </c>
      <c r="P12" t="s">
        <v>40</v>
      </c>
      <c r="Q12" t="s">
        <v>82</v>
      </c>
      <c r="S12" s="6" t="s">
        <v>418</v>
      </c>
      <c r="T12">
        <v>440899</v>
      </c>
    </row>
    <row r="13" spans="1:20">
      <c r="A13" s="3" t="s">
        <v>45</v>
      </c>
      <c r="B13" s="4">
        <v>43112</v>
      </c>
      <c r="C13" s="3" t="s">
        <v>46</v>
      </c>
      <c r="D13" s="3" t="s">
        <v>75</v>
      </c>
      <c r="E13" s="3" t="s">
        <v>76</v>
      </c>
      <c r="F13" s="3" t="s">
        <v>79</v>
      </c>
      <c r="G13" s="3" t="s">
        <v>40</v>
      </c>
      <c r="H13" s="3">
        <v>2137</v>
      </c>
      <c r="I13" s="3">
        <v>1325</v>
      </c>
      <c r="M13" s="6" t="s">
        <v>418</v>
      </c>
      <c r="N13">
        <v>338126</v>
      </c>
      <c r="O13">
        <v>102773</v>
      </c>
      <c r="Q13">
        <v>440899</v>
      </c>
      <c r="S13" s="7" t="s">
        <v>9</v>
      </c>
      <c r="T13">
        <v>173508</v>
      </c>
    </row>
    <row r="14" spans="1:20">
      <c r="A14" s="3" t="s">
        <v>47</v>
      </c>
      <c r="B14" s="4">
        <v>43113</v>
      </c>
      <c r="C14" s="3" t="s">
        <v>48</v>
      </c>
      <c r="D14" s="3" t="s">
        <v>75</v>
      </c>
      <c r="E14" s="3" t="s">
        <v>77</v>
      </c>
      <c r="F14" s="3" t="s">
        <v>78</v>
      </c>
      <c r="G14" s="3" t="s">
        <v>40</v>
      </c>
      <c r="H14" s="3">
        <v>4216</v>
      </c>
      <c r="I14" s="3">
        <v>3162</v>
      </c>
      <c r="M14" s="7" t="s">
        <v>9</v>
      </c>
      <c r="N14">
        <v>173508</v>
      </c>
      <c r="Q14">
        <v>173508</v>
      </c>
      <c r="S14" s="16" t="s">
        <v>11</v>
      </c>
      <c r="T14">
        <v>173508</v>
      </c>
    </row>
    <row r="15" spans="1:20">
      <c r="A15" s="3" t="s">
        <v>49</v>
      </c>
      <c r="B15" s="4">
        <v>43114</v>
      </c>
      <c r="C15" s="3" t="s">
        <v>50</v>
      </c>
      <c r="D15" s="3" t="s">
        <v>75</v>
      </c>
      <c r="E15" s="3" t="s">
        <v>77</v>
      </c>
      <c r="F15" s="3" t="s">
        <v>78</v>
      </c>
      <c r="G15" s="3" t="s">
        <v>40</v>
      </c>
      <c r="H15" s="3">
        <v>3165</v>
      </c>
      <c r="I15" s="3">
        <v>2310</v>
      </c>
      <c r="M15" s="7" t="s">
        <v>62</v>
      </c>
      <c r="N15">
        <v>108716</v>
      </c>
      <c r="Q15">
        <v>108716</v>
      </c>
      <c r="S15" s="7" t="s">
        <v>62</v>
      </c>
      <c r="T15">
        <v>108716</v>
      </c>
    </row>
    <row r="16" spans="1:20">
      <c r="A16" s="3" t="s">
        <v>51</v>
      </c>
      <c r="B16" s="4">
        <v>43115</v>
      </c>
      <c r="C16" s="3" t="s">
        <v>52</v>
      </c>
      <c r="D16" s="3" t="s">
        <v>53</v>
      </c>
      <c r="E16" s="3" t="s">
        <v>54</v>
      </c>
      <c r="F16" s="3" t="s">
        <v>55</v>
      </c>
      <c r="G16" s="3" t="s">
        <v>11</v>
      </c>
      <c r="H16" s="3">
        <v>3263</v>
      </c>
      <c r="I16" s="3">
        <v>2545</v>
      </c>
      <c r="M16" s="7" t="s">
        <v>31</v>
      </c>
      <c r="O16">
        <v>102773</v>
      </c>
      <c r="Q16">
        <v>102773</v>
      </c>
      <c r="S16" s="16" t="s">
        <v>11</v>
      </c>
      <c r="T16">
        <v>108716</v>
      </c>
    </row>
    <row r="17" spans="1:20">
      <c r="A17" s="3" t="s">
        <v>56</v>
      </c>
      <c r="B17" s="4">
        <v>43116</v>
      </c>
      <c r="C17" s="3" t="s">
        <v>57</v>
      </c>
      <c r="D17" s="3" t="s">
        <v>18</v>
      </c>
      <c r="E17" s="3" t="s">
        <v>58</v>
      </c>
      <c r="F17" s="3" t="s">
        <v>59</v>
      </c>
      <c r="G17" s="3" t="s">
        <v>11</v>
      </c>
      <c r="H17" s="3">
        <v>2946</v>
      </c>
      <c r="I17" s="3">
        <v>2210</v>
      </c>
      <c r="M17" s="7" t="s">
        <v>53</v>
      </c>
      <c r="N17">
        <v>55902</v>
      </c>
      <c r="Q17">
        <v>55902</v>
      </c>
      <c r="S17" s="7" t="s">
        <v>31</v>
      </c>
      <c r="T17">
        <v>102773</v>
      </c>
    </row>
    <row r="18" spans="1:20">
      <c r="A18" s="3" t="s">
        <v>60</v>
      </c>
      <c r="B18" s="4">
        <v>43117</v>
      </c>
      <c r="C18" s="3" t="s">
        <v>61</v>
      </c>
      <c r="D18" s="3" t="s">
        <v>62</v>
      </c>
      <c r="E18" s="3" t="s">
        <v>63</v>
      </c>
      <c r="F18" s="3" t="s">
        <v>64</v>
      </c>
      <c r="G18" s="3" t="s">
        <v>11</v>
      </c>
      <c r="H18" s="3">
        <v>2989</v>
      </c>
      <c r="I18" s="3">
        <v>2212</v>
      </c>
      <c r="M18" s="6" t="s">
        <v>419</v>
      </c>
      <c r="N18">
        <v>331762</v>
      </c>
      <c r="P18">
        <v>376182</v>
      </c>
      <c r="Q18">
        <v>707944</v>
      </c>
      <c r="S18" s="16" t="s">
        <v>34</v>
      </c>
      <c r="T18">
        <v>102773</v>
      </c>
    </row>
    <row r="19" spans="1:20">
      <c r="A19" s="3" t="s">
        <v>65</v>
      </c>
      <c r="B19" s="4">
        <v>43118</v>
      </c>
      <c r="C19" s="3" t="s">
        <v>66</v>
      </c>
      <c r="D19" s="3" t="s">
        <v>62</v>
      </c>
      <c r="E19" s="3" t="s">
        <v>63</v>
      </c>
      <c r="F19" s="3" t="s">
        <v>64</v>
      </c>
      <c r="G19" s="3" t="s">
        <v>11</v>
      </c>
      <c r="H19" s="3">
        <v>3463</v>
      </c>
      <c r="I19" s="3">
        <v>2770</v>
      </c>
      <c r="M19" s="7" t="s">
        <v>18</v>
      </c>
      <c r="N19">
        <v>331762</v>
      </c>
      <c r="Q19">
        <v>331762</v>
      </c>
      <c r="S19" s="7" t="s">
        <v>53</v>
      </c>
      <c r="T19">
        <v>55902</v>
      </c>
    </row>
    <row r="20" spans="1:20">
      <c r="A20" s="3" t="s">
        <v>67</v>
      </c>
      <c r="B20" s="4">
        <v>43119</v>
      </c>
      <c r="C20" s="3" t="s">
        <v>68</v>
      </c>
      <c r="D20" s="3" t="s">
        <v>75</v>
      </c>
      <c r="E20" s="3" t="s">
        <v>76</v>
      </c>
      <c r="F20" s="3" t="s">
        <v>80</v>
      </c>
      <c r="G20" s="3" t="s">
        <v>40</v>
      </c>
      <c r="H20" s="3">
        <v>2677</v>
      </c>
      <c r="I20" s="3">
        <v>2088</v>
      </c>
      <c r="M20" s="7" t="s">
        <v>75</v>
      </c>
      <c r="P20">
        <v>322995</v>
      </c>
      <c r="Q20">
        <v>322995</v>
      </c>
      <c r="S20" s="16" t="s">
        <v>11</v>
      </c>
      <c r="T20">
        <v>55902</v>
      </c>
    </row>
    <row r="21" spans="1:20">
      <c r="A21" s="3" t="s">
        <v>69</v>
      </c>
      <c r="B21" s="4">
        <v>43120</v>
      </c>
      <c r="C21" s="3" t="s">
        <v>70</v>
      </c>
      <c r="D21" s="3" t="s">
        <v>75</v>
      </c>
      <c r="E21" s="3" t="s">
        <v>76</v>
      </c>
      <c r="F21" s="3" t="s">
        <v>80</v>
      </c>
      <c r="G21" s="3" t="s">
        <v>40</v>
      </c>
      <c r="H21" s="3">
        <v>2966</v>
      </c>
      <c r="I21" s="3">
        <v>1928</v>
      </c>
      <c r="M21" s="7" t="s">
        <v>37</v>
      </c>
      <c r="P21">
        <v>53187</v>
      </c>
      <c r="Q21">
        <v>53187</v>
      </c>
      <c r="S21" s="6" t="s">
        <v>419</v>
      </c>
      <c r="T21">
        <v>707944</v>
      </c>
    </row>
    <row r="22" spans="1:20">
      <c r="A22" s="3" t="s">
        <v>71</v>
      </c>
      <c r="B22" s="4">
        <v>43121</v>
      </c>
      <c r="C22" s="3" t="s">
        <v>72</v>
      </c>
      <c r="D22" s="3" t="s">
        <v>75</v>
      </c>
      <c r="E22" s="3" t="s">
        <v>76</v>
      </c>
      <c r="F22" s="3" t="s">
        <v>80</v>
      </c>
      <c r="G22" s="3" t="s">
        <v>40</v>
      </c>
      <c r="H22" s="3">
        <v>2106</v>
      </c>
      <c r="I22" s="3">
        <v>1516</v>
      </c>
      <c r="M22" s="6" t="s">
        <v>82</v>
      </c>
      <c r="N22">
        <v>669888</v>
      </c>
      <c r="O22">
        <v>102773</v>
      </c>
      <c r="P22">
        <v>376182</v>
      </c>
      <c r="Q22">
        <v>1148843</v>
      </c>
      <c r="S22" s="7" t="s">
        <v>18</v>
      </c>
      <c r="T22">
        <v>331762</v>
      </c>
    </row>
    <row r="23" spans="1:20">
      <c r="A23" s="3" t="s">
        <v>7</v>
      </c>
      <c r="B23" s="4">
        <v>43122</v>
      </c>
      <c r="C23" s="3" t="s">
        <v>8</v>
      </c>
      <c r="D23" s="3" t="s">
        <v>9</v>
      </c>
      <c r="E23" s="3" t="s">
        <v>10</v>
      </c>
      <c r="F23" s="3" t="s">
        <v>10</v>
      </c>
      <c r="G23" s="3" t="s">
        <v>11</v>
      </c>
      <c r="H23" s="3">
        <v>3664</v>
      </c>
      <c r="I23" s="3">
        <v>2272</v>
      </c>
      <c r="S23" s="16" t="s">
        <v>11</v>
      </c>
      <c r="T23">
        <v>331762</v>
      </c>
    </row>
    <row r="24" spans="1:20">
      <c r="A24" s="3" t="s">
        <v>12</v>
      </c>
      <c r="B24" s="4">
        <v>43123</v>
      </c>
      <c r="C24" s="3" t="s">
        <v>13</v>
      </c>
      <c r="D24" s="3" t="s">
        <v>9</v>
      </c>
      <c r="E24" s="3" t="s">
        <v>10</v>
      </c>
      <c r="F24" s="3" t="s">
        <v>10</v>
      </c>
      <c r="G24" s="3" t="s">
        <v>11</v>
      </c>
      <c r="H24" s="3">
        <v>3069</v>
      </c>
      <c r="I24" s="3">
        <v>2240</v>
      </c>
      <c r="S24" s="7" t="s">
        <v>75</v>
      </c>
      <c r="T24">
        <v>322995</v>
      </c>
    </row>
    <row r="25" spans="1:20">
      <c r="A25" s="3" t="s">
        <v>14</v>
      </c>
      <c r="B25" s="4">
        <v>43124</v>
      </c>
      <c r="C25" s="3" t="s">
        <v>15</v>
      </c>
      <c r="D25" s="3" t="s">
        <v>9</v>
      </c>
      <c r="E25" s="3" t="s">
        <v>10</v>
      </c>
      <c r="F25" s="3" t="s">
        <v>10</v>
      </c>
      <c r="G25" s="3" t="s">
        <v>11</v>
      </c>
      <c r="H25" s="3">
        <v>3755</v>
      </c>
      <c r="I25" s="3">
        <v>2516</v>
      </c>
      <c r="S25" s="16" t="s">
        <v>40</v>
      </c>
      <c r="T25">
        <v>322995</v>
      </c>
    </row>
    <row r="26" spans="1:20">
      <c r="A26" s="3" t="s">
        <v>16</v>
      </c>
      <c r="B26" s="4">
        <v>43125</v>
      </c>
      <c r="C26" s="3" t="s">
        <v>17</v>
      </c>
      <c r="D26" s="3" t="s">
        <v>18</v>
      </c>
      <c r="E26" s="3" t="s">
        <v>19</v>
      </c>
      <c r="F26" s="3" t="s">
        <v>20</v>
      </c>
      <c r="G26" s="3" t="s">
        <v>11</v>
      </c>
      <c r="H26" s="3">
        <v>3215</v>
      </c>
      <c r="I26" s="3">
        <v>2058</v>
      </c>
      <c r="S26" s="7" t="s">
        <v>37</v>
      </c>
      <c r="T26">
        <v>53187</v>
      </c>
    </row>
    <row r="27" spans="1:20">
      <c r="A27" s="3" t="s">
        <v>21</v>
      </c>
      <c r="B27" s="4">
        <v>43126</v>
      </c>
      <c r="C27" s="3" t="s">
        <v>22</v>
      </c>
      <c r="D27" s="3" t="s">
        <v>18</v>
      </c>
      <c r="E27" s="3" t="s">
        <v>19</v>
      </c>
      <c r="F27" s="3" t="s">
        <v>20</v>
      </c>
      <c r="G27" s="3" t="s">
        <v>11</v>
      </c>
      <c r="H27" s="3">
        <v>3685</v>
      </c>
      <c r="I27" s="3">
        <v>2543</v>
      </c>
      <c r="S27" s="16" t="s">
        <v>40</v>
      </c>
      <c r="T27">
        <v>53187</v>
      </c>
    </row>
    <row r="28" spans="1:20">
      <c r="A28" s="3" t="s">
        <v>23</v>
      </c>
      <c r="B28" s="4">
        <v>43127</v>
      </c>
      <c r="C28" s="3" t="s">
        <v>24</v>
      </c>
      <c r="D28" s="3" t="s">
        <v>18</v>
      </c>
      <c r="E28" s="3" t="s">
        <v>19</v>
      </c>
      <c r="F28" s="3" t="s">
        <v>20</v>
      </c>
      <c r="G28" s="3" t="s">
        <v>11</v>
      </c>
      <c r="H28" s="3">
        <v>4015</v>
      </c>
      <c r="I28" s="3">
        <v>2730</v>
      </c>
      <c r="S28" s="6" t="s">
        <v>82</v>
      </c>
      <c r="T28">
        <v>1148843</v>
      </c>
    </row>
    <row r="29" spans="1:20">
      <c r="A29" s="3" t="s">
        <v>25</v>
      </c>
      <c r="B29" s="4">
        <v>43128</v>
      </c>
      <c r="C29" s="3" t="s">
        <v>26</v>
      </c>
      <c r="D29" s="3" t="s">
        <v>18</v>
      </c>
      <c r="E29" s="3" t="s">
        <v>19</v>
      </c>
      <c r="F29" s="3" t="s">
        <v>20</v>
      </c>
      <c r="G29" s="3" t="s">
        <v>11</v>
      </c>
      <c r="H29" s="3">
        <v>2517</v>
      </c>
      <c r="I29" s="3">
        <v>1661</v>
      </c>
    </row>
    <row r="30" spans="1:20">
      <c r="A30" s="3" t="s">
        <v>27</v>
      </c>
      <c r="B30" s="4">
        <v>43129</v>
      </c>
      <c r="C30" s="3" t="s">
        <v>28</v>
      </c>
      <c r="D30" s="3" t="s">
        <v>18</v>
      </c>
      <c r="E30" s="3" t="s">
        <v>19</v>
      </c>
      <c r="F30" s="3" t="s">
        <v>20</v>
      </c>
      <c r="G30" s="3" t="s">
        <v>11</v>
      </c>
      <c r="H30" s="3">
        <v>2598</v>
      </c>
      <c r="I30" s="3">
        <v>1793</v>
      </c>
    </row>
    <row r="31" spans="1:20">
      <c r="A31" s="3" t="s">
        <v>29</v>
      </c>
      <c r="B31" s="4">
        <v>43130</v>
      </c>
      <c r="C31" s="3" t="s">
        <v>30</v>
      </c>
      <c r="D31" s="3" t="s">
        <v>31</v>
      </c>
      <c r="E31" s="3" t="s">
        <v>32</v>
      </c>
      <c r="F31" s="3" t="s">
        <v>33</v>
      </c>
      <c r="G31" s="3" t="s">
        <v>34</v>
      </c>
      <c r="H31" s="3">
        <v>3513</v>
      </c>
      <c r="I31" s="3">
        <v>2740</v>
      </c>
    </row>
    <row r="32" spans="1:20">
      <c r="A32" s="3" t="s">
        <v>35</v>
      </c>
      <c r="B32" s="4">
        <v>43131</v>
      </c>
      <c r="C32" s="3" t="s">
        <v>36</v>
      </c>
      <c r="D32" s="3" t="s">
        <v>37</v>
      </c>
      <c r="E32" s="3" t="s">
        <v>38</v>
      </c>
      <c r="F32" s="3" t="s">
        <v>39</v>
      </c>
      <c r="G32" s="3" t="s">
        <v>40</v>
      </c>
      <c r="H32" s="3">
        <v>2247</v>
      </c>
      <c r="I32" s="3">
        <v>1775</v>
      </c>
    </row>
    <row r="33" spans="1:9">
      <c r="A33" s="3" t="s">
        <v>41</v>
      </c>
      <c r="B33" s="4">
        <v>43132</v>
      </c>
      <c r="C33" s="3" t="s">
        <v>42</v>
      </c>
      <c r="D33" s="3" t="s">
        <v>31</v>
      </c>
      <c r="E33" s="3" t="s">
        <v>43</v>
      </c>
      <c r="F33" s="3" t="s">
        <v>44</v>
      </c>
      <c r="G33" s="3" t="s">
        <v>34</v>
      </c>
      <c r="H33" s="3">
        <v>2878</v>
      </c>
      <c r="I33" s="3">
        <v>1784</v>
      </c>
    </row>
    <row r="34" spans="1:9">
      <c r="A34" s="3" t="s">
        <v>45</v>
      </c>
      <c r="B34" s="4">
        <v>43133</v>
      </c>
      <c r="C34" s="3" t="s">
        <v>46</v>
      </c>
      <c r="D34" s="3" t="s">
        <v>75</v>
      </c>
      <c r="E34" s="3" t="s">
        <v>76</v>
      </c>
      <c r="F34" s="3" t="s">
        <v>79</v>
      </c>
      <c r="G34" s="3" t="s">
        <v>40</v>
      </c>
      <c r="H34" s="3">
        <v>3425</v>
      </c>
      <c r="I34" s="3">
        <v>2706</v>
      </c>
    </row>
    <row r="35" spans="1:9">
      <c r="A35" s="3" t="s">
        <v>47</v>
      </c>
      <c r="B35" s="4">
        <v>43134</v>
      </c>
      <c r="C35" s="3" t="s">
        <v>48</v>
      </c>
      <c r="D35" s="3" t="s">
        <v>75</v>
      </c>
      <c r="E35" s="3" t="s">
        <v>77</v>
      </c>
      <c r="F35" s="3" t="s">
        <v>78</v>
      </c>
      <c r="G35" s="3" t="s">
        <v>40</v>
      </c>
      <c r="H35" s="3">
        <v>2865</v>
      </c>
      <c r="I35" s="3">
        <v>2091</v>
      </c>
    </row>
    <row r="36" spans="1:9">
      <c r="A36" s="3" t="s">
        <v>49</v>
      </c>
      <c r="B36" s="4">
        <v>43135</v>
      </c>
      <c r="C36" s="3" t="s">
        <v>50</v>
      </c>
      <c r="D36" s="3" t="s">
        <v>75</v>
      </c>
      <c r="E36" s="3" t="s">
        <v>77</v>
      </c>
      <c r="F36" s="3" t="s">
        <v>78</v>
      </c>
      <c r="G36" s="3" t="s">
        <v>40</v>
      </c>
      <c r="H36" s="3">
        <v>2393</v>
      </c>
      <c r="I36" s="3">
        <v>1723</v>
      </c>
    </row>
    <row r="37" spans="1:9">
      <c r="A37" s="3" t="s">
        <v>51</v>
      </c>
      <c r="B37" s="4">
        <v>43136</v>
      </c>
      <c r="C37" s="3" t="s">
        <v>52</v>
      </c>
      <c r="D37" s="3" t="s">
        <v>53</v>
      </c>
      <c r="E37" s="3" t="s">
        <v>54</v>
      </c>
      <c r="F37" s="3" t="s">
        <v>55</v>
      </c>
      <c r="G37" s="3" t="s">
        <v>11</v>
      </c>
      <c r="H37" s="3">
        <v>3149</v>
      </c>
      <c r="I37" s="3">
        <v>2299</v>
      </c>
    </row>
    <row r="38" spans="1:9">
      <c r="A38" s="3" t="s">
        <v>56</v>
      </c>
      <c r="B38" s="4">
        <v>43137</v>
      </c>
      <c r="C38" s="3" t="s">
        <v>57</v>
      </c>
      <c r="D38" s="3" t="s">
        <v>18</v>
      </c>
      <c r="E38" s="3" t="s">
        <v>58</v>
      </c>
      <c r="F38" s="3" t="s">
        <v>59</v>
      </c>
      <c r="G38" s="3" t="s">
        <v>11</v>
      </c>
      <c r="H38" s="3">
        <v>3277</v>
      </c>
      <c r="I38" s="3">
        <v>2130</v>
      </c>
    </row>
    <row r="39" spans="1:9">
      <c r="A39" s="3" t="s">
        <v>60</v>
      </c>
      <c r="B39" s="4">
        <v>43138</v>
      </c>
      <c r="C39" s="3" t="s">
        <v>61</v>
      </c>
      <c r="D39" s="3" t="s">
        <v>62</v>
      </c>
      <c r="E39" s="3" t="s">
        <v>63</v>
      </c>
      <c r="F39" s="3" t="s">
        <v>64</v>
      </c>
      <c r="G39" s="3" t="s">
        <v>11</v>
      </c>
      <c r="H39" s="3">
        <v>2713</v>
      </c>
      <c r="I39" s="3">
        <v>1682</v>
      </c>
    </row>
    <row r="40" spans="1:9">
      <c r="A40" s="3" t="s">
        <v>65</v>
      </c>
      <c r="B40" s="4">
        <v>43139</v>
      </c>
      <c r="C40" s="3" t="s">
        <v>66</v>
      </c>
      <c r="D40" s="3" t="s">
        <v>62</v>
      </c>
      <c r="E40" s="3" t="s">
        <v>63</v>
      </c>
      <c r="F40" s="3" t="s">
        <v>64</v>
      </c>
      <c r="G40" s="3" t="s">
        <v>11</v>
      </c>
      <c r="H40" s="3">
        <v>3381</v>
      </c>
      <c r="I40" s="3">
        <v>2231</v>
      </c>
    </row>
    <row r="41" spans="1:9">
      <c r="A41" s="3" t="s">
        <v>67</v>
      </c>
      <c r="B41" s="4">
        <v>43140</v>
      </c>
      <c r="C41" s="3" t="s">
        <v>68</v>
      </c>
      <c r="D41" s="3" t="s">
        <v>75</v>
      </c>
      <c r="E41" s="3" t="s">
        <v>76</v>
      </c>
      <c r="F41" s="3" t="s">
        <v>80</v>
      </c>
      <c r="G41" s="3" t="s">
        <v>40</v>
      </c>
      <c r="H41" s="3">
        <v>2545</v>
      </c>
      <c r="I41" s="3">
        <v>2011</v>
      </c>
    </row>
    <row r="42" spans="1:9">
      <c r="A42" s="3" t="s">
        <v>69</v>
      </c>
      <c r="B42" s="4">
        <v>43141</v>
      </c>
      <c r="C42" s="3" t="s">
        <v>70</v>
      </c>
      <c r="D42" s="3" t="s">
        <v>75</v>
      </c>
      <c r="E42" s="3" t="s">
        <v>76</v>
      </c>
      <c r="F42" s="3" t="s">
        <v>80</v>
      </c>
      <c r="G42" s="3" t="s">
        <v>40</v>
      </c>
      <c r="H42" s="3">
        <v>4473</v>
      </c>
      <c r="I42" s="3">
        <v>2729</v>
      </c>
    </row>
    <row r="43" spans="1:9">
      <c r="A43" s="3" t="s">
        <v>71</v>
      </c>
      <c r="B43" s="4">
        <v>43142</v>
      </c>
      <c r="C43" s="3" t="s">
        <v>72</v>
      </c>
      <c r="D43" s="3" t="s">
        <v>75</v>
      </c>
      <c r="E43" s="3" t="s">
        <v>76</v>
      </c>
      <c r="F43" s="3" t="s">
        <v>80</v>
      </c>
      <c r="G43" s="3" t="s">
        <v>40</v>
      </c>
      <c r="H43" s="3">
        <v>3332</v>
      </c>
      <c r="I43" s="3">
        <v>2132</v>
      </c>
    </row>
    <row r="44" spans="1:9">
      <c r="A44" s="3" t="s">
        <v>7</v>
      </c>
      <c r="B44" s="4">
        <v>43143</v>
      </c>
      <c r="C44" s="3" t="s">
        <v>8</v>
      </c>
      <c r="D44" s="3" t="s">
        <v>9</v>
      </c>
      <c r="E44" s="3" t="s">
        <v>10</v>
      </c>
      <c r="F44" s="3" t="s">
        <v>10</v>
      </c>
      <c r="G44" s="3" t="s">
        <v>11</v>
      </c>
      <c r="H44" s="3">
        <v>2283</v>
      </c>
      <c r="I44" s="3">
        <v>1438</v>
      </c>
    </row>
    <row r="45" spans="1:9">
      <c r="A45" s="3" t="s">
        <v>12</v>
      </c>
      <c r="B45" s="4">
        <v>43144</v>
      </c>
      <c r="C45" s="3" t="s">
        <v>13</v>
      </c>
      <c r="D45" s="3" t="s">
        <v>9</v>
      </c>
      <c r="E45" s="3" t="s">
        <v>10</v>
      </c>
      <c r="F45" s="3" t="s">
        <v>10</v>
      </c>
      <c r="G45" s="3" t="s">
        <v>11</v>
      </c>
      <c r="H45" s="3">
        <v>2696</v>
      </c>
      <c r="I45" s="3">
        <v>1833</v>
      </c>
    </row>
    <row r="46" spans="1:9">
      <c r="A46" s="3" t="s">
        <v>14</v>
      </c>
      <c r="B46" s="4">
        <v>43145</v>
      </c>
      <c r="C46" s="3" t="s">
        <v>15</v>
      </c>
      <c r="D46" s="3" t="s">
        <v>9</v>
      </c>
      <c r="E46" s="3" t="s">
        <v>10</v>
      </c>
      <c r="F46" s="3" t="s">
        <v>10</v>
      </c>
      <c r="G46" s="3" t="s">
        <v>11</v>
      </c>
      <c r="H46" s="3">
        <v>4061</v>
      </c>
      <c r="I46" s="3">
        <v>3127</v>
      </c>
    </row>
    <row r="47" spans="1:9">
      <c r="A47" s="3" t="s">
        <v>16</v>
      </c>
      <c r="B47" s="4">
        <v>43146</v>
      </c>
      <c r="C47" s="3" t="s">
        <v>17</v>
      </c>
      <c r="D47" s="3" t="s">
        <v>18</v>
      </c>
      <c r="E47" s="3" t="s">
        <v>19</v>
      </c>
      <c r="F47" s="3" t="s">
        <v>20</v>
      </c>
      <c r="G47" s="3" t="s">
        <v>11</v>
      </c>
      <c r="H47" s="3">
        <v>2382</v>
      </c>
      <c r="I47" s="3">
        <v>1548</v>
      </c>
    </row>
    <row r="48" spans="1:9">
      <c r="A48" s="3" t="s">
        <v>21</v>
      </c>
      <c r="B48" s="4">
        <v>43147</v>
      </c>
      <c r="C48" s="3" t="s">
        <v>22</v>
      </c>
      <c r="D48" s="3" t="s">
        <v>18</v>
      </c>
      <c r="E48" s="3" t="s">
        <v>19</v>
      </c>
      <c r="F48" s="3" t="s">
        <v>20</v>
      </c>
      <c r="G48" s="3" t="s">
        <v>11</v>
      </c>
      <c r="H48" s="3">
        <v>4336</v>
      </c>
      <c r="I48" s="3">
        <v>2602</v>
      </c>
    </row>
    <row r="49" spans="1:9">
      <c r="A49" s="3" t="s">
        <v>23</v>
      </c>
      <c r="B49" s="4">
        <v>43148</v>
      </c>
      <c r="C49" s="3" t="s">
        <v>24</v>
      </c>
      <c r="D49" s="3" t="s">
        <v>18</v>
      </c>
      <c r="E49" s="3" t="s">
        <v>19</v>
      </c>
      <c r="F49" s="3" t="s">
        <v>20</v>
      </c>
      <c r="G49" s="3" t="s">
        <v>11</v>
      </c>
      <c r="H49" s="3">
        <v>2602</v>
      </c>
      <c r="I49" s="3">
        <v>2004</v>
      </c>
    </row>
    <row r="50" spans="1:9">
      <c r="A50" s="3" t="s">
        <v>25</v>
      </c>
      <c r="B50" s="4">
        <v>43149</v>
      </c>
      <c r="C50" s="3" t="s">
        <v>26</v>
      </c>
      <c r="D50" s="3" t="s">
        <v>18</v>
      </c>
      <c r="E50" s="3" t="s">
        <v>19</v>
      </c>
      <c r="F50" s="3" t="s">
        <v>20</v>
      </c>
      <c r="G50" s="3" t="s">
        <v>11</v>
      </c>
      <c r="H50" s="3">
        <v>3094</v>
      </c>
      <c r="I50" s="3">
        <v>2073</v>
      </c>
    </row>
    <row r="51" spans="1:9">
      <c r="A51" s="3" t="s">
        <v>27</v>
      </c>
      <c r="B51" s="4">
        <v>43150</v>
      </c>
      <c r="C51" s="3" t="s">
        <v>28</v>
      </c>
      <c r="D51" s="3" t="s">
        <v>18</v>
      </c>
      <c r="E51" s="3" t="s">
        <v>19</v>
      </c>
      <c r="F51" s="3" t="s">
        <v>20</v>
      </c>
      <c r="G51" s="3" t="s">
        <v>11</v>
      </c>
      <c r="H51" s="3">
        <v>3510</v>
      </c>
      <c r="I51" s="3">
        <v>2141</v>
      </c>
    </row>
    <row r="52" spans="1:9">
      <c r="A52" s="3" t="s">
        <v>29</v>
      </c>
      <c r="B52" s="4">
        <v>43151</v>
      </c>
      <c r="C52" s="3" t="s">
        <v>30</v>
      </c>
      <c r="D52" s="3" t="s">
        <v>31</v>
      </c>
      <c r="E52" s="3" t="s">
        <v>32</v>
      </c>
      <c r="F52" s="3" t="s">
        <v>33</v>
      </c>
      <c r="G52" s="3" t="s">
        <v>34</v>
      </c>
      <c r="H52" s="3">
        <v>2134</v>
      </c>
      <c r="I52" s="3">
        <v>1536</v>
      </c>
    </row>
    <row r="53" spans="1:9">
      <c r="A53" s="3" t="s">
        <v>35</v>
      </c>
      <c r="B53" s="4">
        <v>43152</v>
      </c>
      <c r="C53" s="3" t="s">
        <v>36</v>
      </c>
      <c r="D53" s="3" t="s">
        <v>37</v>
      </c>
      <c r="E53" s="3" t="s">
        <v>38</v>
      </c>
      <c r="F53" s="3" t="s">
        <v>39</v>
      </c>
      <c r="G53" s="3" t="s">
        <v>40</v>
      </c>
      <c r="H53" s="3">
        <v>2661</v>
      </c>
      <c r="I53" s="3">
        <v>2022</v>
      </c>
    </row>
    <row r="54" spans="1:9">
      <c r="A54" s="3" t="s">
        <v>41</v>
      </c>
      <c r="B54" s="4">
        <v>43153</v>
      </c>
      <c r="C54" s="3" t="s">
        <v>42</v>
      </c>
      <c r="D54" s="3" t="s">
        <v>31</v>
      </c>
      <c r="E54" s="3" t="s">
        <v>43</v>
      </c>
      <c r="F54" s="3" t="s">
        <v>44</v>
      </c>
      <c r="G54" s="3" t="s">
        <v>34</v>
      </c>
      <c r="H54" s="3">
        <v>2901</v>
      </c>
      <c r="I54" s="3">
        <v>1741</v>
      </c>
    </row>
    <row r="55" spans="1:9">
      <c r="A55" s="3" t="s">
        <v>45</v>
      </c>
      <c r="B55" s="4">
        <v>43154</v>
      </c>
      <c r="C55" s="3" t="s">
        <v>46</v>
      </c>
      <c r="D55" s="3" t="s">
        <v>75</v>
      </c>
      <c r="E55" s="3" t="s">
        <v>76</v>
      </c>
      <c r="F55" s="3" t="s">
        <v>79</v>
      </c>
      <c r="G55" s="3" t="s">
        <v>40</v>
      </c>
      <c r="H55" s="3">
        <v>3784</v>
      </c>
      <c r="I55" s="3">
        <v>2384</v>
      </c>
    </row>
    <row r="56" spans="1:9">
      <c r="A56" s="3" t="s">
        <v>47</v>
      </c>
      <c r="B56" s="4">
        <v>43155</v>
      </c>
      <c r="C56" s="3" t="s">
        <v>48</v>
      </c>
      <c r="D56" s="3" t="s">
        <v>75</v>
      </c>
      <c r="E56" s="3" t="s">
        <v>77</v>
      </c>
      <c r="F56" s="3" t="s">
        <v>78</v>
      </c>
      <c r="G56" s="3" t="s">
        <v>40</v>
      </c>
      <c r="H56" s="3">
        <v>3135</v>
      </c>
      <c r="I56" s="3">
        <v>2445</v>
      </c>
    </row>
    <row r="57" spans="1:9">
      <c r="A57" s="3" t="s">
        <v>49</v>
      </c>
      <c r="B57" s="4">
        <v>43156</v>
      </c>
      <c r="C57" s="3" t="s">
        <v>50</v>
      </c>
      <c r="D57" s="3" t="s">
        <v>75</v>
      </c>
      <c r="E57" s="3" t="s">
        <v>77</v>
      </c>
      <c r="F57" s="3" t="s">
        <v>78</v>
      </c>
      <c r="G57" s="3" t="s">
        <v>40</v>
      </c>
      <c r="H57" s="3">
        <v>2802</v>
      </c>
      <c r="I57" s="3">
        <v>1877</v>
      </c>
    </row>
    <row r="58" spans="1:9">
      <c r="A58" s="3" t="s">
        <v>51</v>
      </c>
      <c r="B58" s="4">
        <v>43157</v>
      </c>
      <c r="C58" s="3" t="s">
        <v>52</v>
      </c>
      <c r="D58" s="3" t="s">
        <v>53</v>
      </c>
      <c r="E58" s="3" t="s">
        <v>54</v>
      </c>
      <c r="F58" s="3" t="s">
        <v>55</v>
      </c>
      <c r="G58" s="3" t="s">
        <v>11</v>
      </c>
      <c r="H58" s="3">
        <v>3486</v>
      </c>
      <c r="I58" s="3">
        <v>2789</v>
      </c>
    </row>
    <row r="59" spans="1:9">
      <c r="A59" s="3" t="s">
        <v>56</v>
      </c>
      <c r="B59" s="4">
        <v>43158</v>
      </c>
      <c r="C59" s="3" t="s">
        <v>57</v>
      </c>
      <c r="D59" s="3" t="s">
        <v>18</v>
      </c>
      <c r="E59" s="3" t="s">
        <v>58</v>
      </c>
      <c r="F59" s="3" t="s">
        <v>59</v>
      </c>
      <c r="G59" s="3" t="s">
        <v>11</v>
      </c>
      <c r="H59" s="3">
        <v>3422</v>
      </c>
      <c r="I59" s="3">
        <v>2122</v>
      </c>
    </row>
    <row r="60" spans="1:9">
      <c r="A60" s="3" t="s">
        <v>60</v>
      </c>
      <c r="B60" s="4">
        <v>43159</v>
      </c>
      <c r="C60" s="3" t="s">
        <v>61</v>
      </c>
      <c r="D60" s="3" t="s">
        <v>62</v>
      </c>
      <c r="E60" s="3" t="s">
        <v>63</v>
      </c>
      <c r="F60" s="3" t="s">
        <v>64</v>
      </c>
      <c r="G60" s="3" t="s">
        <v>11</v>
      </c>
      <c r="H60" s="3">
        <v>2842</v>
      </c>
      <c r="I60" s="3">
        <v>2188</v>
      </c>
    </row>
    <row r="61" spans="1:9">
      <c r="A61" s="3" t="s">
        <v>65</v>
      </c>
      <c r="B61" s="4">
        <v>43160</v>
      </c>
      <c r="C61" s="3" t="s">
        <v>66</v>
      </c>
      <c r="D61" s="3" t="s">
        <v>62</v>
      </c>
      <c r="E61" s="3" t="s">
        <v>63</v>
      </c>
      <c r="F61" s="3" t="s">
        <v>64</v>
      </c>
      <c r="G61" s="3" t="s">
        <v>11</v>
      </c>
      <c r="H61" s="3">
        <v>3846</v>
      </c>
      <c r="I61" s="3">
        <v>2500</v>
      </c>
    </row>
    <row r="62" spans="1:9">
      <c r="A62" s="3" t="s">
        <v>67</v>
      </c>
      <c r="B62" s="4">
        <v>43161</v>
      </c>
      <c r="C62" s="3" t="s">
        <v>68</v>
      </c>
      <c r="D62" s="3" t="s">
        <v>75</v>
      </c>
      <c r="E62" s="3" t="s">
        <v>76</v>
      </c>
      <c r="F62" s="3" t="s">
        <v>80</v>
      </c>
      <c r="G62" s="3" t="s">
        <v>40</v>
      </c>
      <c r="H62" s="3">
        <v>3131</v>
      </c>
      <c r="I62" s="3">
        <v>2380</v>
      </c>
    </row>
    <row r="63" spans="1:9">
      <c r="A63" s="3" t="s">
        <v>69</v>
      </c>
      <c r="B63" s="4">
        <v>43162</v>
      </c>
      <c r="C63" s="3" t="s">
        <v>70</v>
      </c>
      <c r="D63" s="3" t="s">
        <v>75</v>
      </c>
      <c r="E63" s="3" t="s">
        <v>76</v>
      </c>
      <c r="F63" s="3" t="s">
        <v>80</v>
      </c>
      <c r="G63" s="3" t="s">
        <v>40</v>
      </c>
      <c r="H63" s="3">
        <v>3825</v>
      </c>
      <c r="I63" s="3">
        <v>2333</v>
      </c>
    </row>
    <row r="64" spans="1:9">
      <c r="A64" s="3" t="s">
        <v>71</v>
      </c>
      <c r="B64" s="4">
        <v>43163</v>
      </c>
      <c r="C64" s="3" t="s">
        <v>72</v>
      </c>
      <c r="D64" s="3" t="s">
        <v>75</v>
      </c>
      <c r="E64" s="3" t="s">
        <v>76</v>
      </c>
      <c r="F64" s="3" t="s">
        <v>80</v>
      </c>
      <c r="G64" s="3" t="s">
        <v>40</v>
      </c>
      <c r="H64" s="3">
        <v>4362</v>
      </c>
      <c r="I64" s="3">
        <v>3446</v>
      </c>
    </row>
    <row r="65" spans="1:9">
      <c r="A65" s="3" t="s">
        <v>84</v>
      </c>
      <c r="B65" s="4">
        <v>43164</v>
      </c>
      <c r="C65" s="3" t="s">
        <v>8</v>
      </c>
      <c r="D65" s="3" t="s">
        <v>9</v>
      </c>
      <c r="E65" s="3" t="s">
        <v>10</v>
      </c>
      <c r="F65" s="3" t="s">
        <v>10</v>
      </c>
      <c r="G65" s="3" t="s">
        <v>11</v>
      </c>
      <c r="H65" s="3">
        <v>2934</v>
      </c>
      <c r="I65" s="3">
        <v>1819</v>
      </c>
    </row>
    <row r="66" spans="1:9">
      <c r="A66" s="3" t="s">
        <v>85</v>
      </c>
      <c r="B66" s="4">
        <v>43165</v>
      </c>
      <c r="C66" s="3" t="s">
        <v>13</v>
      </c>
      <c r="D66" s="3" t="s">
        <v>9</v>
      </c>
      <c r="E66" s="3" t="s">
        <v>10</v>
      </c>
      <c r="F66" s="3" t="s">
        <v>10</v>
      </c>
      <c r="G66" s="3" t="s">
        <v>11</v>
      </c>
      <c r="H66" s="3">
        <v>4354</v>
      </c>
      <c r="I66" s="3">
        <v>2787</v>
      </c>
    </row>
    <row r="67" spans="1:9">
      <c r="A67" s="3" t="s">
        <v>86</v>
      </c>
      <c r="B67" s="4">
        <v>43166</v>
      </c>
      <c r="C67" s="3" t="s">
        <v>15</v>
      </c>
      <c r="D67" s="3" t="s">
        <v>9</v>
      </c>
      <c r="E67" s="3" t="s">
        <v>10</v>
      </c>
      <c r="F67" s="3" t="s">
        <v>10</v>
      </c>
      <c r="G67" s="3" t="s">
        <v>11</v>
      </c>
      <c r="H67" s="3">
        <v>2102</v>
      </c>
      <c r="I67" s="3">
        <v>1534</v>
      </c>
    </row>
    <row r="68" spans="1:9">
      <c r="A68" s="3" t="s">
        <v>87</v>
      </c>
      <c r="B68" s="4">
        <v>43167</v>
      </c>
      <c r="C68" s="3" t="s">
        <v>17</v>
      </c>
      <c r="D68" s="3" t="s">
        <v>18</v>
      </c>
      <c r="E68" s="3" t="s">
        <v>19</v>
      </c>
      <c r="F68" s="3" t="s">
        <v>20</v>
      </c>
      <c r="G68" s="3" t="s">
        <v>11</v>
      </c>
      <c r="H68" s="3">
        <v>3261</v>
      </c>
      <c r="I68" s="3">
        <v>2446</v>
      </c>
    </row>
    <row r="69" spans="1:9">
      <c r="A69" s="3" t="s">
        <v>88</v>
      </c>
      <c r="B69" s="4">
        <v>43168</v>
      </c>
      <c r="C69" s="3" t="s">
        <v>22</v>
      </c>
      <c r="D69" s="3" t="s">
        <v>18</v>
      </c>
      <c r="E69" s="3" t="s">
        <v>19</v>
      </c>
      <c r="F69" s="3" t="s">
        <v>20</v>
      </c>
      <c r="G69" s="3" t="s">
        <v>11</v>
      </c>
      <c r="H69" s="3">
        <v>2577</v>
      </c>
      <c r="I69" s="3">
        <v>1907</v>
      </c>
    </row>
    <row r="70" spans="1:9">
      <c r="A70" s="3" t="s">
        <v>89</v>
      </c>
      <c r="B70" s="4">
        <v>43169</v>
      </c>
      <c r="C70" s="3" t="s">
        <v>24</v>
      </c>
      <c r="D70" s="3" t="s">
        <v>18</v>
      </c>
      <c r="E70" s="3" t="s">
        <v>19</v>
      </c>
      <c r="F70" s="3" t="s">
        <v>20</v>
      </c>
      <c r="G70" s="3" t="s">
        <v>11</v>
      </c>
      <c r="H70" s="3">
        <v>3131</v>
      </c>
      <c r="I70" s="3">
        <v>1973</v>
      </c>
    </row>
    <row r="71" spans="1:9">
      <c r="A71" s="3" t="s">
        <v>90</v>
      </c>
      <c r="B71" s="4">
        <v>43170</v>
      </c>
      <c r="C71" s="3" t="s">
        <v>26</v>
      </c>
      <c r="D71" s="3" t="s">
        <v>18</v>
      </c>
      <c r="E71" s="3" t="s">
        <v>19</v>
      </c>
      <c r="F71" s="3" t="s">
        <v>20</v>
      </c>
      <c r="G71" s="3" t="s">
        <v>11</v>
      </c>
      <c r="H71" s="3">
        <v>2683</v>
      </c>
      <c r="I71" s="3">
        <v>1798</v>
      </c>
    </row>
    <row r="72" spans="1:9">
      <c r="A72" s="3" t="s">
        <v>91</v>
      </c>
      <c r="B72" s="4">
        <v>43171</v>
      </c>
      <c r="C72" s="3" t="s">
        <v>28</v>
      </c>
      <c r="D72" s="3" t="s">
        <v>18</v>
      </c>
      <c r="E72" s="3" t="s">
        <v>19</v>
      </c>
      <c r="F72" s="3" t="s">
        <v>20</v>
      </c>
      <c r="G72" s="3" t="s">
        <v>11</v>
      </c>
      <c r="H72" s="3">
        <v>2613</v>
      </c>
      <c r="I72" s="3">
        <v>1751</v>
      </c>
    </row>
    <row r="73" spans="1:9">
      <c r="A73" s="3" t="s">
        <v>92</v>
      </c>
      <c r="B73" s="4">
        <v>43172</v>
      </c>
      <c r="C73" s="3" t="s">
        <v>30</v>
      </c>
      <c r="D73" s="3" t="s">
        <v>31</v>
      </c>
      <c r="E73" s="3" t="s">
        <v>32</v>
      </c>
      <c r="F73" s="3" t="s">
        <v>33</v>
      </c>
      <c r="G73" s="3" t="s">
        <v>34</v>
      </c>
      <c r="H73" s="3">
        <v>4076</v>
      </c>
      <c r="I73" s="3">
        <v>2609</v>
      </c>
    </row>
    <row r="74" spans="1:9">
      <c r="A74" s="3" t="s">
        <v>93</v>
      </c>
      <c r="B74" s="4">
        <v>43173</v>
      </c>
      <c r="C74" s="3" t="s">
        <v>36</v>
      </c>
      <c r="D74" s="3" t="s">
        <v>37</v>
      </c>
      <c r="E74" s="3" t="s">
        <v>38</v>
      </c>
      <c r="F74" s="3" t="s">
        <v>39</v>
      </c>
      <c r="G74" s="3" t="s">
        <v>40</v>
      </c>
      <c r="H74" s="3">
        <v>4400</v>
      </c>
      <c r="I74" s="3">
        <v>3432</v>
      </c>
    </row>
    <row r="75" spans="1:9">
      <c r="A75" s="3" t="s">
        <v>94</v>
      </c>
      <c r="B75" s="4">
        <v>43174</v>
      </c>
      <c r="C75" s="3" t="s">
        <v>42</v>
      </c>
      <c r="D75" s="3" t="s">
        <v>31</v>
      </c>
      <c r="E75" s="3" t="s">
        <v>43</v>
      </c>
      <c r="F75" s="3" t="s">
        <v>44</v>
      </c>
      <c r="G75" s="3" t="s">
        <v>34</v>
      </c>
      <c r="H75" s="3">
        <v>2466</v>
      </c>
      <c r="I75" s="3">
        <v>1603</v>
      </c>
    </row>
    <row r="76" spans="1:9">
      <c r="A76" s="3" t="s">
        <v>95</v>
      </c>
      <c r="B76" s="4">
        <v>43175</v>
      </c>
      <c r="C76" s="3" t="s">
        <v>46</v>
      </c>
      <c r="D76" s="3" t="s">
        <v>75</v>
      </c>
      <c r="E76" s="3" t="s">
        <v>76</v>
      </c>
      <c r="F76" s="3" t="s">
        <v>79</v>
      </c>
      <c r="G76" s="3" t="s">
        <v>40</v>
      </c>
      <c r="H76" s="3">
        <v>2137</v>
      </c>
      <c r="I76" s="3">
        <v>1325</v>
      </c>
    </row>
    <row r="77" spans="1:9">
      <c r="A77" s="3" t="s">
        <v>96</v>
      </c>
      <c r="B77" s="4">
        <v>43176</v>
      </c>
      <c r="C77" s="3" t="s">
        <v>48</v>
      </c>
      <c r="D77" s="3" t="s">
        <v>75</v>
      </c>
      <c r="E77" s="3" t="s">
        <v>77</v>
      </c>
      <c r="F77" s="3" t="s">
        <v>78</v>
      </c>
      <c r="G77" s="3" t="s">
        <v>40</v>
      </c>
      <c r="H77" s="3">
        <v>4216</v>
      </c>
      <c r="I77" s="3">
        <v>3162</v>
      </c>
    </row>
    <row r="78" spans="1:9">
      <c r="A78" s="3" t="s">
        <v>97</v>
      </c>
      <c r="B78" s="4">
        <v>43177</v>
      </c>
      <c r="C78" s="3" t="s">
        <v>50</v>
      </c>
      <c r="D78" s="3" t="s">
        <v>75</v>
      </c>
      <c r="E78" s="3" t="s">
        <v>77</v>
      </c>
      <c r="F78" s="3" t="s">
        <v>78</v>
      </c>
      <c r="G78" s="3" t="s">
        <v>40</v>
      </c>
      <c r="H78" s="3">
        <v>3165</v>
      </c>
      <c r="I78" s="3">
        <v>2310</v>
      </c>
    </row>
    <row r="79" spans="1:9">
      <c r="A79" s="3" t="s">
        <v>98</v>
      </c>
      <c r="B79" s="4">
        <v>43178</v>
      </c>
      <c r="C79" s="3" t="s">
        <v>52</v>
      </c>
      <c r="D79" s="3" t="s">
        <v>53</v>
      </c>
      <c r="E79" s="3" t="s">
        <v>54</v>
      </c>
      <c r="F79" s="3" t="s">
        <v>55</v>
      </c>
      <c r="G79" s="3" t="s">
        <v>11</v>
      </c>
      <c r="H79" s="3">
        <v>3263</v>
      </c>
      <c r="I79" s="3">
        <v>2545</v>
      </c>
    </row>
    <row r="80" spans="1:9">
      <c r="A80" s="3" t="s">
        <v>99</v>
      </c>
      <c r="B80" s="4">
        <v>43179</v>
      </c>
      <c r="C80" s="3" t="s">
        <v>57</v>
      </c>
      <c r="D80" s="3" t="s">
        <v>18</v>
      </c>
      <c r="E80" s="3" t="s">
        <v>58</v>
      </c>
      <c r="F80" s="3" t="s">
        <v>59</v>
      </c>
      <c r="G80" s="3" t="s">
        <v>11</v>
      </c>
      <c r="H80" s="3">
        <v>2946</v>
      </c>
      <c r="I80" s="3">
        <v>2210</v>
      </c>
    </row>
    <row r="81" spans="1:9">
      <c r="A81" s="3" t="s">
        <v>100</v>
      </c>
      <c r="B81" s="4">
        <v>43180</v>
      </c>
      <c r="C81" s="3" t="s">
        <v>61</v>
      </c>
      <c r="D81" s="3" t="s">
        <v>62</v>
      </c>
      <c r="E81" s="3" t="s">
        <v>63</v>
      </c>
      <c r="F81" s="3" t="s">
        <v>64</v>
      </c>
      <c r="G81" s="3" t="s">
        <v>11</v>
      </c>
      <c r="H81" s="3">
        <v>2989</v>
      </c>
      <c r="I81" s="3">
        <v>2212</v>
      </c>
    </row>
    <row r="82" spans="1:9">
      <c r="A82" s="3" t="s">
        <v>101</v>
      </c>
      <c r="B82" s="4">
        <v>43181</v>
      </c>
      <c r="C82" s="3" t="s">
        <v>66</v>
      </c>
      <c r="D82" s="3" t="s">
        <v>62</v>
      </c>
      <c r="E82" s="3" t="s">
        <v>63</v>
      </c>
      <c r="F82" s="3" t="s">
        <v>64</v>
      </c>
      <c r="G82" s="3" t="s">
        <v>11</v>
      </c>
      <c r="H82" s="3">
        <v>3463</v>
      </c>
      <c r="I82" s="3">
        <v>2770</v>
      </c>
    </row>
    <row r="83" spans="1:9">
      <c r="A83" s="3" t="s">
        <v>102</v>
      </c>
      <c r="B83" s="4">
        <v>43182</v>
      </c>
      <c r="C83" s="3" t="s">
        <v>68</v>
      </c>
      <c r="D83" s="3" t="s">
        <v>75</v>
      </c>
      <c r="E83" s="3" t="s">
        <v>76</v>
      </c>
      <c r="F83" s="3" t="s">
        <v>80</v>
      </c>
      <c r="G83" s="3" t="s">
        <v>40</v>
      </c>
      <c r="H83" s="3">
        <v>2677</v>
      </c>
      <c r="I83" s="3">
        <v>2088</v>
      </c>
    </row>
    <row r="84" spans="1:9">
      <c r="A84" s="3" t="s">
        <v>103</v>
      </c>
      <c r="B84" s="4">
        <v>43183</v>
      </c>
      <c r="C84" s="3" t="s">
        <v>70</v>
      </c>
      <c r="D84" s="3" t="s">
        <v>75</v>
      </c>
      <c r="E84" s="3" t="s">
        <v>76</v>
      </c>
      <c r="F84" s="3" t="s">
        <v>80</v>
      </c>
      <c r="G84" s="3" t="s">
        <v>40</v>
      </c>
      <c r="H84" s="3">
        <v>2966</v>
      </c>
      <c r="I84" s="3">
        <v>1928</v>
      </c>
    </row>
    <row r="85" spans="1:9">
      <c r="A85" s="3" t="s">
        <v>104</v>
      </c>
      <c r="B85" s="4">
        <v>43184</v>
      </c>
      <c r="C85" s="3" t="s">
        <v>72</v>
      </c>
      <c r="D85" s="3" t="s">
        <v>75</v>
      </c>
      <c r="E85" s="3" t="s">
        <v>76</v>
      </c>
      <c r="F85" s="3" t="s">
        <v>80</v>
      </c>
      <c r="G85" s="3" t="s">
        <v>40</v>
      </c>
      <c r="H85" s="3">
        <v>2106</v>
      </c>
      <c r="I85" s="3">
        <v>1516</v>
      </c>
    </row>
    <row r="86" spans="1:9">
      <c r="A86" s="3" t="s">
        <v>105</v>
      </c>
      <c r="B86" s="4">
        <v>43185</v>
      </c>
      <c r="C86" s="3" t="s">
        <v>8</v>
      </c>
      <c r="D86" s="3" t="s">
        <v>9</v>
      </c>
      <c r="E86" s="3" t="s">
        <v>10</v>
      </c>
      <c r="F86" s="3" t="s">
        <v>10</v>
      </c>
      <c r="G86" s="3" t="s">
        <v>11</v>
      </c>
      <c r="H86" s="3">
        <v>3664</v>
      </c>
      <c r="I86" s="3">
        <v>2272</v>
      </c>
    </row>
    <row r="87" spans="1:9">
      <c r="A87" s="3" t="s">
        <v>106</v>
      </c>
      <c r="B87" s="4">
        <v>43186</v>
      </c>
      <c r="C87" s="3" t="s">
        <v>13</v>
      </c>
      <c r="D87" s="3" t="s">
        <v>9</v>
      </c>
      <c r="E87" s="3" t="s">
        <v>10</v>
      </c>
      <c r="F87" s="3" t="s">
        <v>10</v>
      </c>
      <c r="G87" s="3" t="s">
        <v>11</v>
      </c>
      <c r="H87" s="3">
        <v>3069</v>
      </c>
      <c r="I87" s="3">
        <v>2240</v>
      </c>
    </row>
    <row r="88" spans="1:9">
      <c r="A88" s="3" t="s">
        <v>107</v>
      </c>
      <c r="B88" s="4">
        <v>43187</v>
      </c>
      <c r="C88" s="3" t="s">
        <v>15</v>
      </c>
      <c r="D88" s="3" t="s">
        <v>9</v>
      </c>
      <c r="E88" s="3" t="s">
        <v>10</v>
      </c>
      <c r="F88" s="3" t="s">
        <v>10</v>
      </c>
      <c r="G88" s="3" t="s">
        <v>11</v>
      </c>
      <c r="H88" s="3">
        <v>3755</v>
      </c>
      <c r="I88" s="3">
        <v>2516</v>
      </c>
    </row>
    <row r="89" spans="1:9">
      <c r="A89" s="3" t="s">
        <v>108</v>
      </c>
      <c r="B89" s="4">
        <v>43188</v>
      </c>
      <c r="C89" s="3" t="s">
        <v>17</v>
      </c>
      <c r="D89" s="3" t="s">
        <v>18</v>
      </c>
      <c r="E89" s="3" t="s">
        <v>19</v>
      </c>
      <c r="F89" s="3" t="s">
        <v>20</v>
      </c>
      <c r="G89" s="3" t="s">
        <v>11</v>
      </c>
      <c r="H89" s="3">
        <v>3215</v>
      </c>
      <c r="I89" s="3">
        <v>2058</v>
      </c>
    </row>
    <row r="90" spans="1:9">
      <c r="A90" s="3" t="s">
        <v>109</v>
      </c>
      <c r="B90" s="4">
        <v>43189</v>
      </c>
      <c r="C90" s="3" t="s">
        <v>22</v>
      </c>
      <c r="D90" s="3" t="s">
        <v>18</v>
      </c>
      <c r="E90" s="3" t="s">
        <v>19</v>
      </c>
      <c r="F90" s="3" t="s">
        <v>20</v>
      </c>
      <c r="G90" s="3" t="s">
        <v>11</v>
      </c>
      <c r="H90" s="3">
        <v>3685</v>
      </c>
      <c r="I90" s="3">
        <v>2543</v>
      </c>
    </row>
    <row r="91" spans="1:9">
      <c r="A91" s="3" t="s">
        <v>110</v>
      </c>
      <c r="B91" s="4">
        <v>43190</v>
      </c>
      <c r="C91" s="3" t="s">
        <v>24</v>
      </c>
      <c r="D91" s="3" t="s">
        <v>18</v>
      </c>
      <c r="E91" s="3" t="s">
        <v>19</v>
      </c>
      <c r="F91" s="3" t="s">
        <v>20</v>
      </c>
      <c r="G91" s="3" t="s">
        <v>11</v>
      </c>
      <c r="H91" s="3">
        <v>4015</v>
      </c>
      <c r="I91" s="3">
        <v>2730</v>
      </c>
    </row>
    <row r="92" spans="1:9">
      <c r="A92" s="3" t="s">
        <v>111</v>
      </c>
      <c r="B92" s="4">
        <v>43191</v>
      </c>
      <c r="C92" s="3" t="s">
        <v>26</v>
      </c>
      <c r="D92" s="3" t="s">
        <v>18</v>
      </c>
      <c r="E92" s="3" t="s">
        <v>19</v>
      </c>
      <c r="F92" s="3" t="s">
        <v>20</v>
      </c>
      <c r="G92" s="3" t="s">
        <v>11</v>
      </c>
      <c r="H92" s="3">
        <v>2517</v>
      </c>
      <c r="I92" s="3">
        <v>1661</v>
      </c>
    </row>
    <row r="93" spans="1:9">
      <c r="A93" s="3" t="s">
        <v>112</v>
      </c>
      <c r="B93" s="4">
        <v>43192</v>
      </c>
      <c r="C93" s="3" t="s">
        <v>28</v>
      </c>
      <c r="D93" s="3" t="s">
        <v>18</v>
      </c>
      <c r="E93" s="3" t="s">
        <v>19</v>
      </c>
      <c r="F93" s="3" t="s">
        <v>20</v>
      </c>
      <c r="G93" s="3" t="s">
        <v>11</v>
      </c>
      <c r="H93" s="3">
        <v>2598</v>
      </c>
      <c r="I93" s="3">
        <v>1793</v>
      </c>
    </row>
    <row r="94" spans="1:9">
      <c r="A94" s="3" t="s">
        <v>113</v>
      </c>
      <c r="B94" s="4">
        <v>43193</v>
      </c>
      <c r="C94" s="3" t="s">
        <v>30</v>
      </c>
      <c r="D94" s="3" t="s">
        <v>31</v>
      </c>
      <c r="E94" s="3" t="s">
        <v>32</v>
      </c>
      <c r="F94" s="3" t="s">
        <v>33</v>
      </c>
      <c r="G94" s="3" t="s">
        <v>34</v>
      </c>
      <c r="H94" s="3">
        <v>3513</v>
      </c>
      <c r="I94" s="3">
        <v>2740</v>
      </c>
    </row>
    <row r="95" spans="1:9">
      <c r="A95" s="3" t="s">
        <v>114</v>
      </c>
      <c r="B95" s="4">
        <v>43194</v>
      </c>
      <c r="C95" s="3" t="s">
        <v>36</v>
      </c>
      <c r="D95" s="3" t="s">
        <v>37</v>
      </c>
      <c r="E95" s="3" t="s">
        <v>38</v>
      </c>
      <c r="F95" s="3" t="s">
        <v>39</v>
      </c>
      <c r="G95" s="3" t="s">
        <v>40</v>
      </c>
      <c r="H95" s="3">
        <v>2247</v>
      </c>
      <c r="I95" s="3">
        <v>1775</v>
      </c>
    </row>
    <row r="96" spans="1:9">
      <c r="A96" s="3" t="s">
        <v>115</v>
      </c>
      <c r="B96" s="4">
        <v>43195</v>
      </c>
      <c r="C96" s="3" t="s">
        <v>42</v>
      </c>
      <c r="D96" s="3" t="s">
        <v>31</v>
      </c>
      <c r="E96" s="3" t="s">
        <v>43</v>
      </c>
      <c r="F96" s="3" t="s">
        <v>44</v>
      </c>
      <c r="G96" s="3" t="s">
        <v>34</v>
      </c>
      <c r="H96" s="3">
        <v>2878</v>
      </c>
      <c r="I96" s="3">
        <v>1784</v>
      </c>
    </row>
    <row r="97" spans="1:9">
      <c r="A97" s="3" t="s">
        <v>116</v>
      </c>
      <c r="B97" s="4">
        <v>43196</v>
      </c>
      <c r="C97" s="3" t="s">
        <v>46</v>
      </c>
      <c r="D97" s="3" t="s">
        <v>75</v>
      </c>
      <c r="E97" s="3" t="s">
        <v>76</v>
      </c>
      <c r="F97" s="3" t="s">
        <v>79</v>
      </c>
      <c r="G97" s="3" t="s">
        <v>40</v>
      </c>
      <c r="H97" s="3">
        <v>3425</v>
      </c>
      <c r="I97" s="3">
        <v>2706</v>
      </c>
    </row>
    <row r="98" spans="1:9">
      <c r="A98" s="3" t="s">
        <v>117</v>
      </c>
      <c r="B98" s="4">
        <v>43197</v>
      </c>
      <c r="C98" s="3" t="s">
        <v>48</v>
      </c>
      <c r="D98" s="3" t="s">
        <v>75</v>
      </c>
      <c r="E98" s="3" t="s">
        <v>77</v>
      </c>
      <c r="F98" s="3" t="s">
        <v>78</v>
      </c>
      <c r="G98" s="3" t="s">
        <v>40</v>
      </c>
      <c r="H98" s="3">
        <v>2865</v>
      </c>
      <c r="I98" s="3">
        <v>2091</v>
      </c>
    </row>
    <row r="99" spans="1:9">
      <c r="A99" s="3" t="s">
        <v>118</v>
      </c>
      <c r="B99" s="4">
        <v>43198</v>
      </c>
      <c r="C99" s="3" t="s">
        <v>50</v>
      </c>
      <c r="D99" s="3" t="s">
        <v>75</v>
      </c>
      <c r="E99" s="3" t="s">
        <v>77</v>
      </c>
      <c r="F99" s="3" t="s">
        <v>78</v>
      </c>
      <c r="G99" s="3" t="s">
        <v>40</v>
      </c>
      <c r="H99" s="3">
        <v>2393</v>
      </c>
      <c r="I99" s="3">
        <v>1723</v>
      </c>
    </row>
    <row r="100" spans="1:9">
      <c r="A100" s="3" t="s">
        <v>119</v>
      </c>
      <c r="B100" s="4">
        <v>43199</v>
      </c>
      <c r="C100" s="3" t="s">
        <v>52</v>
      </c>
      <c r="D100" s="3" t="s">
        <v>53</v>
      </c>
      <c r="E100" s="3" t="s">
        <v>54</v>
      </c>
      <c r="F100" s="3" t="s">
        <v>55</v>
      </c>
      <c r="G100" s="3" t="s">
        <v>11</v>
      </c>
      <c r="H100" s="3">
        <v>3149</v>
      </c>
      <c r="I100" s="3">
        <v>2299</v>
      </c>
    </row>
    <row r="101" spans="1:9">
      <c r="A101" s="3" t="s">
        <v>120</v>
      </c>
      <c r="B101" s="4">
        <v>43200</v>
      </c>
      <c r="C101" s="3" t="s">
        <v>57</v>
      </c>
      <c r="D101" s="3" t="s">
        <v>18</v>
      </c>
      <c r="E101" s="3" t="s">
        <v>58</v>
      </c>
      <c r="F101" s="3" t="s">
        <v>59</v>
      </c>
      <c r="G101" s="3" t="s">
        <v>11</v>
      </c>
      <c r="H101" s="3">
        <v>3277</v>
      </c>
      <c r="I101" s="3">
        <v>2130</v>
      </c>
    </row>
    <row r="102" spans="1:9">
      <c r="A102" s="3" t="s">
        <v>121</v>
      </c>
      <c r="B102" s="4">
        <v>43201</v>
      </c>
      <c r="C102" s="3" t="s">
        <v>61</v>
      </c>
      <c r="D102" s="3" t="s">
        <v>62</v>
      </c>
      <c r="E102" s="3" t="s">
        <v>63</v>
      </c>
      <c r="F102" s="3" t="s">
        <v>64</v>
      </c>
      <c r="G102" s="3" t="s">
        <v>11</v>
      </c>
      <c r="H102" s="3">
        <v>2713</v>
      </c>
      <c r="I102" s="3">
        <v>1682</v>
      </c>
    </row>
    <row r="103" spans="1:9">
      <c r="A103" s="3" t="s">
        <v>122</v>
      </c>
      <c r="B103" s="4">
        <v>43202</v>
      </c>
      <c r="C103" s="3" t="s">
        <v>66</v>
      </c>
      <c r="D103" s="3" t="s">
        <v>62</v>
      </c>
      <c r="E103" s="3" t="s">
        <v>63</v>
      </c>
      <c r="F103" s="3" t="s">
        <v>64</v>
      </c>
      <c r="G103" s="3" t="s">
        <v>11</v>
      </c>
      <c r="H103" s="3">
        <v>3381</v>
      </c>
      <c r="I103" s="3">
        <v>2231</v>
      </c>
    </row>
    <row r="104" spans="1:9">
      <c r="A104" s="3" t="s">
        <v>123</v>
      </c>
      <c r="B104" s="4">
        <v>43203</v>
      </c>
      <c r="C104" s="3" t="s">
        <v>68</v>
      </c>
      <c r="D104" s="3" t="s">
        <v>75</v>
      </c>
      <c r="E104" s="3" t="s">
        <v>76</v>
      </c>
      <c r="F104" s="3" t="s">
        <v>80</v>
      </c>
      <c r="G104" s="3" t="s">
        <v>40</v>
      </c>
      <c r="H104" s="3">
        <v>2545</v>
      </c>
      <c r="I104" s="3">
        <v>2011</v>
      </c>
    </row>
    <row r="105" spans="1:9">
      <c r="A105" s="3" t="s">
        <v>124</v>
      </c>
      <c r="B105" s="4">
        <v>43204</v>
      </c>
      <c r="C105" s="3" t="s">
        <v>70</v>
      </c>
      <c r="D105" s="3" t="s">
        <v>75</v>
      </c>
      <c r="E105" s="3" t="s">
        <v>76</v>
      </c>
      <c r="F105" s="3" t="s">
        <v>80</v>
      </c>
      <c r="G105" s="3" t="s">
        <v>40</v>
      </c>
      <c r="H105" s="3">
        <v>4473</v>
      </c>
      <c r="I105" s="3">
        <v>2729</v>
      </c>
    </row>
    <row r="106" spans="1:9">
      <c r="A106" s="3" t="s">
        <v>125</v>
      </c>
      <c r="B106" s="4">
        <v>43205</v>
      </c>
      <c r="C106" s="3" t="s">
        <v>72</v>
      </c>
      <c r="D106" s="3" t="s">
        <v>75</v>
      </c>
      <c r="E106" s="3" t="s">
        <v>76</v>
      </c>
      <c r="F106" s="3" t="s">
        <v>80</v>
      </c>
      <c r="G106" s="3" t="s">
        <v>40</v>
      </c>
      <c r="H106" s="3">
        <v>3332</v>
      </c>
      <c r="I106" s="3">
        <v>2132</v>
      </c>
    </row>
    <row r="107" spans="1:9">
      <c r="A107" s="3" t="s">
        <v>126</v>
      </c>
      <c r="B107" s="4">
        <v>43206</v>
      </c>
      <c r="C107" s="3" t="s">
        <v>8</v>
      </c>
      <c r="D107" s="3" t="s">
        <v>9</v>
      </c>
      <c r="E107" s="3" t="s">
        <v>10</v>
      </c>
      <c r="F107" s="3" t="s">
        <v>10</v>
      </c>
      <c r="G107" s="3" t="s">
        <v>11</v>
      </c>
      <c r="H107" s="3">
        <v>2283</v>
      </c>
      <c r="I107" s="3">
        <v>1438</v>
      </c>
    </row>
    <row r="108" spans="1:9">
      <c r="A108" s="3" t="s">
        <v>127</v>
      </c>
      <c r="B108" s="4">
        <v>43207</v>
      </c>
      <c r="C108" s="3" t="s">
        <v>13</v>
      </c>
      <c r="D108" s="3" t="s">
        <v>9</v>
      </c>
      <c r="E108" s="3" t="s">
        <v>10</v>
      </c>
      <c r="F108" s="3" t="s">
        <v>10</v>
      </c>
      <c r="G108" s="3" t="s">
        <v>11</v>
      </c>
      <c r="H108" s="3">
        <v>2696</v>
      </c>
      <c r="I108" s="3">
        <v>1833</v>
      </c>
    </row>
    <row r="109" spans="1:9">
      <c r="A109" s="3" t="s">
        <v>128</v>
      </c>
      <c r="B109" s="4">
        <v>43208</v>
      </c>
      <c r="C109" s="3" t="s">
        <v>15</v>
      </c>
      <c r="D109" s="3" t="s">
        <v>9</v>
      </c>
      <c r="E109" s="3" t="s">
        <v>10</v>
      </c>
      <c r="F109" s="3" t="s">
        <v>10</v>
      </c>
      <c r="G109" s="3" t="s">
        <v>11</v>
      </c>
      <c r="H109" s="3">
        <v>4061</v>
      </c>
      <c r="I109" s="3">
        <v>3127</v>
      </c>
    </row>
    <row r="110" spans="1:9">
      <c r="A110" s="3" t="s">
        <v>129</v>
      </c>
      <c r="B110" s="4">
        <v>43209</v>
      </c>
      <c r="C110" s="3" t="s">
        <v>17</v>
      </c>
      <c r="D110" s="3" t="s">
        <v>18</v>
      </c>
      <c r="E110" s="3" t="s">
        <v>19</v>
      </c>
      <c r="F110" s="3" t="s">
        <v>20</v>
      </c>
      <c r="G110" s="3" t="s">
        <v>11</v>
      </c>
      <c r="H110" s="3">
        <v>2382</v>
      </c>
      <c r="I110" s="3">
        <v>1548</v>
      </c>
    </row>
    <row r="111" spans="1:9">
      <c r="A111" s="3" t="s">
        <v>130</v>
      </c>
      <c r="B111" s="4">
        <v>43210</v>
      </c>
      <c r="C111" s="3" t="s">
        <v>22</v>
      </c>
      <c r="D111" s="3" t="s">
        <v>18</v>
      </c>
      <c r="E111" s="3" t="s">
        <v>19</v>
      </c>
      <c r="F111" s="3" t="s">
        <v>20</v>
      </c>
      <c r="G111" s="3" t="s">
        <v>11</v>
      </c>
      <c r="H111" s="3">
        <v>4336</v>
      </c>
      <c r="I111" s="3">
        <v>2602</v>
      </c>
    </row>
    <row r="112" spans="1:9">
      <c r="A112" s="3" t="s">
        <v>131</v>
      </c>
      <c r="B112" s="4">
        <v>43211</v>
      </c>
      <c r="C112" s="3" t="s">
        <v>24</v>
      </c>
      <c r="D112" s="3" t="s">
        <v>18</v>
      </c>
      <c r="E112" s="3" t="s">
        <v>19</v>
      </c>
      <c r="F112" s="3" t="s">
        <v>20</v>
      </c>
      <c r="G112" s="3" t="s">
        <v>11</v>
      </c>
      <c r="H112" s="3">
        <v>2602</v>
      </c>
      <c r="I112" s="3">
        <v>2004</v>
      </c>
    </row>
    <row r="113" spans="1:9">
      <c r="A113" s="3" t="s">
        <v>132</v>
      </c>
      <c r="B113" s="4">
        <v>43212</v>
      </c>
      <c r="C113" s="3" t="s">
        <v>26</v>
      </c>
      <c r="D113" s="3" t="s">
        <v>18</v>
      </c>
      <c r="E113" s="3" t="s">
        <v>19</v>
      </c>
      <c r="F113" s="3" t="s">
        <v>20</v>
      </c>
      <c r="G113" s="3" t="s">
        <v>11</v>
      </c>
      <c r="H113" s="3">
        <v>3094</v>
      </c>
      <c r="I113" s="3">
        <v>2073</v>
      </c>
    </row>
    <row r="114" spans="1:9">
      <c r="A114" s="3" t="s">
        <v>133</v>
      </c>
      <c r="B114" s="4">
        <v>43213</v>
      </c>
      <c r="C114" s="3" t="s">
        <v>28</v>
      </c>
      <c r="D114" s="3" t="s">
        <v>18</v>
      </c>
      <c r="E114" s="3" t="s">
        <v>19</v>
      </c>
      <c r="F114" s="3" t="s">
        <v>20</v>
      </c>
      <c r="G114" s="3" t="s">
        <v>11</v>
      </c>
      <c r="H114" s="3">
        <v>3510</v>
      </c>
      <c r="I114" s="3">
        <v>2141</v>
      </c>
    </row>
    <row r="115" spans="1:9">
      <c r="A115" s="3" t="s">
        <v>134</v>
      </c>
      <c r="B115" s="4">
        <v>43214</v>
      </c>
      <c r="C115" s="3" t="s">
        <v>30</v>
      </c>
      <c r="D115" s="3" t="s">
        <v>31</v>
      </c>
      <c r="E115" s="3" t="s">
        <v>32</v>
      </c>
      <c r="F115" s="3" t="s">
        <v>33</v>
      </c>
      <c r="G115" s="3" t="s">
        <v>34</v>
      </c>
      <c r="H115" s="3">
        <v>2134</v>
      </c>
      <c r="I115" s="3">
        <v>1536</v>
      </c>
    </row>
    <row r="116" spans="1:9">
      <c r="A116" s="3" t="s">
        <v>135</v>
      </c>
      <c r="B116" s="4">
        <v>43215</v>
      </c>
      <c r="C116" s="3" t="s">
        <v>36</v>
      </c>
      <c r="D116" s="3" t="s">
        <v>37</v>
      </c>
      <c r="E116" s="3" t="s">
        <v>38</v>
      </c>
      <c r="F116" s="3" t="s">
        <v>39</v>
      </c>
      <c r="G116" s="3" t="s">
        <v>40</v>
      </c>
      <c r="H116" s="3">
        <v>2661</v>
      </c>
      <c r="I116" s="3">
        <v>2022</v>
      </c>
    </row>
    <row r="117" spans="1:9">
      <c r="A117" s="3" t="s">
        <v>136</v>
      </c>
      <c r="B117" s="4">
        <v>43216</v>
      </c>
      <c r="C117" s="3" t="s">
        <v>42</v>
      </c>
      <c r="D117" s="3" t="s">
        <v>31</v>
      </c>
      <c r="E117" s="3" t="s">
        <v>43</v>
      </c>
      <c r="F117" s="3" t="s">
        <v>44</v>
      </c>
      <c r="G117" s="3" t="s">
        <v>34</v>
      </c>
      <c r="H117" s="3">
        <v>2901</v>
      </c>
      <c r="I117" s="3">
        <v>1741</v>
      </c>
    </row>
    <row r="118" spans="1:9">
      <c r="A118" s="3" t="s">
        <v>137</v>
      </c>
      <c r="B118" s="4">
        <v>43217</v>
      </c>
      <c r="C118" s="3" t="s">
        <v>46</v>
      </c>
      <c r="D118" s="3" t="s">
        <v>75</v>
      </c>
      <c r="E118" s="3" t="s">
        <v>76</v>
      </c>
      <c r="F118" s="3" t="s">
        <v>79</v>
      </c>
      <c r="G118" s="3" t="s">
        <v>40</v>
      </c>
      <c r="H118" s="3">
        <v>3784</v>
      </c>
      <c r="I118" s="3">
        <v>2384</v>
      </c>
    </row>
    <row r="119" spans="1:9">
      <c r="A119" s="3" t="s">
        <v>138</v>
      </c>
      <c r="B119" s="4">
        <v>43218</v>
      </c>
      <c r="C119" s="3" t="s">
        <v>48</v>
      </c>
      <c r="D119" s="3" t="s">
        <v>75</v>
      </c>
      <c r="E119" s="3" t="s">
        <v>77</v>
      </c>
      <c r="F119" s="3" t="s">
        <v>78</v>
      </c>
      <c r="G119" s="3" t="s">
        <v>40</v>
      </c>
      <c r="H119" s="3">
        <v>3135</v>
      </c>
      <c r="I119" s="3">
        <v>2445</v>
      </c>
    </row>
    <row r="120" spans="1:9">
      <c r="A120" s="3" t="s">
        <v>139</v>
      </c>
      <c r="B120" s="4">
        <v>43219</v>
      </c>
      <c r="C120" s="3" t="s">
        <v>50</v>
      </c>
      <c r="D120" s="3" t="s">
        <v>75</v>
      </c>
      <c r="E120" s="3" t="s">
        <v>77</v>
      </c>
      <c r="F120" s="3" t="s">
        <v>78</v>
      </c>
      <c r="G120" s="3" t="s">
        <v>40</v>
      </c>
      <c r="H120" s="3">
        <v>2802</v>
      </c>
      <c r="I120" s="3">
        <v>1877</v>
      </c>
    </row>
    <row r="121" spans="1:9">
      <c r="A121" s="3" t="s">
        <v>140</v>
      </c>
      <c r="B121" s="4">
        <v>43220</v>
      </c>
      <c r="C121" s="3" t="s">
        <v>52</v>
      </c>
      <c r="D121" s="3" t="s">
        <v>53</v>
      </c>
      <c r="E121" s="3" t="s">
        <v>54</v>
      </c>
      <c r="F121" s="3" t="s">
        <v>55</v>
      </c>
      <c r="G121" s="3" t="s">
        <v>11</v>
      </c>
      <c r="H121" s="3">
        <v>3486</v>
      </c>
      <c r="I121" s="3">
        <v>2789</v>
      </c>
    </row>
    <row r="122" spans="1:9">
      <c r="A122" s="3" t="s">
        <v>141</v>
      </c>
      <c r="B122" s="4">
        <v>43221</v>
      </c>
      <c r="C122" s="3" t="s">
        <v>57</v>
      </c>
      <c r="D122" s="3" t="s">
        <v>18</v>
      </c>
      <c r="E122" s="3" t="s">
        <v>58</v>
      </c>
      <c r="F122" s="3" t="s">
        <v>59</v>
      </c>
      <c r="G122" s="3" t="s">
        <v>11</v>
      </c>
      <c r="H122" s="3">
        <v>3422</v>
      </c>
      <c r="I122" s="3">
        <v>2122</v>
      </c>
    </row>
    <row r="123" spans="1:9">
      <c r="A123" s="3" t="s">
        <v>142</v>
      </c>
      <c r="B123" s="4">
        <v>43222</v>
      </c>
      <c r="C123" s="3" t="s">
        <v>61</v>
      </c>
      <c r="D123" s="3" t="s">
        <v>62</v>
      </c>
      <c r="E123" s="3" t="s">
        <v>63</v>
      </c>
      <c r="F123" s="3" t="s">
        <v>64</v>
      </c>
      <c r="G123" s="3" t="s">
        <v>11</v>
      </c>
      <c r="H123" s="3">
        <v>2842</v>
      </c>
      <c r="I123" s="3">
        <v>2188</v>
      </c>
    </row>
    <row r="124" spans="1:9">
      <c r="A124" s="3" t="s">
        <v>143</v>
      </c>
      <c r="B124" s="4">
        <v>43223</v>
      </c>
      <c r="C124" s="3" t="s">
        <v>66</v>
      </c>
      <c r="D124" s="3" t="s">
        <v>62</v>
      </c>
      <c r="E124" s="3" t="s">
        <v>63</v>
      </c>
      <c r="F124" s="3" t="s">
        <v>64</v>
      </c>
      <c r="G124" s="3" t="s">
        <v>11</v>
      </c>
      <c r="H124" s="3">
        <v>3846</v>
      </c>
      <c r="I124" s="3">
        <v>2500</v>
      </c>
    </row>
    <row r="125" spans="1:9">
      <c r="A125" s="3" t="s">
        <v>144</v>
      </c>
      <c r="B125" s="4">
        <v>43224</v>
      </c>
      <c r="C125" s="3" t="s">
        <v>68</v>
      </c>
      <c r="D125" s="3" t="s">
        <v>75</v>
      </c>
      <c r="E125" s="3" t="s">
        <v>76</v>
      </c>
      <c r="F125" s="3" t="s">
        <v>80</v>
      </c>
      <c r="G125" s="3" t="s">
        <v>40</v>
      </c>
      <c r="H125" s="3">
        <v>3131</v>
      </c>
      <c r="I125" s="3">
        <v>2380</v>
      </c>
    </row>
    <row r="126" spans="1:9">
      <c r="A126" s="3" t="s">
        <v>145</v>
      </c>
      <c r="B126" s="4">
        <v>43225</v>
      </c>
      <c r="C126" s="3" t="s">
        <v>70</v>
      </c>
      <c r="D126" s="3" t="s">
        <v>75</v>
      </c>
      <c r="E126" s="3" t="s">
        <v>76</v>
      </c>
      <c r="F126" s="3" t="s">
        <v>80</v>
      </c>
      <c r="G126" s="3" t="s">
        <v>40</v>
      </c>
      <c r="H126" s="3">
        <v>3825</v>
      </c>
      <c r="I126" s="3">
        <v>2333</v>
      </c>
    </row>
    <row r="127" spans="1:9">
      <c r="A127" s="3" t="s">
        <v>146</v>
      </c>
      <c r="B127" s="4">
        <v>43226</v>
      </c>
      <c r="C127" s="3" t="s">
        <v>72</v>
      </c>
      <c r="D127" s="3" t="s">
        <v>75</v>
      </c>
      <c r="E127" s="3" t="s">
        <v>76</v>
      </c>
      <c r="F127" s="3" t="s">
        <v>80</v>
      </c>
      <c r="G127" s="3" t="s">
        <v>40</v>
      </c>
      <c r="H127" s="3">
        <v>4362</v>
      </c>
      <c r="I127" s="3">
        <v>3446</v>
      </c>
    </row>
    <row r="128" spans="1:9">
      <c r="A128" s="3" t="s">
        <v>147</v>
      </c>
      <c r="B128" s="4">
        <v>43227</v>
      </c>
      <c r="C128" s="3" t="s">
        <v>8</v>
      </c>
      <c r="D128" s="3" t="s">
        <v>9</v>
      </c>
      <c r="E128" s="3" t="s">
        <v>10</v>
      </c>
      <c r="F128" s="3" t="s">
        <v>10</v>
      </c>
      <c r="G128" s="3" t="s">
        <v>11</v>
      </c>
      <c r="H128" s="3">
        <v>2934</v>
      </c>
      <c r="I128" s="3">
        <v>1819</v>
      </c>
    </row>
    <row r="129" spans="1:9">
      <c r="A129" s="3" t="s">
        <v>148</v>
      </c>
      <c r="B129" s="4">
        <v>43228</v>
      </c>
      <c r="C129" s="3" t="s">
        <v>13</v>
      </c>
      <c r="D129" s="3" t="s">
        <v>9</v>
      </c>
      <c r="E129" s="3" t="s">
        <v>10</v>
      </c>
      <c r="F129" s="3" t="s">
        <v>10</v>
      </c>
      <c r="G129" s="3" t="s">
        <v>11</v>
      </c>
      <c r="H129" s="3">
        <v>4354</v>
      </c>
      <c r="I129" s="3">
        <v>2787</v>
      </c>
    </row>
    <row r="130" spans="1:9">
      <c r="A130" s="3" t="s">
        <v>149</v>
      </c>
      <c r="B130" s="4">
        <v>43229</v>
      </c>
      <c r="C130" s="3" t="s">
        <v>15</v>
      </c>
      <c r="D130" s="3" t="s">
        <v>9</v>
      </c>
      <c r="E130" s="3" t="s">
        <v>10</v>
      </c>
      <c r="F130" s="3" t="s">
        <v>10</v>
      </c>
      <c r="G130" s="3" t="s">
        <v>11</v>
      </c>
      <c r="H130" s="3">
        <v>2102</v>
      </c>
      <c r="I130" s="3">
        <v>1534</v>
      </c>
    </row>
    <row r="131" spans="1:9">
      <c r="A131" s="3" t="s">
        <v>150</v>
      </c>
      <c r="B131" s="4">
        <v>43230</v>
      </c>
      <c r="C131" s="3" t="s">
        <v>17</v>
      </c>
      <c r="D131" s="3" t="s">
        <v>18</v>
      </c>
      <c r="E131" s="3" t="s">
        <v>19</v>
      </c>
      <c r="F131" s="3" t="s">
        <v>20</v>
      </c>
      <c r="G131" s="3" t="s">
        <v>11</v>
      </c>
      <c r="H131" s="3">
        <v>3261</v>
      </c>
      <c r="I131" s="3">
        <v>2446</v>
      </c>
    </row>
    <row r="132" spans="1:9">
      <c r="A132" s="3" t="s">
        <v>151</v>
      </c>
      <c r="B132" s="4">
        <v>43231</v>
      </c>
      <c r="C132" s="3" t="s">
        <v>22</v>
      </c>
      <c r="D132" s="3" t="s">
        <v>18</v>
      </c>
      <c r="E132" s="3" t="s">
        <v>19</v>
      </c>
      <c r="F132" s="3" t="s">
        <v>20</v>
      </c>
      <c r="G132" s="3" t="s">
        <v>11</v>
      </c>
      <c r="H132" s="3">
        <v>2577</v>
      </c>
      <c r="I132" s="3">
        <v>1907</v>
      </c>
    </row>
    <row r="133" spans="1:9">
      <c r="A133" s="3" t="s">
        <v>152</v>
      </c>
      <c r="B133" s="4">
        <v>43232</v>
      </c>
      <c r="C133" s="3" t="s">
        <v>24</v>
      </c>
      <c r="D133" s="3" t="s">
        <v>18</v>
      </c>
      <c r="E133" s="3" t="s">
        <v>19</v>
      </c>
      <c r="F133" s="3" t="s">
        <v>20</v>
      </c>
      <c r="G133" s="3" t="s">
        <v>11</v>
      </c>
      <c r="H133" s="3">
        <v>3131</v>
      </c>
      <c r="I133" s="3">
        <v>1973</v>
      </c>
    </row>
    <row r="134" spans="1:9">
      <c r="A134" s="3" t="s">
        <v>153</v>
      </c>
      <c r="B134" s="4">
        <v>43233</v>
      </c>
      <c r="C134" s="3" t="s">
        <v>26</v>
      </c>
      <c r="D134" s="3" t="s">
        <v>18</v>
      </c>
      <c r="E134" s="3" t="s">
        <v>19</v>
      </c>
      <c r="F134" s="3" t="s">
        <v>20</v>
      </c>
      <c r="G134" s="3" t="s">
        <v>11</v>
      </c>
      <c r="H134" s="3">
        <v>2683</v>
      </c>
      <c r="I134" s="3">
        <v>1798</v>
      </c>
    </row>
    <row r="135" spans="1:9">
      <c r="A135" s="3" t="s">
        <v>154</v>
      </c>
      <c r="B135" s="4">
        <v>43234</v>
      </c>
      <c r="C135" s="3" t="s">
        <v>28</v>
      </c>
      <c r="D135" s="3" t="s">
        <v>18</v>
      </c>
      <c r="E135" s="3" t="s">
        <v>19</v>
      </c>
      <c r="F135" s="3" t="s">
        <v>20</v>
      </c>
      <c r="G135" s="3" t="s">
        <v>11</v>
      </c>
      <c r="H135" s="3">
        <v>2613</v>
      </c>
      <c r="I135" s="3">
        <v>1751</v>
      </c>
    </row>
    <row r="136" spans="1:9">
      <c r="A136" s="3" t="s">
        <v>155</v>
      </c>
      <c r="B136" s="4">
        <v>43235</v>
      </c>
      <c r="C136" s="3" t="s">
        <v>30</v>
      </c>
      <c r="D136" s="3" t="s">
        <v>31</v>
      </c>
      <c r="E136" s="3" t="s">
        <v>32</v>
      </c>
      <c r="F136" s="3" t="s">
        <v>33</v>
      </c>
      <c r="G136" s="3" t="s">
        <v>34</v>
      </c>
      <c r="H136" s="3">
        <v>4076</v>
      </c>
      <c r="I136" s="3">
        <v>2609</v>
      </c>
    </row>
    <row r="137" spans="1:9">
      <c r="A137" s="3" t="s">
        <v>156</v>
      </c>
      <c r="B137" s="4">
        <v>43236</v>
      </c>
      <c r="C137" s="3" t="s">
        <v>36</v>
      </c>
      <c r="D137" s="3" t="s">
        <v>37</v>
      </c>
      <c r="E137" s="3" t="s">
        <v>38</v>
      </c>
      <c r="F137" s="3" t="s">
        <v>39</v>
      </c>
      <c r="G137" s="3" t="s">
        <v>40</v>
      </c>
      <c r="H137" s="3">
        <v>4400</v>
      </c>
      <c r="I137" s="3">
        <v>3432</v>
      </c>
    </row>
    <row r="138" spans="1:9">
      <c r="A138" s="3" t="s">
        <v>157</v>
      </c>
      <c r="B138" s="4">
        <v>43237</v>
      </c>
      <c r="C138" s="3" t="s">
        <v>42</v>
      </c>
      <c r="D138" s="3" t="s">
        <v>31</v>
      </c>
      <c r="E138" s="3" t="s">
        <v>43</v>
      </c>
      <c r="F138" s="3" t="s">
        <v>44</v>
      </c>
      <c r="G138" s="3" t="s">
        <v>34</v>
      </c>
      <c r="H138" s="3">
        <v>2466</v>
      </c>
      <c r="I138" s="3">
        <v>1603</v>
      </c>
    </row>
    <row r="139" spans="1:9">
      <c r="A139" s="3" t="s">
        <v>158</v>
      </c>
      <c r="B139" s="4">
        <v>43238</v>
      </c>
      <c r="C139" s="3" t="s">
        <v>46</v>
      </c>
      <c r="D139" s="3" t="s">
        <v>75</v>
      </c>
      <c r="E139" s="3" t="s">
        <v>76</v>
      </c>
      <c r="F139" s="3" t="s">
        <v>79</v>
      </c>
      <c r="G139" s="3" t="s">
        <v>40</v>
      </c>
      <c r="H139" s="3">
        <v>2137</v>
      </c>
      <c r="I139" s="3">
        <v>1325</v>
      </c>
    </row>
    <row r="140" spans="1:9">
      <c r="A140" s="3" t="s">
        <v>159</v>
      </c>
      <c r="B140" s="4">
        <v>43239</v>
      </c>
      <c r="C140" s="3" t="s">
        <v>48</v>
      </c>
      <c r="D140" s="3" t="s">
        <v>75</v>
      </c>
      <c r="E140" s="3" t="s">
        <v>77</v>
      </c>
      <c r="F140" s="3" t="s">
        <v>78</v>
      </c>
      <c r="G140" s="3" t="s">
        <v>40</v>
      </c>
      <c r="H140" s="3">
        <v>4216</v>
      </c>
      <c r="I140" s="3">
        <v>3162</v>
      </c>
    </row>
    <row r="141" spans="1:9">
      <c r="A141" s="3" t="s">
        <v>160</v>
      </c>
      <c r="B141" s="4">
        <v>43240</v>
      </c>
      <c r="C141" s="3" t="s">
        <v>50</v>
      </c>
      <c r="D141" s="3" t="s">
        <v>75</v>
      </c>
      <c r="E141" s="3" t="s">
        <v>77</v>
      </c>
      <c r="F141" s="3" t="s">
        <v>78</v>
      </c>
      <c r="G141" s="3" t="s">
        <v>40</v>
      </c>
      <c r="H141" s="3">
        <v>3165</v>
      </c>
      <c r="I141" s="3">
        <v>2310</v>
      </c>
    </row>
    <row r="142" spans="1:9">
      <c r="A142" s="3" t="s">
        <v>161</v>
      </c>
      <c r="B142" s="4">
        <v>43241</v>
      </c>
      <c r="C142" s="3" t="s">
        <v>52</v>
      </c>
      <c r="D142" s="3" t="s">
        <v>53</v>
      </c>
      <c r="E142" s="3" t="s">
        <v>54</v>
      </c>
      <c r="F142" s="3" t="s">
        <v>55</v>
      </c>
      <c r="G142" s="3" t="s">
        <v>11</v>
      </c>
      <c r="H142" s="3">
        <v>3263</v>
      </c>
      <c r="I142" s="3">
        <v>2545</v>
      </c>
    </row>
    <row r="143" spans="1:9">
      <c r="A143" s="3" t="s">
        <v>162</v>
      </c>
      <c r="B143" s="4">
        <v>43242</v>
      </c>
      <c r="C143" s="3" t="s">
        <v>57</v>
      </c>
      <c r="D143" s="3" t="s">
        <v>18</v>
      </c>
      <c r="E143" s="3" t="s">
        <v>58</v>
      </c>
      <c r="F143" s="3" t="s">
        <v>59</v>
      </c>
      <c r="G143" s="3" t="s">
        <v>11</v>
      </c>
      <c r="H143" s="3">
        <v>2946</v>
      </c>
      <c r="I143" s="3">
        <v>2210</v>
      </c>
    </row>
    <row r="144" spans="1:9">
      <c r="A144" s="3" t="s">
        <v>163</v>
      </c>
      <c r="B144" s="4">
        <v>43243</v>
      </c>
      <c r="C144" s="3" t="s">
        <v>61</v>
      </c>
      <c r="D144" s="3" t="s">
        <v>62</v>
      </c>
      <c r="E144" s="3" t="s">
        <v>63</v>
      </c>
      <c r="F144" s="3" t="s">
        <v>64</v>
      </c>
      <c r="G144" s="3" t="s">
        <v>11</v>
      </c>
      <c r="H144" s="3">
        <v>2989</v>
      </c>
      <c r="I144" s="3">
        <v>2212</v>
      </c>
    </row>
    <row r="145" spans="1:9">
      <c r="A145" s="3" t="s">
        <v>164</v>
      </c>
      <c r="B145" s="4">
        <v>43244</v>
      </c>
      <c r="C145" s="3" t="s">
        <v>66</v>
      </c>
      <c r="D145" s="3" t="s">
        <v>62</v>
      </c>
      <c r="E145" s="3" t="s">
        <v>63</v>
      </c>
      <c r="F145" s="3" t="s">
        <v>64</v>
      </c>
      <c r="G145" s="3" t="s">
        <v>11</v>
      </c>
      <c r="H145" s="3">
        <v>3463</v>
      </c>
      <c r="I145" s="3">
        <v>2770</v>
      </c>
    </row>
    <row r="146" spans="1:9">
      <c r="A146" s="3" t="s">
        <v>165</v>
      </c>
      <c r="B146" s="4">
        <v>43245</v>
      </c>
      <c r="C146" s="3" t="s">
        <v>68</v>
      </c>
      <c r="D146" s="3" t="s">
        <v>75</v>
      </c>
      <c r="E146" s="3" t="s">
        <v>76</v>
      </c>
      <c r="F146" s="3" t="s">
        <v>80</v>
      </c>
      <c r="G146" s="3" t="s">
        <v>40</v>
      </c>
      <c r="H146" s="3">
        <v>2677</v>
      </c>
      <c r="I146" s="3">
        <v>2088</v>
      </c>
    </row>
    <row r="147" spans="1:9">
      <c r="A147" s="3" t="s">
        <v>166</v>
      </c>
      <c r="B147" s="4">
        <v>43246</v>
      </c>
      <c r="C147" s="3" t="s">
        <v>70</v>
      </c>
      <c r="D147" s="3" t="s">
        <v>75</v>
      </c>
      <c r="E147" s="3" t="s">
        <v>76</v>
      </c>
      <c r="F147" s="3" t="s">
        <v>80</v>
      </c>
      <c r="G147" s="3" t="s">
        <v>40</v>
      </c>
      <c r="H147" s="3">
        <v>2966</v>
      </c>
      <c r="I147" s="3">
        <v>1928</v>
      </c>
    </row>
    <row r="148" spans="1:9">
      <c r="A148" s="3" t="s">
        <v>167</v>
      </c>
      <c r="B148" s="4">
        <v>43247</v>
      </c>
      <c r="C148" s="3" t="s">
        <v>72</v>
      </c>
      <c r="D148" s="3" t="s">
        <v>75</v>
      </c>
      <c r="E148" s="3" t="s">
        <v>76</v>
      </c>
      <c r="F148" s="3" t="s">
        <v>80</v>
      </c>
      <c r="G148" s="3" t="s">
        <v>40</v>
      </c>
      <c r="H148" s="3">
        <v>2106</v>
      </c>
      <c r="I148" s="3">
        <v>1516</v>
      </c>
    </row>
    <row r="149" spans="1:9">
      <c r="A149" s="3" t="s">
        <v>168</v>
      </c>
      <c r="B149" s="4">
        <v>43248</v>
      </c>
      <c r="C149" s="3" t="s">
        <v>8</v>
      </c>
      <c r="D149" s="3" t="s">
        <v>9</v>
      </c>
      <c r="E149" s="3" t="s">
        <v>10</v>
      </c>
      <c r="F149" s="3" t="s">
        <v>10</v>
      </c>
      <c r="G149" s="3" t="s">
        <v>11</v>
      </c>
      <c r="H149" s="3">
        <v>3664</v>
      </c>
      <c r="I149" s="3">
        <v>2272</v>
      </c>
    </row>
    <row r="150" spans="1:9">
      <c r="A150" s="3" t="s">
        <v>169</v>
      </c>
      <c r="B150" s="4">
        <v>43249</v>
      </c>
      <c r="C150" s="3" t="s">
        <v>13</v>
      </c>
      <c r="D150" s="3" t="s">
        <v>9</v>
      </c>
      <c r="E150" s="3" t="s">
        <v>10</v>
      </c>
      <c r="F150" s="3" t="s">
        <v>10</v>
      </c>
      <c r="G150" s="3" t="s">
        <v>11</v>
      </c>
      <c r="H150" s="3">
        <v>3069</v>
      </c>
      <c r="I150" s="3">
        <v>2240</v>
      </c>
    </row>
    <row r="151" spans="1:9">
      <c r="A151" s="3" t="s">
        <v>170</v>
      </c>
      <c r="B151" s="4">
        <v>43250</v>
      </c>
      <c r="C151" s="3" t="s">
        <v>15</v>
      </c>
      <c r="D151" s="3" t="s">
        <v>9</v>
      </c>
      <c r="E151" s="3" t="s">
        <v>10</v>
      </c>
      <c r="F151" s="3" t="s">
        <v>10</v>
      </c>
      <c r="G151" s="3" t="s">
        <v>11</v>
      </c>
      <c r="H151" s="3">
        <v>3755</v>
      </c>
      <c r="I151" s="3">
        <v>2516</v>
      </c>
    </row>
    <row r="152" spans="1:9">
      <c r="A152" s="3" t="s">
        <v>171</v>
      </c>
      <c r="B152" s="4">
        <v>43251</v>
      </c>
      <c r="C152" s="3" t="s">
        <v>17</v>
      </c>
      <c r="D152" s="3" t="s">
        <v>18</v>
      </c>
      <c r="E152" s="3" t="s">
        <v>19</v>
      </c>
      <c r="F152" s="3" t="s">
        <v>20</v>
      </c>
      <c r="G152" s="3" t="s">
        <v>11</v>
      </c>
      <c r="H152" s="3">
        <v>3215</v>
      </c>
      <c r="I152" s="3">
        <v>2058</v>
      </c>
    </row>
    <row r="153" spans="1:9">
      <c r="A153" s="3" t="s">
        <v>172</v>
      </c>
      <c r="B153" s="4">
        <v>43252</v>
      </c>
      <c r="C153" s="3" t="s">
        <v>22</v>
      </c>
      <c r="D153" s="3" t="s">
        <v>18</v>
      </c>
      <c r="E153" s="3" t="s">
        <v>19</v>
      </c>
      <c r="F153" s="3" t="s">
        <v>20</v>
      </c>
      <c r="G153" s="3" t="s">
        <v>11</v>
      </c>
      <c r="H153" s="3">
        <v>3685</v>
      </c>
      <c r="I153" s="3">
        <v>2543</v>
      </c>
    </row>
    <row r="154" spans="1:9">
      <c r="A154" s="3" t="s">
        <v>173</v>
      </c>
      <c r="B154" s="4">
        <v>43253</v>
      </c>
      <c r="C154" s="3" t="s">
        <v>24</v>
      </c>
      <c r="D154" s="3" t="s">
        <v>18</v>
      </c>
      <c r="E154" s="3" t="s">
        <v>19</v>
      </c>
      <c r="F154" s="3" t="s">
        <v>20</v>
      </c>
      <c r="G154" s="3" t="s">
        <v>11</v>
      </c>
      <c r="H154" s="3">
        <v>4015</v>
      </c>
      <c r="I154" s="3">
        <v>2730</v>
      </c>
    </row>
    <row r="155" spans="1:9">
      <c r="A155" s="3" t="s">
        <v>174</v>
      </c>
      <c r="B155" s="4">
        <v>43254</v>
      </c>
      <c r="C155" s="3" t="s">
        <v>26</v>
      </c>
      <c r="D155" s="3" t="s">
        <v>18</v>
      </c>
      <c r="E155" s="3" t="s">
        <v>19</v>
      </c>
      <c r="F155" s="3" t="s">
        <v>20</v>
      </c>
      <c r="G155" s="3" t="s">
        <v>11</v>
      </c>
      <c r="H155" s="3">
        <v>2517</v>
      </c>
      <c r="I155" s="3">
        <v>1661</v>
      </c>
    </row>
    <row r="156" spans="1:9">
      <c r="A156" s="3" t="s">
        <v>175</v>
      </c>
      <c r="B156" s="4">
        <v>43255</v>
      </c>
      <c r="C156" s="3" t="s">
        <v>28</v>
      </c>
      <c r="D156" s="3" t="s">
        <v>18</v>
      </c>
      <c r="E156" s="3" t="s">
        <v>19</v>
      </c>
      <c r="F156" s="3" t="s">
        <v>20</v>
      </c>
      <c r="G156" s="3" t="s">
        <v>11</v>
      </c>
      <c r="H156" s="3">
        <v>2598</v>
      </c>
      <c r="I156" s="3">
        <v>1793</v>
      </c>
    </row>
    <row r="157" spans="1:9">
      <c r="A157" s="3" t="s">
        <v>176</v>
      </c>
      <c r="B157" s="4">
        <v>43256</v>
      </c>
      <c r="C157" s="3" t="s">
        <v>30</v>
      </c>
      <c r="D157" s="3" t="s">
        <v>31</v>
      </c>
      <c r="E157" s="3" t="s">
        <v>32</v>
      </c>
      <c r="F157" s="3" t="s">
        <v>33</v>
      </c>
      <c r="G157" s="3" t="s">
        <v>34</v>
      </c>
      <c r="H157" s="3">
        <v>3513</v>
      </c>
      <c r="I157" s="3">
        <v>2740</v>
      </c>
    </row>
    <row r="158" spans="1:9">
      <c r="A158" s="3" t="s">
        <v>177</v>
      </c>
      <c r="B158" s="4">
        <v>43257</v>
      </c>
      <c r="C158" s="3" t="s">
        <v>36</v>
      </c>
      <c r="D158" s="3" t="s">
        <v>37</v>
      </c>
      <c r="E158" s="3" t="s">
        <v>38</v>
      </c>
      <c r="F158" s="3" t="s">
        <v>39</v>
      </c>
      <c r="G158" s="3" t="s">
        <v>40</v>
      </c>
      <c r="H158" s="3">
        <v>2247</v>
      </c>
      <c r="I158" s="3">
        <v>1775</v>
      </c>
    </row>
    <row r="159" spans="1:9">
      <c r="A159" s="3" t="s">
        <v>178</v>
      </c>
      <c r="B159" s="4">
        <v>43258</v>
      </c>
      <c r="C159" s="3" t="s">
        <v>42</v>
      </c>
      <c r="D159" s="3" t="s">
        <v>31</v>
      </c>
      <c r="E159" s="3" t="s">
        <v>43</v>
      </c>
      <c r="F159" s="3" t="s">
        <v>44</v>
      </c>
      <c r="G159" s="3" t="s">
        <v>34</v>
      </c>
      <c r="H159" s="3">
        <v>2878</v>
      </c>
      <c r="I159" s="3">
        <v>1784</v>
      </c>
    </row>
    <row r="160" spans="1:9">
      <c r="A160" s="3" t="s">
        <v>179</v>
      </c>
      <c r="B160" s="4">
        <v>43259</v>
      </c>
      <c r="C160" s="3" t="s">
        <v>46</v>
      </c>
      <c r="D160" s="3" t="s">
        <v>75</v>
      </c>
      <c r="E160" s="3" t="s">
        <v>76</v>
      </c>
      <c r="F160" s="3" t="s">
        <v>79</v>
      </c>
      <c r="G160" s="3" t="s">
        <v>40</v>
      </c>
      <c r="H160" s="3">
        <v>3425</v>
      </c>
      <c r="I160" s="3">
        <v>2706</v>
      </c>
    </row>
    <row r="161" spans="1:9">
      <c r="A161" s="3" t="s">
        <v>180</v>
      </c>
      <c r="B161" s="4">
        <v>43260</v>
      </c>
      <c r="C161" s="3" t="s">
        <v>48</v>
      </c>
      <c r="D161" s="3" t="s">
        <v>75</v>
      </c>
      <c r="E161" s="3" t="s">
        <v>77</v>
      </c>
      <c r="F161" s="3" t="s">
        <v>78</v>
      </c>
      <c r="G161" s="3" t="s">
        <v>40</v>
      </c>
      <c r="H161" s="3">
        <v>2865</v>
      </c>
      <c r="I161" s="3">
        <v>2091</v>
      </c>
    </row>
    <row r="162" spans="1:9">
      <c r="A162" s="3" t="s">
        <v>181</v>
      </c>
      <c r="B162" s="4">
        <v>43261</v>
      </c>
      <c r="C162" s="3" t="s">
        <v>50</v>
      </c>
      <c r="D162" s="3" t="s">
        <v>75</v>
      </c>
      <c r="E162" s="3" t="s">
        <v>77</v>
      </c>
      <c r="F162" s="3" t="s">
        <v>78</v>
      </c>
      <c r="G162" s="3" t="s">
        <v>40</v>
      </c>
      <c r="H162" s="3">
        <v>2393</v>
      </c>
      <c r="I162" s="3">
        <v>1723</v>
      </c>
    </row>
    <row r="163" spans="1:9">
      <c r="A163" s="3" t="s">
        <v>182</v>
      </c>
      <c r="B163" s="4">
        <v>43262</v>
      </c>
      <c r="C163" s="3" t="s">
        <v>52</v>
      </c>
      <c r="D163" s="3" t="s">
        <v>53</v>
      </c>
      <c r="E163" s="3" t="s">
        <v>54</v>
      </c>
      <c r="F163" s="3" t="s">
        <v>55</v>
      </c>
      <c r="G163" s="3" t="s">
        <v>11</v>
      </c>
      <c r="H163" s="3">
        <v>3149</v>
      </c>
      <c r="I163" s="3">
        <v>2299</v>
      </c>
    </row>
    <row r="164" spans="1:9">
      <c r="A164" s="3" t="s">
        <v>183</v>
      </c>
      <c r="B164" s="4">
        <v>43263</v>
      </c>
      <c r="C164" s="3" t="s">
        <v>57</v>
      </c>
      <c r="D164" s="3" t="s">
        <v>18</v>
      </c>
      <c r="E164" s="3" t="s">
        <v>58</v>
      </c>
      <c r="F164" s="3" t="s">
        <v>59</v>
      </c>
      <c r="G164" s="3" t="s">
        <v>11</v>
      </c>
      <c r="H164" s="3">
        <v>3277</v>
      </c>
      <c r="I164" s="3">
        <v>2130</v>
      </c>
    </row>
    <row r="165" spans="1:9">
      <c r="A165" s="3" t="s">
        <v>184</v>
      </c>
      <c r="B165" s="4">
        <v>43264</v>
      </c>
      <c r="C165" s="3" t="s">
        <v>61</v>
      </c>
      <c r="D165" s="3" t="s">
        <v>62</v>
      </c>
      <c r="E165" s="3" t="s">
        <v>63</v>
      </c>
      <c r="F165" s="3" t="s">
        <v>64</v>
      </c>
      <c r="G165" s="3" t="s">
        <v>11</v>
      </c>
      <c r="H165" s="3">
        <v>2713</v>
      </c>
      <c r="I165" s="3">
        <v>1682</v>
      </c>
    </row>
    <row r="166" spans="1:9">
      <c r="A166" s="3" t="s">
        <v>185</v>
      </c>
      <c r="B166" s="4">
        <v>43265</v>
      </c>
      <c r="C166" s="3" t="s">
        <v>66</v>
      </c>
      <c r="D166" s="3" t="s">
        <v>62</v>
      </c>
      <c r="E166" s="3" t="s">
        <v>63</v>
      </c>
      <c r="F166" s="3" t="s">
        <v>64</v>
      </c>
      <c r="G166" s="3" t="s">
        <v>11</v>
      </c>
      <c r="H166" s="3">
        <v>3381</v>
      </c>
      <c r="I166" s="3">
        <v>2231</v>
      </c>
    </row>
    <row r="167" spans="1:9">
      <c r="A167" s="3" t="s">
        <v>186</v>
      </c>
      <c r="B167" s="4">
        <v>43266</v>
      </c>
      <c r="C167" s="3" t="s">
        <v>68</v>
      </c>
      <c r="D167" s="3" t="s">
        <v>75</v>
      </c>
      <c r="E167" s="3" t="s">
        <v>76</v>
      </c>
      <c r="F167" s="3" t="s">
        <v>80</v>
      </c>
      <c r="G167" s="3" t="s">
        <v>40</v>
      </c>
      <c r="H167" s="3">
        <v>2545</v>
      </c>
      <c r="I167" s="3">
        <v>2011</v>
      </c>
    </row>
    <row r="168" spans="1:9">
      <c r="A168" s="3" t="s">
        <v>187</v>
      </c>
      <c r="B168" s="4">
        <v>43267</v>
      </c>
      <c r="C168" s="3" t="s">
        <v>70</v>
      </c>
      <c r="D168" s="3" t="s">
        <v>75</v>
      </c>
      <c r="E168" s="3" t="s">
        <v>76</v>
      </c>
      <c r="F168" s="3" t="s">
        <v>80</v>
      </c>
      <c r="G168" s="3" t="s">
        <v>40</v>
      </c>
      <c r="H168" s="3">
        <v>4473</v>
      </c>
      <c r="I168" s="3">
        <v>2729</v>
      </c>
    </row>
    <row r="169" spans="1:9">
      <c r="A169" s="3" t="s">
        <v>188</v>
      </c>
      <c r="B169" s="4">
        <v>43268</v>
      </c>
      <c r="C169" s="3" t="s">
        <v>72</v>
      </c>
      <c r="D169" s="3" t="s">
        <v>75</v>
      </c>
      <c r="E169" s="3" t="s">
        <v>76</v>
      </c>
      <c r="F169" s="3" t="s">
        <v>80</v>
      </c>
      <c r="G169" s="3" t="s">
        <v>40</v>
      </c>
      <c r="H169" s="3">
        <v>3332</v>
      </c>
      <c r="I169" s="3">
        <v>2132</v>
      </c>
    </row>
    <row r="170" spans="1:9">
      <c r="A170" s="3" t="s">
        <v>189</v>
      </c>
      <c r="B170" s="4">
        <v>43269</v>
      </c>
      <c r="C170" s="3" t="s">
        <v>8</v>
      </c>
      <c r="D170" s="3" t="s">
        <v>9</v>
      </c>
      <c r="E170" s="3" t="s">
        <v>10</v>
      </c>
      <c r="F170" s="3" t="s">
        <v>10</v>
      </c>
      <c r="G170" s="3" t="s">
        <v>11</v>
      </c>
      <c r="H170" s="3">
        <v>2283</v>
      </c>
      <c r="I170" s="3">
        <v>1438</v>
      </c>
    </row>
    <row r="171" spans="1:9">
      <c r="A171" s="3" t="s">
        <v>190</v>
      </c>
      <c r="B171" s="4">
        <v>43270</v>
      </c>
      <c r="C171" s="3" t="s">
        <v>13</v>
      </c>
      <c r="D171" s="3" t="s">
        <v>9</v>
      </c>
      <c r="E171" s="3" t="s">
        <v>10</v>
      </c>
      <c r="F171" s="3" t="s">
        <v>10</v>
      </c>
      <c r="G171" s="3" t="s">
        <v>11</v>
      </c>
      <c r="H171" s="3">
        <v>2696</v>
      </c>
      <c r="I171" s="3">
        <v>1833</v>
      </c>
    </row>
    <row r="172" spans="1:9">
      <c r="A172" s="3" t="s">
        <v>191</v>
      </c>
      <c r="B172" s="4">
        <v>43271</v>
      </c>
      <c r="C172" s="3" t="s">
        <v>15</v>
      </c>
      <c r="D172" s="3" t="s">
        <v>9</v>
      </c>
      <c r="E172" s="3" t="s">
        <v>10</v>
      </c>
      <c r="F172" s="3" t="s">
        <v>10</v>
      </c>
      <c r="G172" s="3" t="s">
        <v>11</v>
      </c>
      <c r="H172" s="3">
        <v>4061</v>
      </c>
      <c r="I172" s="3">
        <v>3127</v>
      </c>
    </row>
    <row r="173" spans="1:9">
      <c r="A173" s="3" t="s">
        <v>192</v>
      </c>
      <c r="B173" s="4">
        <v>43272</v>
      </c>
      <c r="C173" s="3" t="s">
        <v>17</v>
      </c>
      <c r="D173" s="3" t="s">
        <v>18</v>
      </c>
      <c r="E173" s="3" t="s">
        <v>19</v>
      </c>
      <c r="F173" s="3" t="s">
        <v>20</v>
      </c>
      <c r="G173" s="3" t="s">
        <v>11</v>
      </c>
      <c r="H173" s="3">
        <v>2382</v>
      </c>
      <c r="I173" s="3">
        <v>1548</v>
      </c>
    </row>
    <row r="174" spans="1:9">
      <c r="A174" s="3" t="s">
        <v>193</v>
      </c>
      <c r="B174" s="4">
        <v>43273</v>
      </c>
      <c r="C174" s="3" t="s">
        <v>22</v>
      </c>
      <c r="D174" s="3" t="s">
        <v>18</v>
      </c>
      <c r="E174" s="3" t="s">
        <v>19</v>
      </c>
      <c r="F174" s="3" t="s">
        <v>20</v>
      </c>
      <c r="G174" s="3" t="s">
        <v>11</v>
      </c>
      <c r="H174" s="3">
        <v>4336</v>
      </c>
      <c r="I174" s="3">
        <v>2602</v>
      </c>
    </row>
    <row r="175" spans="1:9">
      <c r="A175" s="3" t="s">
        <v>194</v>
      </c>
      <c r="B175" s="4">
        <v>43274</v>
      </c>
      <c r="C175" s="3" t="s">
        <v>24</v>
      </c>
      <c r="D175" s="3" t="s">
        <v>18</v>
      </c>
      <c r="E175" s="3" t="s">
        <v>19</v>
      </c>
      <c r="F175" s="3" t="s">
        <v>20</v>
      </c>
      <c r="G175" s="3" t="s">
        <v>11</v>
      </c>
      <c r="H175" s="3">
        <v>2602</v>
      </c>
      <c r="I175" s="3">
        <v>2004</v>
      </c>
    </row>
    <row r="176" spans="1:9">
      <c r="A176" s="3" t="s">
        <v>195</v>
      </c>
      <c r="B176" s="4">
        <v>43275</v>
      </c>
      <c r="C176" s="3" t="s">
        <v>26</v>
      </c>
      <c r="D176" s="3" t="s">
        <v>18</v>
      </c>
      <c r="E176" s="3" t="s">
        <v>19</v>
      </c>
      <c r="F176" s="3" t="s">
        <v>20</v>
      </c>
      <c r="G176" s="3" t="s">
        <v>11</v>
      </c>
      <c r="H176" s="3">
        <v>3094</v>
      </c>
      <c r="I176" s="3">
        <v>2073</v>
      </c>
    </row>
    <row r="177" spans="1:9">
      <c r="A177" s="3" t="s">
        <v>196</v>
      </c>
      <c r="B177" s="4">
        <v>43276</v>
      </c>
      <c r="C177" s="3" t="s">
        <v>28</v>
      </c>
      <c r="D177" s="3" t="s">
        <v>18</v>
      </c>
      <c r="E177" s="3" t="s">
        <v>19</v>
      </c>
      <c r="F177" s="3" t="s">
        <v>20</v>
      </c>
      <c r="G177" s="3" t="s">
        <v>11</v>
      </c>
      <c r="H177" s="3">
        <v>3510</v>
      </c>
      <c r="I177" s="3">
        <v>2141</v>
      </c>
    </row>
    <row r="178" spans="1:9">
      <c r="A178" s="3" t="s">
        <v>197</v>
      </c>
      <c r="B178" s="4">
        <v>43277</v>
      </c>
      <c r="C178" s="3" t="s">
        <v>30</v>
      </c>
      <c r="D178" s="3" t="s">
        <v>31</v>
      </c>
      <c r="E178" s="3" t="s">
        <v>32</v>
      </c>
      <c r="F178" s="3" t="s">
        <v>33</v>
      </c>
      <c r="G178" s="3" t="s">
        <v>34</v>
      </c>
      <c r="H178" s="3">
        <v>2134</v>
      </c>
      <c r="I178" s="3">
        <v>1536</v>
      </c>
    </row>
    <row r="179" spans="1:9">
      <c r="A179" s="3" t="s">
        <v>198</v>
      </c>
      <c r="B179" s="4">
        <v>43278</v>
      </c>
      <c r="C179" s="3" t="s">
        <v>36</v>
      </c>
      <c r="D179" s="3" t="s">
        <v>37</v>
      </c>
      <c r="E179" s="3" t="s">
        <v>38</v>
      </c>
      <c r="F179" s="3" t="s">
        <v>39</v>
      </c>
      <c r="G179" s="3" t="s">
        <v>40</v>
      </c>
      <c r="H179" s="3">
        <v>2661</v>
      </c>
      <c r="I179" s="3">
        <v>2022</v>
      </c>
    </row>
    <row r="180" spans="1:9">
      <c r="A180" s="3" t="s">
        <v>199</v>
      </c>
      <c r="B180" s="4">
        <v>43279</v>
      </c>
      <c r="C180" s="3" t="s">
        <v>42</v>
      </c>
      <c r="D180" s="3" t="s">
        <v>31</v>
      </c>
      <c r="E180" s="3" t="s">
        <v>43</v>
      </c>
      <c r="F180" s="3" t="s">
        <v>44</v>
      </c>
      <c r="G180" s="3" t="s">
        <v>34</v>
      </c>
      <c r="H180" s="3">
        <v>2901</v>
      </c>
      <c r="I180" s="3">
        <v>1741</v>
      </c>
    </row>
    <row r="181" spans="1:9">
      <c r="A181" s="3" t="s">
        <v>200</v>
      </c>
      <c r="B181" s="4">
        <v>43280</v>
      </c>
      <c r="C181" s="3" t="s">
        <v>46</v>
      </c>
      <c r="D181" s="3" t="s">
        <v>75</v>
      </c>
      <c r="E181" s="3" t="s">
        <v>76</v>
      </c>
      <c r="F181" s="3" t="s">
        <v>79</v>
      </c>
      <c r="G181" s="3" t="s">
        <v>40</v>
      </c>
      <c r="H181" s="3">
        <v>3784</v>
      </c>
      <c r="I181" s="3">
        <v>2384</v>
      </c>
    </row>
    <row r="182" spans="1:9">
      <c r="A182" s="3" t="s">
        <v>201</v>
      </c>
      <c r="B182" s="4">
        <v>43281</v>
      </c>
      <c r="C182" s="3" t="s">
        <v>48</v>
      </c>
      <c r="D182" s="3" t="s">
        <v>75</v>
      </c>
      <c r="E182" s="3" t="s">
        <v>77</v>
      </c>
      <c r="F182" s="3" t="s">
        <v>78</v>
      </c>
      <c r="G182" s="3" t="s">
        <v>40</v>
      </c>
      <c r="H182" s="3">
        <v>3135</v>
      </c>
      <c r="I182" s="3">
        <v>2445</v>
      </c>
    </row>
    <row r="183" spans="1:9">
      <c r="A183" s="3" t="s">
        <v>202</v>
      </c>
      <c r="B183" s="4">
        <v>43282</v>
      </c>
      <c r="C183" s="3" t="s">
        <v>50</v>
      </c>
      <c r="D183" s="3" t="s">
        <v>75</v>
      </c>
      <c r="E183" s="3" t="s">
        <v>77</v>
      </c>
      <c r="F183" s="3" t="s">
        <v>78</v>
      </c>
      <c r="G183" s="3" t="s">
        <v>40</v>
      </c>
      <c r="H183" s="3">
        <v>2802</v>
      </c>
      <c r="I183" s="3">
        <v>1877</v>
      </c>
    </row>
    <row r="184" spans="1:9">
      <c r="A184" s="3" t="s">
        <v>203</v>
      </c>
      <c r="B184" s="4">
        <v>43283</v>
      </c>
      <c r="C184" s="3" t="s">
        <v>52</v>
      </c>
      <c r="D184" s="3" t="s">
        <v>53</v>
      </c>
      <c r="E184" s="3" t="s">
        <v>54</v>
      </c>
      <c r="F184" s="3" t="s">
        <v>55</v>
      </c>
      <c r="G184" s="3" t="s">
        <v>11</v>
      </c>
      <c r="H184" s="3">
        <v>3486</v>
      </c>
      <c r="I184" s="3">
        <v>2789</v>
      </c>
    </row>
    <row r="185" spans="1:9">
      <c r="A185" s="3" t="s">
        <v>204</v>
      </c>
      <c r="B185" s="4">
        <v>43284</v>
      </c>
      <c r="C185" s="3" t="s">
        <v>57</v>
      </c>
      <c r="D185" s="3" t="s">
        <v>18</v>
      </c>
      <c r="E185" s="3" t="s">
        <v>58</v>
      </c>
      <c r="F185" s="3" t="s">
        <v>59</v>
      </c>
      <c r="G185" s="3" t="s">
        <v>11</v>
      </c>
      <c r="H185" s="3">
        <v>3422</v>
      </c>
      <c r="I185" s="3">
        <v>2122</v>
      </c>
    </row>
    <row r="186" spans="1:9">
      <c r="A186" s="3" t="s">
        <v>205</v>
      </c>
      <c r="B186" s="4">
        <v>43285</v>
      </c>
      <c r="C186" s="3" t="s">
        <v>61</v>
      </c>
      <c r="D186" s="3" t="s">
        <v>62</v>
      </c>
      <c r="E186" s="3" t="s">
        <v>63</v>
      </c>
      <c r="F186" s="3" t="s">
        <v>64</v>
      </c>
      <c r="G186" s="3" t="s">
        <v>11</v>
      </c>
      <c r="H186" s="3">
        <v>2842</v>
      </c>
      <c r="I186" s="3">
        <v>2188</v>
      </c>
    </row>
    <row r="187" spans="1:9">
      <c r="A187" s="3" t="s">
        <v>206</v>
      </c>
      <c r="B187" s="4">
        <v>43286</v>
      </c>
      <c r="C187" s="3" t="s">
        <v>66</v>
      </c>
      <c r="D187" s="3" t="s">
        <v>62</v>
      </c>
      <c r="E187" s="3" t="s">
        <v>63</v>
      </c>
      <c r="F187" s="3" t="s">
        <v>64</v>
      </c>
      <c r="G187" s="3" t="s">
        <v>11</v>
      </c>
      <c r="H187" s="3">
        <v>3846</v>
      </c>
      <c r="I187" s="3">
        <v>2500</v>
      </c>
    </row>
    <row r="188" spans="1:9">
      <c r="A188" s="3" t="s">
        <v>207</v>
      </c>
      <c r="B188" s="4">
        <v>43287</v>
      </c>
      <c r="C188" s="3" t="s">
        <v>68</v>
      </c>
      <c r="D188" s="3" t="s">
        <v>75</v>
      </c>
      <c r="E188" s="3" t="s">
        <v>76</v>
      </c>
      <c r="F188" s="3" t="s">
        <v>80</v>
      </c>
      <c r="G188" s="3" t="s">
        <v>40</v>
      </c>
      <c r="H188" s="3">
        <v>3131</v>
      </c>
      <c r="I188" s="3">
        <v>2380</v>
      </c>
    </row>
    <row r="189" spans="1:9">
      <c r="A189" s="3" t="s">
        <v>208</v>
      </c>
      <c r="B189" s="4">
        <v>43288</v>
      </c>
      <c r="C189" s="3" t="s">
        <v>70</v>
      </c>
      <c r="D189" s="3" t="s">
        <v>75</v>
      </c>
      <c r="E189" s="3" t="s">
        <v>76</v>
      </c>
      <c r="F189" s="3" t="s">
        <v>80</v>
      </c>
      <c r="G189" s="3" t="s">
        <v>40</v>
      </c>
      <c r="H189" s="3">
        <v>3825</v>
      </c>
      <c r="I189" s="3">
        <v>2333</v>
      </c>
    </row>
    <row r="190" spans="1:9">
      <c r="A190" s="3" t="s">
        <v>209</v>
      </c>
      <c r="B190" s="4">
        <v>43289</v>
      </c>
      <c r="C190" s="3" t="s">
        <v>72</v>
      </c>
      <c r="D190" s="3" t="s">
        <v>75</v>
      </c>
      <c r="E190" s="3" t="s">
        <v>76</v>
      </c>
      <c r="F190" s="3" t="s">
        <v>80</v>
      </c>
      <c r="G190" s="3" t="s">
        <v>40</v>
      </c>
      <c r="H190" s="3">
        <v>4362</v>
      </c>
      <c r="I190" s="3">
        <v>3446</v>
      </c>
    </row>
    <row r="191" spans="1:9">
      <c r="A191" s="3" t="s">
        <v>210</v>
      </c>
      <c r="B191" s="4">
        <v>43290</v>
      </c>
      <c r="C191" s="3" t="s">
        <v>8</v>
      </c>
      <c r="D191" s="3" t="s">
        <v>9</v>
      </c>
      <c r="E191" s="3" t="s">
        <v>10</v>
      </c>
      <c r="F191" s="3" t="s">
        <v>10</v>
      </c>
      <c r="G191" s="3" t="s">
        <v>11</v>
      </c>
      <c r="H191" s="3">
        <v>2934</v>
      </c>
      <c r="I191" s="3">
        <v>1819</v>
      </c>
    </row>
    <row r="192" spans="1:9">
      <c r="A192" s="3" t="s">
        <v>211</v>
      </c>
      <c r="B192" s="4">
        <v>43291</v>
      </c>
      <c r="C192" s="3" t="s">
        <v>13</v>
      </c>
      <c r="D192" s="3" t="s">
        <v>9</v>
      </c>
      <c r="E192" s="3" t="s">
        <v>10</v>
      </c>
      <c r="F192" s="3" t="s">
        <v>10</v>
      </c>
      <c r="G192" s="3" t="s">
        <v>11</v>
      </c>
      <c r="H192" s="3">
        <v>4354</v>
      </c>
      <c r="I192" s="3">
        <v>2787</v>
      </c>
    </row>
    <row r="193" spans="1:9">
      <c r="A193" s="3" t="s">
        <v>212</v>
      </c>
      <c r="B193" s="4">
        <v>43292</v>
      </c>
      <c r="C193" s="3" t="s">
        <v>15</v>
      </c>
      <c r="D193" s="3" t="s">
        <v>9</v>
      </c>
      <c r="E193" s="3" t="s">
        <v>10</v>
      </c>
      <c r="F193" s="3" t="s">
        <v>10</v>
      </c>
      <c r="G193" s="3" t="s">
        <v>11</v>
      </c>
      <c r="H193" s="3">
        <v>2102</v>
      </c>
      <c r="I193" s="3">
        <v>1534</v>
      </c>
    </row>
    <row r="194" spans="1:9">
      <c r="A194" s="3" t="s">
        <v>213</v>
      </c>
      <c r="B194" s="4">
        <v>43293</v>
      </c>
      <c r="C194" s="3" t="s">
        <v>17</v>
      </c>
      <c r="D194" s="3" t="s">
        <v>18</v>
      </c>
      <c r="E194" s="3" t="s">
        <v>19</v>
      </c>
      <c r="F194" s="3" t="s">
        <v>20</v>
      </c>
      <c r="G194" s="3" t="s">
        <v>11</v>
      </c>
      <c r="H194" s="3">
        <v>3261</v>
      </c>
      <c r="I194" s="3">
        <v>2446</v>
      </c>
    </row>
    <row r="195" spans="1:9">
      <c r="A195" s="3" t="s">
        <v>214</v>
      </c>
      <c r="B195" s="4">
        <v>43294</v>
      </c>
      <c r="C195" s="3" t="s">
        <v>22</v>
      </c>
      <c r="D195" s="3" t="s">
        <v>18</v>
      </c>
      <c r="E195" s="3" t="s">
        <v>19</v>
      </c>
      <c r="F195" s="3" t="s">
        <v>20</v>
      </c>
      <c r="G195" s="3" t="s">
        <v>11</v>
      </c>
      <c r="H195" s="3">
        <v>2577</v>
      </c>
      <c r="I195" s="3">
        <v>1907</v>
      </c>
    </row>
    <row r="196" spans="1:9">
      <c r="A196" s="3" t="s">
        <v>215</v>
      </c>
      <c r="B196" s="4">
        <v>43295</v>
      </c>
      <c r="C196" s="3" t="s">
        <v>24</v>
      </c>
      <c r="D196" s="3" t="s">
        <v>18</v>
      </c>
      <c r="E196" s="3" t="s">
        <v>19</v>
      </c>
      <c r="F196" s="3" t="s">
        <v>20</v>
      </c>
      <c r="G196" s="3" t="s">
        <v>11</v>
      </c>
      <c r="H196" s="3">
        <v>3131</v>
      </c>
      <c r="I196" s="3">
        <v>1973</v>
      </c>
    </row>
    <row r="197" spans="1:9">
      <c r="A197" s="3" t="s">
        <v>216</v>
      </c>
      <c r="B197" s="4">
        <v>43296</v>
      </c>
      <c r="C197" s="3" t="s">
        <v>26</v>
      </c>
      <c r="D197" s="3" t="s">
        <v>18</v>
      </c>
      <c r="E197" s="3" t="s">
        <v>19</v>
      </c>
      <c r="F197" s="3" t="s">
        <v>20</v>
      </c>
      <c r="G197" s="3" t="s">
        <v>11</v>
      </c>
      <c r="H197" s="3">
        <v>2683</v>
      </c>
      <c r="I197" s="3">
        <v>1798</v>
      </c>
    </row>
    <row r="198" spans="1:9">
      <c r="A198" s="3" t="s">
        <v>217</v>
      </c>
      <c r="B198" s="4">
        <v>43297</v>
      </c>
      <c r="C198" s="3" t="s">
        <v>28</v>
      </c>
      <c r="D198" s="3" t="s">
        <v>18</v>
      </c>
      <c r="E198" s="3" t="s">
        <v>19</v>
      </c>
      <c r="F198" s="3" t="s">
        <v>20</v>
      </c>
      <c r="G198" s="3" t="s">
        <v>11</v>
      </c>
      <c r="H198" s="3">
        <v>2613</v>
      </c>
      <c r="I198" s="3">
        <v>1751</v>
      </c>
    </row>
    <row r="199" spans="1:9">
      <c r="A199" s="3" t="s">
        <v>218</v>
      </c>
      <c r="B199" s="4">
        <v>43298</v>
      </c>
      <c r="C199" s="3" t="s">
        <v>30</v>
      </c>
      <c r="D199" s="3" t="s">
        <v>31</v>
      </c>
      <c r="E199" s="3" t="s">
        <v>32</v>
      </c>
      <c r="F199" s="3" t="s">
        <v>33</v>
      </c>
      <c r="G199" s="3" t="s">
        <v>34</v>
      </c>
      <c r="H199" s="3">
        <v>4076</v>
      </c>
      <c r="I199" s="3">
        <v>2609</v>
      </c>
    </row>
    <row r="200" spans="1:9">
      <c r="A200" s="3" t="s">
        <v>219</v>
      </c>
      <c r="B200" s="4">
        <v>43299</v>
      </c>
      <c r="C200" s="3" t="s">
        <v>36</v>
      </c>
      <c r="D200" s="3" t="s">
        <v>37</v>
      </c>
      <c r="E200" s="3" t="s">
        <v>38</v>
      </c>
      <c r="F200" s="3" t="s">
        <v>39</v>
      </c>
      <c r="G200" s="3" t="s">
        <v>40</v>
      </c>
      <c r="H200" s="3">
        <v>4400</v>
      </c>
      <c r="I200" s="3">
        <v>3432</v>
      </c>
    </row>
    <row r="201" spans="1:9">
      <c r="A201" s="3" t="s">
        <v>220</v>
      </c>
      <c r="B201" s="4">
        <v>43300</v>
      </c>
      <c r="C201" s="3" t="s">
        <v>42</v>
      </c>
      <c r="D201" s="3" t="s">
        <v>31</v>
      </c>
      <c r="E201" s="3" t="s">
        <v>43</v>
      </c>
      <c r="F201" s="3" t="s">
        <v>44</v>
      </c>
      <c r="G201" s="3" t="s">
        <v>34</v>
      </c>
      <c r="H201" s="3">
        <v>2466</v>
      </c>
      <c r="I201" s="3">
        <v>1603</v>
      </c>
    </row>
    <row r="202" spans="1:9">
      <c r="A202" s="3" t="s">
        <v>221</v>
      </c>
      <c r="B202" s="4">
        <v>43301</v>
      </c>
      <c r="C202" s="3" t="s">
        <v>46</v>
      </c>
      <c r="D202" s="3" t="s">
        <v>75</v>
      </c>
      <c r="E202" s="3" t="s">
        <v>76</v>
      </c>
      <c r="F202" s="3" t="s">
        <v>79</v>
      </c>
      <c r="G202" s="3" t="s">
        <v>40</v>
      </c>
      <c r="H202" s="3">
        <v>2137</v>
      </c>
      <c r="I202" s="3">
        <v>1325</v>
      </c>
    </row>
    <row r="203" spans="1:9">
      <c r="A203" s="3" t="s">
        <v>222</v>
      </c>
      <c r="B203" s="4">
        <v>43302</v>
      </c>
      <c r="C203" s="3" t="s">
        <v>48</v>
      </c>
      <c r="D203" s="3" t="s">
        <v>75</v>
      </c>
      <c r="E203" s="3" t="s">
        <v>77</v>
      </c>
      <c r="F203" s="3" t="s">
        <v>78</v>
      </c>
      <c r="G203" s="3" t="s">
        <v>40</v>
      </c>
      <c r="H203" s="3">
        <v>4216</v>
      </c>
      <c r="I203" s="3">
        <v>3162</v>
      </c>
    </row>
    <row r="204" spans="1:9">
      <c r="A204" s="3" t="s">
        <v>223</v>
      </c>
      <c r="B204" s="4">
        <v>43303</v>
      </c>
      <c r="C204" s="3" t="s">
        <v>50</v>
      </c>
      <c r="D204" s="3" t="s">
        <v>75</v>
      </c>
      <c r="E204" s="3" t="s">
        <v>77</v>
      </c>
      <c r="F204" s="3" t="s">
        <v>78</v>
      </c>
      <c r="G204" s="3" t="s">
        <v>40</v>
      </c>
      <c r="H204" s="3">
        <v>3165</v>
      </c>
      <c r="I204" s="3">
        <v>2310</v>
      </c>
    </row>
    <row r="205" spans="1:9">
      <c r="A205" s="3" t="s">
        <v>224</v>
      </c>
      <c r="B205" s="4">
        <v>43304</v>
      </c>
      <c r="C205" s="3" t="s">
        <v>52</v>
      </c>
      <c r="D205" s="3" t="s">
        <v>53</v>
      </c>
      <c r="E205" s="3" t="s">
        <v>54</v>
      </c>
      <c r="F205" s="3" t="s">
        <v>55</v>
      </c>
      <c r="G205" s="3" t="s">
        <v>11</v>
      </c>
      <c r="H205" s="3">
        <v>3263</v>
      </c>
      <c r="I205" s="3">
        <v>2545</v>
      </c>
    </row>
    <row r="206" spans="1:9">
      <c r="A206" s="3" t="s">
        <v>225</v>
      </c>
      <c r="B206" s="4">
        <v>43305</v>
      </c>
      <c r="C206" s="3" t="s">
        <v>57</v>
      </c>
      <c r="D206" s="3" t="s">
        <v>18</v>
      </c>
      <c r="E206" s="3" t="s">
        <v>58</v>
      </c>
      <c r="F206" s="3" t="s">
        <v>59</v>
      </c>
      <c r="G206" s="3" t="s">
        <v>11</v>
      </c>
      <c r="H206" s="3">
        <v>2946</v>
      </c>
      <c r="I206" s="3">
        <v>2210</v>
      </c>
    </row>
    <row r="207" spans="1:9">
      <c r="A207" s="3" t="s">
        <v>226</v>
      </c>
      <c r="B207" s="4">
        <v>43306</v>
      </c>
      <c r="C207" s="3" t="s">
        <v>61</v>
      </c>
      <c r="D207" s="3" t="s">
        <v>62</v>
      </c>
      <c r="E207" s="3" t="s">
        <v>63</v>
      </c>
      <c r="F207" s="3" t="s">
        <v>64</v>
      </c>
      <c r="G207" s="3" t="s">
        <v>11</v>
      </c>
      <c r="H207" s="3">
        <v>2989</v>
      </c>
      <c r="I207" s="3">
        <v>2212</v>
      </c>
    </row>
    <row r="208" spans="1:9">
      <c r="A208" s="3" t="s">
        <v>227</v>
      </c>
      <c r="B208" s="4">
        <v>43307</v>
      </c>
      <c r="C208" s="3" t="s">
        <v>66</v>
      </c>
      <c r="D208" s="3" t="s">
        <v>62</v>
      </c>
      <c r="E208" s="3" t="s">
        <v>63</v>
      </c>
      <c r="F208" s="3" t="s">
        <v>64</v>
      </c>
      <c r="G208" s="3" t="s">
        <v>11</v>
      </c>
      <c r="H208" s="3">
        <v>3463</v>
      </c>
      <c r="I208" s="3">
        <v>2770</v>
      </c>
    </row>
    <row r="209" spans="1:9">
      <c r="A209" s="3" t="s">
        <v>228</v>
      </c>
      <c r="B209" s="4">
        <v>43308</v>
      </c>
      <c r="C209" s="3" t="s">
        <v>68</v>
      </c>
      <c r="D209" s="3" t="s">
        <v>75</v>
      </c>
      <c r="E209" s="3" t="s">
        <v>76</v>
      </c>
      <c r="F209" s="3" t="s">
        <v>80</v>
      </c>
      <c r="G209" s="3" t="s">
        <v>40</v>
      </c>
      <c r="H209" s="3">
        <v>2677</v>
      </c>
      <c r="I209" s="3">
        <v>2088</v>
      </c>
    </row>
    <row r="210" spans="1:9">
      <c r="A210" s="3" t="s">
        <v>229</v>
      </c>
      <c r="B210" s="4">
        <v>43309</v>
      </c>
      <c r="C210" s="3" t="s">
        <v>70</v>
      </c>
      <c r="D210" s="3" t="s">
        <v>75</v>
      </c>
      <c r="E210" s="3" t="s">
        <v>76</v>
      </c>
      <c r="F210" s="3" t="s">
        <v>80</v>
      </c>
      <c r="G210" s="3" t="s">
        <v>40</v>
      </c>
      <c r="H210" s="3">
        <v>2966</v>
      </c>
      <c r="I210" s="3">
        <v>1928</v>
      </c>
    </row>
    <row r="211" spans="1:9">
      <c r="A211" s="3" t="s">
        <v>230</v>
      </c>
      <c r="B211" s="4">
        <v>43310</v>
      </c>
      <c r="C211" s="3" t="s">
        <v>72</v>
      </c>
      <c r="D211" s="3" t="s">
        <v>75</v>
      </c>
      <c r="E211" s="3" t="s">
        <v>76</v>
      </c>
      <c r="F211" s="3" t="s">
        <v>80</v>
      </c>
      <c r="G211" s="3" t="s">
        <v>40</v>
      </c>
      <c r="H211" s="3">
        <v>2106</v>
      </c>
      <c r="I211" s="3">
        <v>1516</v>
      </c>
    </row>
    <row r="212" spans="1:9">
      <c r="A212" s="3" t="s">
        <v>231</v>
      </c>
      <c r="B212" s="4">
        <v>43311</v>
      </c>
      <c r="C212" s="3" t="s">
        <v>8</v>
      </c>
      <c r="D212" s="3" t="s">
        <v>9</v>
      </c>
      <c r="E212" s="3" t="s">
        <v>10</v>
      </c>
      <c r="F212" s="3" t="s">
        <v>10</v>
      </c>
      <c r="G212" s="3" t="s">
        <v>11</v>
      </c>
      <c r="H212" s="3">
        <v>3664</v>
      </c>
      <c r="I212" s="3">
        <v>2272</v>
      </c>
    </row>
    <row r="213" spans="1:9">
      <c r="A213" s="3" t="s">
        <v>232</v>
      </c>
      <c r="B213" s="4">
        <v>43312</v>
      </c>
      <c r="C213" s="3" t="s">
        <v>13</v>
      </c>
      <c r="D213" s="3" t="s">
        <v>9</v>
      </c>
      <c r="E213" s="3" t="s">
        <v>10</v>
      </c>
      <c r="F213" s="3" t="s">
        <v>10</v>
      </c>
      <c r="G213" s="3" t="s">
        <v>11</v>
      </c>
      <c r="H213" s="3">
        <v>3069</v>
      </c>
      <c r="I213" s="3">
        <v>2240</v>
      </c>
    </row>
    <row r="214" spans="1:9">
      <c r="A214" s="3" t="s">
        <v>233</v>
      </c>
      <c r="B214" s="4">
        <v>43313</v>
      </c>
      <c r="C214" s="3" t="s">
        <v>15</v>
      </c>
      <c r="D214" s="3" t="s">
        <v>9</v>
      </c>
      <c r="E214" s="3" t="s">
        <v>10</v>
      </c>
      <c r="F214" s="3" t="s">
        <v>10</v>
      </c>
      <c r="G214" s="3" t="s">
        <v>11</v>
      </c>
      <c r="H214" s="3">
        <v>3755</v>
      </c>
      <c r="I214" s="3">
        <v>2516</v>
      </c>
    </row>
    <row r="215" spans="1:9">
      <c r="A215" s="3" t="s">
        <v>234</v>
      </c>
      <c r="B215" s="4">
        <v>43314</v>
      </c>
      <c r="C215" s="3" t="s">
        <v>17</v>
      </c>
      <c r="D215" s="3" t="s">
        <v>18</v>
      </c>
      <c r="E215" s="3" t="s">
        <v>19</v>
      </c>
      <c r="F215" s="3" t="s">
        <v>20</v>
      </c>
      <c r="G215" s="3" t="s">
        <v>11</v>
      </c>
      <c r="H215" s="3">
        <v>3215</v>
      </c>
      <c r="I215" s="3">
        <v>2058</v>
      </c>
    </row>
    <row r="216" spans="1:9">
      <c r="A216" s="3" t="s">
        <v>235</v>
      </c>
      <c r="B216" s="4">
        <v>43315</v>
      </c>
      <c r="C216" s="3" t="s">
        <v>22</v>
      </c>
      <c r="D216" s="3" t="s">
        <v>18</v>
      </c>
      <c r="E216" s="3" t="s">
        <v>19</v>
      </c>
      <c r="F216" s="3" t="s">
        <v>20</v>
      </c>
      <c r="G216" s="3" t="s">
        <v>11</v>
      </c>
      <c r="H216" s="3">
        <v>3685</v>
      </c>
      <c r="I216" s="3">
        <v>2543</v>
      </c>
    </row>
    <row r="217" spans="1:9">
      <c r="A217" s="3" t="s">
        <v>236</v>
      </c>
      <c r="B217" s="4">
        <v>43316</v>
      </c>
      <c r="C217" s="3" t="s">
        <v>24</v>
      </c>
      <c r="D217" s="3" t="s">
        <v>18</v>
      </c>
      <c r="E217" s="3" t="s">
        <v>19</v>
      </c>
      <c r="F217" s="3" t="s">
        <v>20</v>
      </c>
      <c r="G217" s="3" t="s">
        <v>11</v>
      </c>
      <c r="H217" s="3">
        <v>4015</v>
      </c>
      <c r="I217" s="3">
        <v>2730</v>
      </c>
    </row>
    <row r="218" spans="1:9">
      <c r="A218" s="3" t="s">
        <v>237</v>
      </c>
      <c r="B218" s="4">
        <v>43317</v>
      </c>
      <c r="C218" s="3" t="s">
        <v>26</v>
      </c>
      <c r="D218" s="3" t="s">
        <v>18</v>
      </c>
      <c r="E218" s="3" t="s">
        <v>19</v>
      </c>
      <c r="F218" s="3" t="s">
        <v>20</v>
      </c>
      <c r="G218" s="3" t="s">
        <v>11</v>
      </c>
      <c r="H218" s="3">
        <v>2517</v>
      </c>
      <c r="I218" s="3">
        <v>1661</v>
      </c>
    </row>
    <row r="219" spans="1:9">
      <c r="A219" s="3" t="s">
        <v>238</v>
      </c>
      <c r="B219" s="4">
        <v>43318</v>
      </c>
      <c r="C219" s="3" t="s">
        <v>28</v>
      </c>
      <c r="D219" s="3" t="s">
        <v>18</v>
      </c>
      <c r="E219" s="3" t="s">
        <v>19</v>
      </c>
      <c r="F219" s="3" t="s">
        <v>20</v>
      </c>
      <c r="G219" s="3" t="s">
        <v>11</v>
      </c>
      <c r="H219" s="3">
        <v>2598</v>
      </c>
      <c r="I219" s="3">
        <v>1793</v>
      </c>
    </row>
    <row r="220" spans="1:9">
      <c r="A220" s="3" t="s">
        <v>239</v>
      </c>
      <c r="B220" s="4">
        <v>43319</v>
      </c>
      <c r="C220" s="3" t="s">
        <v>30</v>
      </c>
      <c r="D220" s="3" t="s">
        <v>31</v>
      </c>
      <c r="E220" s="3" t="s">
        <v>32</v>
      </c>
      <c r="F220" s="3" t="s">
        <v>33</v>
      </c>
      <c r="G220" s="3" t="s">
        <v>34</v>
      </c>
      <c r="H220" s="3">
        <v>3513</v>
      </c>
      <c r="I220" s="3">
        <v>2740</v>
      </c>
    </row>
    <row r="221" spans="1:9">
      <c r="A221" s="3" t="s">
        <v>240</v>
      </c>
      <c r="B221" s="4">
        <v>43320</v>
      </c>
      <c r="C221" s="3" t="s">
        <v>36</v>
      </c>
      <c r="D221" s="3" t="s">
        <v>37</v>
      </c>
      <c r="E221" s="3" t="s">
        <v>38</v>
      </c>
      <c r="F221" s="3" t="s">
        <v>39</v>
      </c>
      <c r="G221" s="3" t="s">
        <v>40</v>
      </c>
      <c r="H221" s="3">
        <v>2247</v>
      </c>
      <c r="I221" s="3">
        <v>1775</v>
      </c>
    </row>
    <row r="222" spans="1:9">
      <c r="A222" s="3" t="s">
        <v>241</v>
      </c>
      <c r="B222" s="4">
        <v>43321</v>
      </c>
      <c r="C222" s="3" t="s">
        <v>42</v>
      </c>
      <c r="D222" s="3" t="s">
        <v>31</v>
      </c>
      <c r="E222" s="3" t="s">
        <v>43</v>
      </c>
      <c r="F222" s="3" t="s">
        <v>44</v>
      </c>
      <c r="G222" s="3" t="s">
        <v>34</v>
      </c>
      <c r="H222" s="3">
        <v>2878</v>
      </c>
      <c r="I222" s="3">
        <v>1784</v>
      </c>
    </row>
    <row r="223" spans="1:9">
      <c r="A223" s="3" t="s">
        <v>242</v>
      </c>
      <c r="B223" s="4">
        <v>43322</v>
      </c>
      <c r="C223" s="3" t="s">
        <v>46</v>
      </c>
      <c r="D223" s="3" t="s">
        <v>75</v>
      </c>
      <c r="E223" s="3" t="s">
        <v>76</v>
      </c>
      <c r="F223" s="3" t="s">
        <v>79</v>
      </c>
      <c r="G223" s="3" t="s">
        <v>40</v>
      </c>
      <c r="H223" s="3">
        <v>3425</v>
      </c>
      <c r="I223" s="3">
        <v>2706</v>
      </c>
    </row>
    <row r="224" spans="1:9">
      <c r="A224" s="3" t="s">
        <v>243</v>
      </c>
      <c r="B224" s="4">
        <v>43323</v>
      </c>
      <c r="C224" s="3" t="s">
        <v>48</v>
      </c>
      <c r="D224" s="3" t="s">
        <v>75</v>
      </c>
      <c r="E224" s="3" t="s">
        <v>77</v>
      </c>
      <c r="F224" s="3" t="s">
        <v>78</v>
      </c>
      <c r="G224" s="3" t="s">
        <v>40</v>
      </c>
      <c r="H224" s="3">
        <v>2865</v>
      </c>
      <c r="I224" s="3">
        <v>2091</v>
      </c>
    </row>
    <row r="225" spans="1:9">
      <c r="A225" s="3" t="s">
        <v>244</v>
      </c>
      <c r="B225" s="4">
        <v>43324</v>
      </c>
      <c r="C225" s="3" t="s">
        <v>50</v>
      </c>
      <c r="D225" s="3" t="s">
        <v>75</v>
      </c>
      <c r="E225" s="3" t="s">
        <v>77</v>
      </c>
      <c r="F225" s="3" t="s">
        <v>78</v>
      </c>
      <c r="G225" s="3" t="s">
        <v>40</v>
      </c>
      <c r="H225" s="3">
        <v>2393</v>
      </c>
      <c r="I225" s="3">
        <v>1723</v>
      </c>
    </row>
    <row r="226" spans="1:9">
      <c r="A226" s="3" t="s">
        <v>245</v>
      </c>
      <c r="B226" s="4">
        <v>43325</v>
      </c>
      <c r="C226" s="3" t="s">
        <v>52</v>
      </c>
      <c r="D226" s="3" t="s">
        <v>53</v>
      </c>
      <c r="E226" s="3" t="s">
        <v>54</v>
      </c>
      <c r="F226" s="3" t="s">
        <v>55</v>
      </c>
      <c r="G226" s="3" t="s">
        <v>11</v>
      </c>
      <c r="H226" s="3">
        <v>3149</v>
      </c>
      <c r="I226" s="3">
        <v>2299</v>
      </c>
    </row>
    <row r="227" spans="1:9">
      <c r="A227" s="3" t="s">
        <v>246</v>
      </c>
      <c r="B227" s="4">
        <v>43326</v>
      </c>
      <c r="C227" s="3" t="s">
        <v>57</v>
      </c>
      <c r="D227" s="3" t="s">
        <v>18</v>
      </c>
      <c r="E227" s="3" t="s">
        <v>58</v>
      </c>
      <c r="F227" s="3" t="s">
        <v>59</v>
      </c>
      <c r="G227" s="3" t="s">
        <v>11</v>
      </c>
      <c r="H227" s="3">
        <v>3277</v>
      </c>
      <c r="I227" s="3">
        <v>2130</v>
      </c>
    </row>
    <row r="228" spans="1:9">
      <c r="A228" s="3" t="s">
        <v>247</v>
      </c>
      <c r="B228" s="4">
        <v>43327</v>
      </c>
      <c r="C228" s="3" t="s">
        <v>61</v>
      </c>
      <c r="D228" s="3" t="s">
        <v>62</v>
      </c>
      <c r="E228" s="3" t="s">
        <v>63</v>
      </c>
      <c r="F228" s="3" t="s">
        <v>64</v>
      </c>
      <c r="G228" s="3" t="s">
        <v>11</v>
      </c>
      <c r="H228" s="3">
        <v>2713</v>
      </c>
      <c r="I228" s="3">
        <v>1682</v>
      </c>
    </row>
    <row r="229" spans="1:9">
      <c r="A229" s="3" t="s">
        <v>248</v>
      </c>
      <c r="B229" s="4">
        <v>43328</v>
      </c>
      <c r="C229" s="3" t="s">
        <v>66</v>
      </c>
      <c r="D229" s="3" t="s">
        <v>62</v>
      </c>
      <c r="E229" s="3" t="s">
        <v>63</v>
      </c>
      <c r="F229" s="3" t="s">
        <v>64</v>
      </c>
      <c r="G229" s="3" t="s">
        <v>11</v>
      </c>
      <c r="H229" s="3">
        <v>3381</v>
      </c>
      <c r="I229" s="3">
        <v>2231</v>
      </c>
    </row>
    <row r="230" spans="1:9">
      <c r="A230" s="3" t="s">
        <v>249</v>
      </c>
      <c r="B230" s="4">
        <v>43329</v>
      </c>
      <c r="C230" s="3" t="s">
        <v>68</v>
      </c>
      <c r="D230" s="3" t="s">
        <v>75</v>
      </c>
      <c r="E230" s="3" t="s">
        <v>76</v>
      </c>
      <c r="F230" s="3" t="s">
        <v>80</v>
      </c>
      <c r="G230" s="3" t="s">
        <v>40</v>
      </c>
      <c r="H230" s="3">
        <v>2545</v>
      </c>
      <c r="I230" s="3">
        <v>2011</v>
      </c>
    </row>
    <row r="231" spans="1:9">
      <c r="A231" s="3" t="s">
        <v>250</v>
      </c>
      <c r="B231" s="4">
        <v>43330</v>
      </c>
      <c r="C231" s="3" t="s">
        <v>70</v>
      </c>
      <c r="D231" s="3" t="s">
        <v>75</v>
      </c>
      <c r="E231" s="3" t="s">
        <v>76</v>
      </c>
      <c r="F231" s="3" t="s">
        <v>80</v>
      </c>
      <c r="G231" s="3" t="s">
        <v>40</v>
      </c>
      <c r="H231" s="3">
        <v>4473</v>
      </c>
      <c r="I231" s="3">
        <v>2729</v>
      </c>
    </row>
    <row r="232" spans="1:9">
      <c r="A232" s="3" t="s">
        <v>251</v>
      </c>
      <c r="B232" s="4">
        <v>43331</v>
      </c>
      <c r="C232" s="3" t="s">
        <v>72</v>
      </c>
      <c r="D232" s="3" t="s">
        <v>75</v>
      </c>
      <c r="E232" s="3" t="s">
        <v>76</v>
      </c>
      <c r="F232" s="3" t="s">
        <v>80</v>
      </c>
      <c r="G232" s="3" t="s">
        <v>40</v>
      </c>
      <c r="H232" s="3">
        <v>3332</v>
      </c>
      <c r="I232" s="3">
        <v>2132</v>
      </c>
    </row>
    <row r="233" spans="1:9">
      <c r="A233" s="3" t="s">
        <v>252</v>
      </c>
      <c r="B233" s="4">
        <v>43332</v>
      </c>
      <c r="C233" s="3" t="s">
        <v>8</v>
      </c>
      <c r="D233" s="3" t="s">
        <v>9</v>
      </c>
      <c r="E233" s="3" t="s">
        <v>10</v>
      </c>
      <c r="F233" s="3" t="s">
        <v>10</v>
      </c>
      <c r="G233" s="3" t="s">
        <v>11</v>
      </c>
      <c r="H233" s="3">
        <v>2283</v>
      </c>
      <c r="I233" s="3">
        <v>1438</v>
      </c>
    </row>
    <row r="234" spans="1:9">
      <c r="A234" s="3" t="s">
        <v>253</v>
      </c>
      <c r="B234" s="4">
        <v>43333</v>
      </c>
      <c r="C234" s="3" t="s">
        <v>13</v>
      </c>
      <c r="D234" s="3" t="s">
        <v>9</v>
      </c>
      <c r="E234" s="3" t="s">
        <v>10</v>
      </c>
      <c r="F234" s="3" t="s">
        <v>10</v>
      </c>
      <c r="G234" s="3" t="s">
        <v>11</v>
      </c>
      <c r="H234" s="3">
        <v>2696</v>
      </c>
      <c r="I234" s="3">
        <v>1833</v>
      </c>
    </row>
    <row r="235" spans="1:9">
      <c r="A235" s="3" t="s">
        <v>254</v>
      </c>
      <c r="B235" s="4">
        <v>43334</v>
      </c>
      <c r="C235" s="3" t="s">
        <v>15</v>
      </c>
      <c r="D235" s="3" t="s">
        <v>9</v>
      </c>
      <c r="E235" s="3" t="s">
        <v>10</v>
      </c>
      <c r="F235" s="3" t="s">
        <v>10</v>
      </c>
      <c r="G235" s="3" t="s">
        <v>11</v>
      </c>
      <c r="H235" s="3">
        <v>4061</v>
      </c>
      <c r="I235" s="3">
        <v>3127</v>
      </c>
    </row>
    <row r="236" spans="1:9">
      <c r="A236" s="3" t="s">
        <v>255</v>
      </c>
      <c r="B236" s="4">
        <v>43335</v>
      </c>
      <c r="C236" s="3" t="s">
        <v>17</v>
      </c>
      <c r="D236" s="3" t="s">
        <v>18</v>
      </c>
      <c r="E236" s="3" t="s">
        <v>19</v>
      </c>
      <c r="F236" s="3" t="s">
        <v>20</v>
      </c>
      <c r="G236" s="3" t="s">
        <v>11</v>
      </c>
      <c r="H236" s="3">
        <v>2382</v>
      </c>
      <c r="I236" s="3">
        <v>1548</v>
      </c>
    </row>
    <row r="237" spans="1:9">
      <c r="A237" s="3" t="s">
        <v>256</v>
      </c>
      <c r="B237" s="4">
        <v>43336</v>
      </c>
      <c r="C237" s="3" t="s">
        <v>22</v>
      </c>
      <c r="D237" s="3" t="s">
        <v>18</v>
      </c>
      <c r="E237" s="3" t="s">
        <v>19</v>
      </c>
      <c r="F237" s="3" t="s">
        <v>20</v>
      </c>
      <c r="G237" s="3" t="s">
        <v>11</v>
      </c>
      <c r="H237" s="3">
        <v>4336</v>
      </c>
      <c r="I237" s="3">
        <v>2602</v>
      </c>
    </row>
    <row r="238" spans="1:9">
      <c r="A238" s="3" t="s">
        <v>257</v>
      </c>
      <c r="B238" s="4">
        <v>43337</v>
      </c>
      <c r="C238" s="3" t="s">
        <v>24</v>
      </c>
      <c r="D238" s="3" t="s">
        <v>18</v>
      </c>
      <c r="E238" s="3" t="s">
        <v>19</v>
      </c>
      <c r="F238" s="3" t="s">
        <v>20</v>
      </c>
      <c r="G238" s="3" t="s">
        <v>11</v>
      </c>
      <c r="H238" s="3">
        <v>2602</v>
      </c>
      <c r="I238" s="3">
        <v>2004</v>
      </c>
    </row>
    <row r="239" spans="1:9">
      <c r="A239" s="3" t="s">
        <v>258</v>
      </c>
      <c r="B239" s="4">
        <v>43338</v>
      </c>
      <c r="C239" s="3" t="s">
        <v>26</v>
      </c>
      <c r="D239" s="3" t="s">
        <v>18</v>
      </c>
      <c r="E239" s="3" t="s">
        <v>19</v>
      </c>
      <c r="F239" s="3" t="s">
        <v>20</v>
      </c>
      <c r="G239" s="3" t="s">
        <v>11</v>
      </c>
      <c r="H239" s="3">
        <v>3094</v>
      </c>
      <c r="I239" s="3">
        <v>2073</v>
      </c>
    </row>
    <row r="240" spans="1:9">
      <c r="A240" s="3" t="s">
        <v>259</v>
      </c>
      <c r="B240" s="4">
        <v>43339</v>
      </c>
      <c r="C240" s="3" t="s">
        <v>28</v>
      </c>
      <c r="D240" s="3" t="s">
        <v>18</v>
      </c>
      <c r="E240" s="3" t="s">
        <v>19</v>
      </c>
      <c r="F240" s="3" t="s">
        <v>20</v>
      </c>
      <c r="G240" s="3" t="s">
        <v>11</v>
      </c>
      <c r="H240" s="3">
        <v>3510</v>
      </c>
      <c r="I240" s="3">
        <v>2141</v>
      </c>
    </row>
    <row r="241" spans="1:9">
      <c r="A241" s="3" t="s">
        <v>260</v>
      </c>
      <c r="B241" s="4">
        <v>43340</v>
      </c>
      <c r="C241" s="3" t="s">
        <v>30</v>
      </c>
      <c r="D241" s="3" t="s">
        <v>31</v>
      </c>
      <c r="E241" s="3" t="s">
        <v>32</v>
      </c>
      <c r="F241" s="3" t="s">
        <v>33</v>
      </c>
      <c r="G241" s="3" t="s">
        <v>34</v>
      </c>
      <c r="H241" s="3">
        <v>2134</v>
      </c>
      <c r="I241" s="3">
        <v>1536</v>
      </c>
    </row>
    <row r="242" spans="1:9">
      <c r="A242" s="3" t="s">
        <v>261</v>
      </c>
      <c r="B242" s="4">
        <v>43341</v>
      </c>
      <c r="C242" s="3" t="s">
        <v>36</v>
      </c>
      <c r="D242" s="3" t="s">
        <v>37</v>
      </c>
      <c r="E242" s="3" t="s">
        <v>38</v>
      </c>
      <c r="F242" s="3" t="s">
        <v>39</v>
      </c>
      <c r="G242" s="3" t="s">
        <v>40</v>
      </c>
      <c r="H242" s="3">
        <v>2661</v>
      </c>
      <c r="I242" s="3">
        <v>2022</v>
      </c>
    </row>
    <row r="243" spans="1:9">
      <c r="A243" s="3" t="s">
        <v>262</v>
      </c>
      <c r="B243" s="4">
        <v>43342</v>
      </c>
      <c r="C243" s="3" t="s">
        <v>42</v>
      </c>
      <c r="D243" s="3" t="s">
        <v>31</v>
      </c>
      <c r="E243" s="3" t="s">
        <v>43</v>
      </c>
      <c r="F243" s="3" t="s">
        <v>44</v>
      </c>
      <c r="G243" s="3" t="s">
        <v>34</v>
      </c>
      <c r="H243" s="3">
        <v>2901</v>
      </c>
      <c r="I243" s="3">
        <v>1741</v>
      </c>
    </row>
    <row r="244" spans="1:9">
      <c r="A244" s="3" t="s">
        <v>263</v>
      </c>
      <c r="B244" s="4">
        <v>43343</v>
      </c>
      <c r="C244" s="3" t="s">
        <v>46</v>
      </c>
      <c r="D244" s="3" t="s">
        <v>75</v>
      </c>
      <c r="E244" s="3" t="s">
        <v>76</v>
      </c>
      <c r="F244" s="3" t="s">
        <v>79</v>
      </c>
      <c r="G244" s="3" t="s">
        <v>40</v>
      </c>
      <c r="H244" s="3">
        <v>3784</v>
      </c>
      <c r="I244" s="3">
        <v>2384</v>
      </c>
    </row>
    <row r="245" spans="1:9">
      <c r="A245" s="3" t="s">
        <v>264</v>
      </c>
      <c r="B245" s="4">
        <v>43344</v>
      </c>
      <c r="C245" s="3" t="s">
        <v>48</v>
      </c>
      <c r="D245" s="3" t="s">
        <v>75</v>
      </c>
      <c r="E245" s="3" t="s">
        <v>77</v>
      </c>
      <c r="F245" s="3" t="s">
        <v>78</v>
      </c>
      <c r="G245" s="3" t="s">
        <v>40</v>
      </c>
      <c r="H245" s="3">
        <v>3135</v>
      </c>
      <c r="I245" s="3">
        <v>2445</v>
      </c>
    </row>
    <row r="246" spans="1:9">
      <c r="A246" s="3" t="s">
        <v>265</v>
      </c>
      <c r="B246" s="4">
        <v>43345</v>
      </c>
      <c r="C246" s="3" t="s">
        <v>50</v>
      </c>
      <c r="D246" s="3" t="s">
        <v>75</v>
      </c>
      <c r="E246" s="3" t="s">
        <v>77</v>
      </c>
      <c r="F246" s="3" t="s">
        <v>78</v>
      </c>
      <c r="G246" s="3" t="s">
        <v>40</v>
      </c>
      <c r="H246" s="3">
        <v>2802</v>
      </c>
      <c r="I246" s="3">
        <v>1877</v>
      </c>
    </row>
    <row r="247" spans="1:9">
      <c r="A247" s="3" t="s">
        <v>266</v>
      </c>
      <c r="B247" s="4">
        <v>43346</v>
      </c>
      <c r="C247" s="3" t="s">
        <v>52</v>
      </c>
      <c r="D247" s="3" t="s">
        <v>53</v>
      </c>
      <c r="E247" s="3" t="s">
        <v>54</v>
      </c>
      <c r="F247" s="3" t="s">
        <v>55</v>
      </c>
      <c r="G247" s="3" t="s">
        <v>11</v>
      </c>
      <c r="H247" s="3">
        <v>3486</v>
      </c>
      <c r="I247" s="3">
        <v>2789</v>
      </c>
    </row>
    <row r="248" spans="1:9">
      <c r="A248" s="3" t="s">
        <v>267</v>
      </c>
      <c r="B248" s="4">
        <v>43347</v>
      </c>
      <c r="C248" s="3" t="s">
        <v>57</v>
      </c>
      <c r="D248" s="3" t="s">
        <v>18</v>
      </c>
      <c r="E248" s="3" t="s">
        <v>58</v>
      </c>
      <c r="F248" s="3" t="s">
        <v>59</v>
      </c>
      <c r="G248" s="3" t="s">
        <v>11</v>
      </c>
      <c r="H248" s="3">
        <v>3422</v>
      </c>
      <c r="I248" s="3">
        <v>2122</v>
      </c>
    </row>
    <row r="249" spans="1:9">
      <c r="A249" s="3" t="s">
        <v>268</v>
      </c>
      <c r="B249" s="4">
        <v>43348</v>
      </c>
      <c r="C249" s="3" t="s">
        <v>61</v>
      </c>
      <c r="D249" s="3" t="s">
        <v>62</v>
      </c>
      <c r="E249" s="3" t="s">
        <v>63</v>
      </c>
      <c r="F249" s="3" t="s">
        <v>64</v>
      </c>
      <c r="G249" s="3" t="s">
        <v>11</v>
      </c>
      <c r="H249" s="3">
        <v>2842</v>
      </c>
      <c r="I249" s="3">
        <v>2188</v>
      </c>
    </row>
    <row r="250" spans="1:9">
      <c r="A250" s="3" t="s">
        <v>269</v>
      </c>
      <c r="B250" s="4">
        <v>43349</v>
      </c>
      <c r="C250" s="3" t="s">
        <v>66</v>
      </c>
      <c r="D250" s="3" t="s">
        <v>62</v>
      </c>
      <c r="E250" s="3" t="s">
        <v>63</v>
      </c>
      <c r="F250" s="3" t="s">
        <v>64</v>
      </c>
      <c r="G250" s="3" t="s">
        <v>11</v>
      </c>
      <c r="H250" s="3">
        <v>3846</v>
      </c>
      <c r="I250" s="3">
        <v>2500</v>
      </c>
    </row>
    <row r="251" spans="1:9">
      <c r="A251" s="3" t="s">
        <v>270</v>
      </c>
      <c r="B251" s="4">
        <v>43350</v>
      </c>
      <c r="C251" s="3" t="s">
        <v>68</v>
      </c>
      <c r="D251" s="3" t="s">
        <v>75</v>
      </c>
      <c r="E251" s="3" t="s">
        <v>76</v>
      </c>
      <c r="F251" s="3" t="s">
        <v>80</v>
      </c>
      <c r="G251" s="3" t="s">
        <v>40</v>
      </c>
      <c r="H251" s="3">
        <v>3131</v>
      </c>
      <c r="I251" s="3">
        <v>2380</v>
      </c>
    </row>
    <row r="252" spans="1:9">
      <c r="A252" s="3" t="s">
        <v>271</v>
      </c>
      <c r="B252" s="4">
        <v>43351</v>
      </c>
      <c r="C252" s="3" t="s">
        <v>70</v>
      </c>
      <c r="D252" s="3" t="s">
        <v>75</v>
      </c>
      <c r="E252" s="3" t="s">
        <v>76</v>
      </c>
      <c r="F252" s="3" t="s">
        <v>80</v>
      </c>
      <c r="G252" s="3" t="s">
        <v>40</v>
      </c>
      <c r="H252" s="3">
        <v>3825</v>
      </c>
      <c r="I252" s="3">
        <v>2333</v>
      </c>
    </row>
    <row r="253" spans="1:9">
      <c r="A253" s="3" t="s">
        <v>272</v>
      </c>
      <c r="B253" s="4">
        <v>43352</v>
      </c>
      <c r="C253" s="3" t="s">
        <v>72</v>
      </c>
      <c r="D253" s="3" t="s">
        <v>75</v>
      </c>
      <c r="E253" s="3" t="s">
        <v>76</v>
      </c>
      <c r="F253" s="3" t="s">
        <v>80</v>
      </c>
      <c r="G253" s="3" t="s">
        <v>40</v>
      </c>
      <c r="H253" s="3">
        <v>4362</v>
      </c>
      <c r="I253" s="3">
        <v>3446</v>
      </c>
    </row>
    <row r="254" spans="1:9">
      <c r="A254" s="3" t="s">
        <v>273</v>
      </c>
      <c r="B254" s="4">
        <v>43353</v>
      </c>
      <c r="C254" s="3" t="s">
        <v>8</v>
      </c>
      <c r="D254" s="3" t="s">
        <v>9</v>
      </c>
      <c r="E254" s="3" t="s">
        <v>10</v>
      </c>
      <c r="F254" s="3" t="s">
        <v>10</v>
      </c>
      <c r="G254" s="3" t="s">
        <v>11</v>
      </c>
      <c r="H254" s="3">
        <v>2934</v>
      </c>
      <c r="I254" s="3">
        <v>1819</v>
      </c>
    </row>
    <row r="255" spans="1:9">
      <c r="A255" s="3" t="s">
        <v>274</v>
      </c>
      <c r="B255" s="4">
        <v>43354</v>
      </c>
      <c r="C255" s="3" t="s">
        <v>13</v>
      </c>
      <c r="D255" s="3" t="s">
        <v>9</v>
      </c>
      <c r="E255" s="3" t="s">
        <v>10</v>
      </c>
      <c r="F255" s="3" t="s">
        <v>10</v>
      </c>
      <c r="G255" s="3" t="s">
        <v>11</v>
      </c>
      <c r="H255" s="3">
        <v>4354</v>
      </c>
      <c r="I255" s="3">
        <v>2787</v>
      </c>
    </row>
    <row r="256" spans="1:9">
      <c r="A256" s="3" t="s">
        <v>275</v>
      </c>
      <c r="B256" s="4">
        <v>43355</v>
      </c>
      <c r="C256" s="3" t="s">
        <v>15</v>
      </c>
      <c r="D256" s="3" t="s">
        <v>9</v>
      </c>
      <c r="E256" s="3" t="s">
        <v>10</v>
      </c>
      <c r="F256" s="3" t="s">
        <v>10</v>
      </c>
      <c r="G256" s="3" t="s">
        <v>11</v>
      </c>
      <c r="H256" s="3">
        <v>2102</v>
      </c>
      <c r="I256" s="3">
        <v>1534</v>
      </c>
    </row>
    <row r="257" spans="1:9">
      <c r="A257" s="3" t="s">
        <v>276</v>
      </c>
      <c r="B257" s="4">
        <v>43356</v>
      </c>
      <c r="C257" s="3" t="s">
        <v>17</v>
      </c>
      <c r="D257" s="3" t="s">
        <v>18</v>
      </c>
      <c r="E257" s="3" t="s">
        <v>19</v>
      </c>
      <c r="F257" s="3" t="s">
        <v>20</v>
      </c>
      <c r="G257" s="3" t="s">
        <v>11</v>
      </c>
      <c r="H257" s="3">
        <v>3261</v>
      </c>
      <c r="I257" s="3">
        <v>2446</v>
      </c>
    </row>
    <row r="258" spans="1:9">
      <c r="A258" s="3" t="s">
        <v>277</v>
      </c>
      <c r="B258" s="4">
        <v>43357</v>
      </c>
      <c r="C258" s="3" t="s">
        <v>22</v>
      </c>
      <c r="D258" s="3" t="s">
        <v>18</v>
      </c>
      <c r="E258" s="3" t="s">
        <v>19</v>
      </c>
      <c r="F258" s="3" t="s">
        <v>20</v>
      </c>
      <c r="G258" s="3" t="s">
        <v>11</v>
      </c>
      <c r="H258" s="3">
        <v>2577</v>
      </c>
      <c r="I258" s="3">
        <v>1907</v>
      </c>
    </row>
    <row r="259" spans="1:9">
      <c r="A259" s="3" t="s">
        <v>278</v>
      </c>
      <c r="B259" s="4">
        <v>43358</v>
      </c>
      <c r="C259" s="3" t="s">
        <v>24</v>
      </c>
      <c r="D259" s="3" t="s">
        <v>18</v>
      </c>
      <c r="E259" s="3" t="s">
        <v>19</v>
      </c>
      <c r="F259" s="3" t="s">
        <v>20</v>
      </c>
      <c r="G259" s="3" t="s">
        <v>11</v>
      </c>
      <c r="H259" s="3">
        <v>3131</v>
      </c>
      <c r="I259" s="3">
        <v>1973</v>
      </c>
    </row>
    <row r="260" spans="1:9">
      <c r="A260" s="3" t="s">
        <v>279</v>
      </c>
      <c r="B260" s="4">
        <v>43359</v>
      </c>
      <c r="C260" s="3" t="s">
        <v>26</v>
      </c>
      <c r="D260" s="3" t="s">
        <v>18</v>
      </c>
      <c r="E260" s="3" t="s">
        <v>19</v>
      </c>
      <c r="F260" s="3" t="s">
        <v>20</v>
      </c>
      <c r="G260" s="3" t="s">
        <v>11</v>
      </c>
      <c r="H260" s="3">
        <v>2683</v>
      </c>
      <c r="I260" s="3">
        <v>1798</v>
      </c>
    </row>
    <row r="261" spans="1:9">
      <c r="A261" s="3" t="s">
        <v>280</v>
      </c>
      <c r="B261" s="4">
        <v>43360</v>
      </c>
      <c r="C261" s="3" t="s">
        <v>28</v>
      </c>
      <c r="D261" s="3" t="s">
        <v>18</v>
      </c>
      <c r="E261" s="3" t="s">
        <v>19</v>
      </c>
      <c r="F261" s="3" t="s">
        <v>20</v>
      </c>
      <c r="G261" s="3" t="s">
        <v>11</v>
      </c>
      <c r="H261" s="3">
        <v>2613</v>
      </c>
      <c r="I261" s="3">
        <v>1751</v>
      </c>
    </row>
    <row r="262" spans="1:9">
      <c r="A262" s="3" t="s">
        <v>281</v>
      </c>
      <c r="B262" s="4">
        <v>43361</v>
      </c>
      <c r="C262" s="3" t="s">
        <v>30</v>
      </c>
      <c r="D262" s="3" t="s">
        <v>31</v>
      </c>
      <c r="E262" s="3" t="s">
        <v>32</v>
      </c>
      <c r="F262" s="3" t="s">
        <v>33</v>
      </c>
      <c r="G262" s="3" t="s">
        <v>34</v>
      </c>
      <c r="H262" s="3">
        <v>4076</v>
      </c>
      <c r="I262" s="3">
        <v>2609</v>
      </c>
    </row>
    <row r="263" spans="1:9">
      <c r="A263" s="3" t="s">
        <v>282</v>
      </c>
      <c r="B263" s="4">
        <v>43362</v>
      </c>
      <c r="C263" s="3" t="s">
        <v>36</v>
      </c>
      <c r="D263" s="3" t="s">
        <v>37</v>
      </c>
      <c r="E263" s="3" t="s">
        <v>38</v>
      </c>
      <c r="F263" s="3" t="s">
        <v>39</v>
      </c>
      <c r="G263" s="3" t="s">
        <v>40</v>
      </c>
      <c r="H263" s="3">
        <v>4400</v>
      </c>
      <c r="I263" s="3">
        <v>3432</v>
      </c>
    </row>
    <row r="264" spans="1:9">
      <c r="A264" s="3" t="s">
        <v>283</v>
      </c>
      <c r="B264" s="4">
        <v>43363</v>
      </c>
      <c r="C264" s="3" t="s">
        <v>42</v>
      </c>
      <c r="D264" s="3" t="s">
        <v>31</v>
      </c>
      <c r="E264" s="3" t="s">
        <v>43</v>
      </c>
      <c r="F264" s="3" t="s">
        <v>44</v>
      </c>
      <c r="G264" s="3" t="s">
        <v>34</v>
      </c>
      <c r="H264" s="3">
        <v>2466</v>
      </c>
      <c r="I264" s="3">
        <v>1603</v>
      </c>
    </row>
    <row r="265" spans="1:9">
      <c r="A265" s="3" t="s">
        <v>284</v>
      </c>
      <c r="B265" s="4">
        <v>43364</v>
      </c>
      <c r="C265" s="3" t="s">
        <v>46</v>
      </c>
      <c r="D265" s="3" t="s">
        <v>75</v>
      </c>
      <c r="E265" s="3" t="s">
        <v>76</v>
      </c>
      <c r="F265" s="3" t="s">
        <v>79</v>
      </c>
      <c r="G265" s="3" t="s">
        <v>40</v>
      </c>
      <c r="H265" s="3">
        <v>2137</v>
      </c>
      <c r="I265" s="3">
        <v>1325</v>
      </c>
    </row>
    <row r="266" spans="1:9">
      <c r="A266" s="3" t="s">
        <v>285</v>
      </c>
      <c r="B266" s="4">
        <v>43365</v>
      </c>
      <c r="C266" s="3" t="s">
        <v>48</v>
      </c>
      <c r="D266" s="3" t="s">
        <v>75</v>
      </c>
      <c r="E266" s="3" t="s">
        <v>77</v>
      </c>
      <c r="F266" s="3" t="s">
        <v>78</v>
      </c>
      <c r="G266" s="3" t="s">
        <v>40</v>
      </c>
      <c r="H266" s="3">
        <v>4216</v>
      </c>
      <c r="I266" s="3">
        <v>3162</v>
      </c>
    </row>
    <row r="267" spans="1:9">
      <c r="A267" s="3" t="s">
        <v>286</v>
      </c>
      <c r="B267" s="4">
        <v>43366</v>
      </c>
      <c r="C267" s="3" t="s">
        <v>50</v>
      </c>
      <c r="D267" s="3" t="s">
        <v>75</v>
      </c>
      <c r="E267" s="3" t="s">
        <v>77</v>
      </c>
      <c r="F267" s="3" t="s">
        <v>78</v>
      </c>
      <c r="G267" s="3" t="s">
        <v>40</v>
      </c>
      <c r="H267" s="3">
        <v>3165</v>
      </c>
      <c r="I267" s="3">
        <v>2310</v>
      </c>
    </row>
    <row r="268" spans="1:9">
      <c r="A268" s="3" t="s">
        <v>287</v>
      </c>
      <c r="B268" s="4">
        <v>43367</v>
      </c>
      <c r="C268" s="3" t="s">
        <v>52</v>
      </c>
      <c r="D268" s="3" t="s">
        <v>53</v>
      </c>
      <c r="E268" s="3" t="s">
        <v>54</v>
      </c>
      <c r="F268" s="3" t="s">
        <v>55</v>
      </c>
      <c r="G268" s="3" t="s">
        <v>11</v>
      </c>
      <c r="H268" s="3">
        <v>3263</v>
      </c>
      <c r="I268" s="3">
        <v>2545</v>
      </c>
    </row>
    <row r="269" spans="1:9">
      <c r="A269" s="3" t="s">
        <v>288</v>
      </c>
      <c r="B269" s="4">
        <v>43368</v>
      </c>
      <c r="C269" s="3" t="s">
        <v>57</v>
      </c>
      <c r="D269" s="3" t="s">
        <v>18</v>
      </c>
      <c r="E269" s="3" t="s">
        <v>58</v>
      </c>
      <c r="F269" s="3" t="s">
        <v>59</v>
      </c>
      <c r="G269" s="3" t="s">
        <v>11</v>
      </c>
      <c r="H269" s="3">
        <v>2946</v>
      </c>
      <c r="I269" s="3">
        <v>2210</v>
      </c>
    </row>
    <row r="270" spans="1:9">
      <c r="A270" s="3" t="s">
        <v>289</v>
      </c>
      <c r="B270" s="4">
        <v>43369</v>
      </c>
      <c r="C270" s="3" t="s">
        <v>61</v>
      </c>
      <c r="D270" s="3" t="s">
        <v>62</v>
      </c>
      <c r="E270" s="3" t="s">
        <v>63</v>
      </c>
      <c r="F270" s="3" t="s">
        <v>64</v>
      </c>
      <c r="G270" s="3" t="s">
        <v>11</v>
      </c>
      <c r="H270" s="3">
        <v>2989</v>
      </c>
      <c r="I270" s="3">
        <v>2212</v>
      </c>
    </row>
    <row r="271" spans="1:9">
      <c r="A271" s="3" t="s">
        <v>290</v>
      </c>
      <c r="B271" s="4">
        <v>43370</v>
      </c>
      <c r="C271" s="3" t="s">
        <v>66</v>
      </c>
      <c r="D271" s="3" t="s">
        <v>62</v>
      </c>
      <c r="E271" s="3" t="s">
        <v>63</v>
      </c>
      <c r="F271" s="3" t="s">
        <v>64</v>
      </c>
      <c r="G271" s="3" t="s">
        <v>11</v>
      </c>
      <c r="H271" s="3">
        <v>3463</v>
      </c>
      <c r="I271" s="3">
        <v>2770</v>
      </c>
    </row>
    <row r="272" spans="1:9">
      <c r="A272" s="3" t="s">
        <v>291</v>
      </c>
      <c r="B272" s="4">
        <v>43371</v>
      </c>
      <c r="C272" s="3" t="s">
        <v>68</v>
      </c>
      <c r="D272" s="3" t="s">
        <v>75</v>
      </c>
      <c r="E272" s="3" t="s">
        <v>76</v>
      </c>
      <c r="F272" s="3" t="s">
        <v>80</v>
      </c>
      <c r="G272" s="3" t="s">
        <v>40</v>
      </c>
      <c r="H272" s="3">
        <v>2677</v>
      </c>
      <c r="I272" s="3">
        <v>2088</v>
      </c>
    </row>
    <row r="273" spans="1:9">
      <c r="A273" s="3" t="s">
        <v>292</v>
      </c>
      <c r="B273" s="4">
        <v>43372</v>
      </c>
      <c r="C273" s="3" t="s">
        <v>70</v>
      </c>
      <c r="D273" s="3" t="s">
        <v>75</v>
      </c>
      <c r="E273" s="3" t="s">
        <v>76</v>
      </c>
      <c r="F273" s="3" t="s">
        <v>80</v>
      </c>
      <c r="G273" s="3" t="s">
        <v>40</v>
      </c>
      <c r="H273" s="3">
        <v>2966</v>
      </c>
      <c r="I273" s="3">
        <v>1928</v>
      </c>
    </row>
    <row r="274" spans="1:9">
      <c r="A274" s="3" t="s">
        <v>293</v>
      </c>
      <c r="B274" s="4">
        <v>43373</v>
      </c>
      <c r="C274" s="3" t="s">
        <v>72</v>
      </c>
      <c r="D274" s="3" t="s">
        <v>75</v>
      </c>
      <c r="E274" s="3" t="s">
        <v>76</v>
      </c>
      <c r="F274" s="3" t="s">
        <v>80</v>
      </c>
      <c r="G274" s="3" t="s">
        <v>40</v>
      </c>
      <c r="H274" s="3">
        <v>2106</v>
      </c>
      <c r="I274" s="3">
        <v>1516</v>
      </c>
    </row>
    <row r="275" spans="1:9">
      <c r="A275" s="3" t="s">
        <v>294</v>
      </c>
      <c r="B275" s="4">
        <v>43374</v>
      </c>
      <c r="C275" s="3" t="s">
        <v>8</v>
      </c>
      <c r="D275" s="3" t="s">
        <v>9</v>
      </c>
      <c r="E275" s="3" t="s">
        <v>10</v>
      </c>
      <c r="F275" s="3" t="s">
        <v>10</v>
      </c>
      <c r="G275" s="3" t="s">
        <v>11</v>
      </c>
      <c r="H275" s="3">
        <v>3664</v>
      </c>
      <c r="I275" s="3">
        <v>2272</v>
      </c>
    </row>
    <row r="276" spans="1:9">
      <c r="A276" s="3" t="s">
        <v>295</v>
      </c>
      <c r="B276" s="4">
        <v>43375</v>
      </c>
      <c r="C276" s="3" t="s">
        <v>13</v>
      </c>
      <c r="D276" s="3" t="s">
        <v>9</v>
      </c>
      <c r="E276" s="3" t="s">
        <v>10</v>
      </c>
      <c r="F276" s="3" t="s">
        <v>10</v>
      </c>
      <c r="G276" s="3" t="s">
        <v>11</v>
      </c>
      <c r="H276" s="3">
        <v>3069</v>
      </c>
      <c r="I276" s="3">
        <v>2240</v>
      </c>
    </row>
    <row r="277" spans="1:9">
      <c r="A277" s="3" t="s">
        <v>296</v>
      </c>
      <c r="B277" s="4">
        <v>43376</v>
      </c>
      <c r="C277" s="3" t="s">
        <v>15</v>
      </c>
      <c r="D277" s="3" t="s">
        <v>9</v>
      </c>
      <c r="E277" s="3" t="s">
        <v>10</v>
      </c>
      <c r="F277" s="3" t="s">
        <v>10</v>
      </c>
      <c r="G277" s="3" t="s">
        <v>11</v>
      </c>
      <c r="H277" s="3">
        <v>3755</v>
      </c>
      <c r="I277" s="3">
        <v>2516</v>
      </c>
    </row>
    <row r="278" spans="1:9">
      <c r="A278" s="3" t="s">
        <v>297</v>
      </c>
      <c r="B278" s="4">
        <v>43377</v>
      </c>
      <c r="C278" s="3" t="s">
        <v>17</v>
      </c>
      <c r="D278" s="3" t="s">
        <v>18</v>
      </c>
      <c r="E278" s="3" t="s">
        <v>19</v>
      </c>
      <c r="F278" s="3" t="s">
        <v>20</v>
      </c>
      <c r="G278" s="3" t="s">
        <v>11</v>
      </c>
      <c r="H278" s="3">
        <v>3215</v>
      </c>
      <c r="I278" s="3">
        <v>2058</v>
      </c>
    </row>
    <row r="279" spans="1:9">
      <c r="A279" s="3" t="s">
        <v>298</v>
      </c>
      <c r="B279" s="4">
        <v>43378</v>
      </c>
      <c r="C279" s="3" t="s">
        <v>22</v>
      </c>
      <c r="D279" s="3" t="s">
        <v>18</v>
      </c>
      <c r="E279" s="3" t="s">
        <v>19</v>
      </c>
      <c r="F279" s="3" t="s">
        <v>20</v>
      </c>
      <c r="G279" s="3" t="s">
        <v>11</v>
      </c>
      <c r="H279" s="3">
        <v>3685</v>
      </c>
      <c r="I279" s="3">
        <v>2543</v>
      </c>
    </row>
    <row r="280" spans="1:9">
      <c r="A280" s="3" t="s">
        <v>299</v>
      </c>
      <c r="B280" s="4">
        <v>43379</v>
      </c>
      <c r="C280" s="3" t="s">
        <v>24</v>
      </c>
      <c r="D280" s="3" t="s">
        <v>18</v>
      </c>
      <c r="E280" s="3" t="s">
        <v>19</v>
      </c>
      <c r="F280" s="3" t="s">
        <v>20</v>
      </c>
      <c r="G280" s="3" t="s">
        <v>11</v>
      </c>
      <c r="H280" s="3">
        <v>4015</v>
      </c>
      <c r="I280" s="3">
        <v>2730</v>
      </c>
    </row>
    <row r="281" spans="1:9">
      <c r="A281" s="3" t="s">
        <v>300</v>
      </c>
      <c r="B281" s="4">
        <v>43380</v>
      </c>
      <c r="C281" s="3" t="s">
        <v>26</v>
      </c>
      <c r="D281" s="3" t="s">
        <v>18</v>
      </c>
      <c r="E281" s="3" t="s">
        <v>19</v>
      </c>
      <c r="F281" s="3" t="s">
        <v>20</v>
      </c>
      <c r="G281" s="3" t="s">
        <v>11</v>
      </c>
      <c r="H281" s="3">
        <v>2517</v>
      </c>
      <c r="I281" s="3">
        <v>1661</v>
      </c>
    </row>
    <row r="282" spans="1:9">
      <c r="A282" s="3" t="s">
        <v>301</v>
      </c>
      <c r="B282" s="4">
        <v>43381</v>
      </c>
      <c r="C282" s="3" t="s">
        <v>28</v>
      </c>
      <c r="D282" s="3" t="s">
        <v>18</v>
      </c>
      <c r="E282" s="3" t="s">
        <v>19</v>
      </c>
      <c r="F282" s="3" t="s">
        <v>20</v>
      </c>
      <c r="G282" s="3" t="s">
        <v>11</v>
      </c>
      <c r="H282" s="3">
        <v>2598</v>
      </c>
      <c r="I282" s="3">
        <v>1793</v>
      </c>
    </row>
    <row r="283" spans="1:9">
      <c r="A283" s="3" t="s">
        <v>302</v>
      </c>
      <c r="B283" s="4">
        <v>43382</v>
      </c>
      <c r="C283" s="3" t="s">
        <v>30</v>
      </c>
      <c r="D283" s="3" t="s">
        <v>31</v>
      </c>
      <c r="E283" s="3" t="s">
        <v>32</v>
      </c>
      <c r="F283" s="3" t="s">
        <v>33</v>
      </c>
      <c r="G283" s="3" t="s">
        <v>34</v>
      </c>
      <c r="H283" s="3">
        <v>3513</v>
      </c>
      <c r="I283" s="3">
        <v>2740</v>
      </c>
    </row>
    <row r="284" spans="1:9">
      <c r="A284" s="3" t="s">
        <v>303</v>
      </c>
      <c r="B284" s="4">
        <v>43383</v>
      </c>
      <c r="C284" s="3" t="s">
        <v>36</v>
      </c>
      <c r="D284" s="3" t="s">
        <v>37</v>
      </c>
      <c r="E284" s="3" t="s">
        <v>38</v>
      </c>
      <c r="F284" s="3" t="s">
        <v>39</v>
      </c>
      <c r="G284" s="3" t="s">
        <v>40</v>
      </c>
      <c r="H284" s="3">
        <v>2247</v>
      </c>
      <c r="I284" s="3">
        <v>1775</v>
      </c>
    </row>
    <row r="285" spans="1:9">
      <c r="A285" s="3" t="s">
        <v>304</v>
      </c>
      <c r="B285" s="4">
        <v>43384</v>
      </c>
      <c r="C285" s="3" t="s">
        <v>42</v>
      </c>
      <c r="D285" s="3" t="s">
        <v>31</v>
      </c>
      <c r="E285" s="3" t="s">
        <v>43</v>
      </c>
      <c r="F285" s="3" t="s">
        <v>44</v>
      </c>
      <c r="G285" s="3" t="s">
        <v>34</v>
      </c>
      <c r="H285" s="3">
        <v>2878</v>
      </c>
      <c r="I285" s="3">
        <v>1784</v>
      </c>
    </row>
    <row r="286" spans="1:9">
      <c r="A286" s="3" t="s">
        <v>305</v>
      </c>
      <c r="B286" s="4">
        <v>43385</v>
      </c>
      <c r="C286" s="3" t="s">
        <v>46</v>
      </c>
      <c r="D286" s="3" t="s">
        <v>75</v>
      </c>
      <c r="E286" s="3" t="s">
        <v>76</v>
      </c>
      <c r="F286" s="3" t="s">
        <v>79</v>
      </c>
      <c r="G286" s="3" t="s">
        <v>40</v>
      </c>
      <c r="H286" s="3">
        <v>3425</v>
      </c>
      <c r="I286" s="3">
        <v>2706</v>
      </c>
    </row>
    <row r="287" spans="1:9">
      <c r="A287" s="3" t="s">
        <v>306</v>
      </c>
      <c r="B287" s="4">
        <v>43386</v>
      </c>
      <c r="C287" s="3" t="s">
        <v>48</v>
      </c>
      <c r="D287" s="3" t="s">
        <v>75</v>
      </c>
      <c r="E287" s="3" t="s">
        <v>77</v>
      </c>
      <c r="F287" s="3" t="s">
        <v>78</v>
      </c>
      <c r="G287" s="3" t="s">
        <v>40</v>
      </c>
      <c r="H287" s="3">
        <v>2865</v>
      </c>
      <c r="I287" s="3">
        <v>2091</v>
      </c>
    </row>
    <row r="288" spans="1:9">
      <c r="A288" s="3" t="s">
        <v>307</v>
      </c>
      <c r="B288" s="4">
        <v>43387</v>
      </c>
      <c r="C288" s="3" t="s">
        <v>50</v>
      </c>
      <c r="D288" s="3" t="s">
        <v>75</v>
      </c>
      <c r="E288" s="3" t="s">
        <v>77</v>
      </c>
      <c r="F288" s="3" t="s">
        <v>78</v>
      </c>
      <c r="G288" s="3" t="s">
        <v>40</v>
      </c>
      <c r="H288" s="3">
        <v>2393</v>
      </c>
      <c r="I288" s="3">
        <v>1723</v>
      </c>
    </row>
    <row r="289" spans="1:9">
      <c r="A289" s="3" t="s">
        <v>308</v>
      </c>
      <c r="B289" s="4">
        <v>43388</v>
      </c>
      <c r="C289" s="3" t="s">
        <v>52</v>
      </c>
      <c r="D289" s="3" t="s">
        <v>53</v>
      </c>
      <c r="E289" s="3" t="s">
        <v>54</v>
      </c>
      <c r="F289" s="3" t="s">
        <v>55</v>
      </c>
      <c r="G289" s="3" t="s">
        <v>11</v>
      </c>
      <c r="H289" s="3">
        <v>3149</v>
      </c>
      <c r="I289" s="3">
        <v>2299</v>
      </c>
    </row>
    <row r="290" spans="1:9">
      <c r="A290" s="3" t="s">
        <v>309</v>
      </c>
      <c r="B290" s="4">
        <v>43389</v>
      </c>
      <c r="C290" s="3" t="s">
        <v>57</v>
      </c>
      <c r="D290" s="3" t="s">
        <v>18</v>
      </c>
      <c r="E290" s="3" t="s">
        <v>58</v>
      </c>
      <c r="F290" s="3" t="s">
        <v>59</v>
      </c>
      <c r="G290" s="3" t="s">
        <v>11</v>
      </c>
      <c r="H290" s="3">
        <v>3277</v>
      </c>
      <c r="I290" s="3">
        <v>2130</v>
      </c>
    </row>
    <row r="291" spans="1:9">
      <c r="A291" s="3" t="s">
        <v>310</v>
      </c>
      <c r="B291" s="4">
        <v>43390</v>
      </c>
      <c r="C291" s="3" t="s">
        <v>61</v>
      </c>
      <c r="D291" s="3" t="s">
        <v>62</v>
      </c>
      <c r="E291" s="3" t="s">
        <v>63</v>
      </c>
      <c r="F291" s="3" t="s">
        <v>64</v>
      </c>
      <c r="G291" s="3" t="s">
        <v>11</v>
      </c>
      <c r="H291" s="3">
        <v>2713</v>
      </c>
      <c r="I291" s="3">
        <v>1682</v>
      </c>
    </row>
    <row r="292" spans="1:9">
      <c r="A292" s="3" t="s">
        <v>311</v>
      </c>
      <c r="B292" s="4">
        <v>43391</v>
      </c>
      <c r="C292" s="3" t="s">
        <v>66</v>
      </c>
      <c r="D292" s="3" t="s">
        <v>62</v>
      </c>
      <c r="E292" s="3" t="s">
        <v>63</v>
      </c>
      <c r="F292" s="3" t="s">
        <v>64</v>
      </c>
      <c r="G292" s="3" t="s">
        <v>11</v>
      </c>
      <c r="H292" s="3">
        <v>3381</v>
      </c>
      <c r="I292" s="3">
        <v>2231</v>
      </c>
    </row>
    <row r="293" spans="1:9">
      <c r="A293" s="3" t="s">
        <v>312</v>
      </c>
      <c r="B293" s="4">
        <v>43392</v>
      </c>
      <c r="C293" s="3" t="s">
        <v>68</v>
      </c>
      <c r="D293" s="3" t="s">
        <v>75</v>
      </c>
      <c r="E293" s="3" t="s">
        <v>76</v>
      </c>
      <c r="F293" s="3" t="s">
        <v>80</v>
      </c>
      <c r="G293" s="3" t="s">
        <v>40</v>
      </c>
      <c r="H293" s="3">
        <v>2545</v>
      </c>
      <c r="I293" s="3">
        <v>2011</v>
      </c>
    </row>
    <row r="294" spans="1:9">
      <c r="A294" s="3" t="s">
        <v>313</v>
      </c>
      <c r="B294" s="4">
        <v>43393</v>
      </c>
      <c r="C294" s="3" t="s">
        <v>70</v>
      </c>
      <c r="D294" s="3" t="s">
        <v>75</v>
      </c>
      <c r="E294" s="3" t="s">
        <v>76</v>
      </c>
      <c r="F294" s="3" t="s">
        <v>80</v>
      </c>
      <c r="G294" s="3" t="s">
        <v>40</v>
      </c>
      <c r="H294" s="3">
        <v>4473</v>
      </c>
      <c r="I294" s="3">
        <v>2729</v>
      </c>
    </row>
    <row r="295" spans="1:9">
      <c r="A295" s="3" t="s">
        <v>314</v>
      </c>
      <c r="B295" s="4">
        <v>43394</v>
      </c>
      <c r="C295" s="3" t="s">
        <v>72</v>
      </c>
      <c r="D295" s="3" t="s">
        <v>75</v>
      </c>
      <c r="E295" s="3" t="s">
        <v>76</v>
      </c>
      <c r="F295" s="3" t="s">
        <v>80</v>
      </c>
      <c r="G295" s="3" t="s">
        <v>40</v>
      </c>
      <c r="H295" s="3">
        <v>3332</v>
      </c>
      <c r="I295" s="3">
        <v>2132</v>
      </c>
    </row>
    <row r="296" spans="1:9">
      <c r="A296" s="3" t="s">
        <v>315</v>
      </c>
      <c r="B296" s="4">
        <v>43395</v>
      </c>
      <c r="C296" s="3" t="s">
        <v>8</v>
      </c>
      <c r="D296" s="3" t="s">
        <v>9</v>
      </c>
      <c r="E296" s="3" t="s">
        <v>10</v>
      </c>
      <c r="F296" s="3" t="s">
        <v>10</v>
      </c>
      <c r="G296" s="3" t="s">
        <v>11</v>
      </c>
      <c r="H296" s="3">
        <v>2283</v>
      </c>
      <c r="I296" s="3">
        <v>1438</v>
      </c>
    </row>
    <row r="297" spans="1:9">
      <c r="A297" s="3" t="s">
        <v>316</v>
      </c>
      <c r="B297" s="4">
        <v>43396</v>
      </c>
      <c r="C297" s="3" t="s">
        <v>13</v>
      </c>
      <c r="D297" s="3" t="s">
        <v>9</v>
      </c>
      <c r="E297" s="3" t="s">
        <v>10</v>
      </c>
      <c r="F297" s="3" t="s">
        <v>10</v>
      </c>
      <c r="G297" s="3" t="s">
        <v>11</v>
      </c>
      <c r="H297" s="3">
        <v>2696</v>
      </c>
      <c r="I297" s="3">
        <v>1833</v>
      </c>
    </row>
    <row r="298" spans="1:9">
      <c r="A298" s="3" t="s">
        <v>317</v>
      </c>
      <c r="B298" s="4">
        <v>43397</v>
      </c>
      <c r="C298" s="3" t="s">
        <v>15</v>
      </c>
      <c r="D298" s="3" t="s">
        <v>9</v>
      </c>
      <c r="E298" s="3" t="s">
        <v>10</v>
      </c>
      <c r="F298" s="3" t="s">
        <v>10</v>
      </c>
      <c r="G298" s="3" t="s">
        <v>11</v>
      </c>
      <c r="H298" s="3">
        <v>4061</v>
      </c>
      <c r="I298" s="3">
        <v>3127</v>
      </c>
    </row>
    <row r="299" spans="1:9">
      <c r="A299" s="3" t="s">
        <v>318</v>
      </c>
      <c r="B299" s="4">
        <v>43398</v>
      </c>
      <c r="C299" s="3" t="s">
        <v>17</v>
      </c>
      <c r="D299" s="3" t="s">
        <v>18</v>
      </c>
      <c r="E299" s="3" t="s">
        <v>19</v>
      </c>
      <c r="F299" s="3" t="s">
        <v>20</v>
      </c>
      <c r="G299" s="3" t="s">
        <v>11</v>
      </c>
      <c r="H299" s="3">
        <v>2382</v>
      </c>
      <c r="I299" s="3">
        <v>1548</v>
      </c>
    </row>
    <row r="300" spans="1:9">
      <c r="A300" s="3" t="s">
        <v>319</v>
      </c>
      <c r="B300" s="4">
        <v>43399</v>
      </c>
      <c r="C300" s="3" t="s">
        <v>22</v>
      </c>
      <c r="D300" s="3" t="s">
        <v>18</v>
      </c>
      <c r="E300" s="3" t="s">
        <v>19</v>
      </c>
      <c r="F300" s="3" t="s">
        <v>20</v>
      </c>
      <c r="G300" s="3" t="s">
        <v>11</v>
      </c>
      <c r="H300" s="3">
        <v>4336</v>
      </c>
      <c r="I300" s="3">
        <v>2602</v>
      </c>
    </row>
    <row r="301" spans="1:9">
      <c r="A301" s="3" t="s">
        <v>320</v>
      </c>
      <c r="B301" s="4">
        <v>43400</v>
      </c>
      <c r="C301" s="3" t="s">
        <v>24</v>
      </c>
      <c r="D301" s="3" t="s">
        <v>18</v>
      </c>
      <c r="E301" s="3" t="s">
        <v>19</v>
      </c>
      <c r="F301" s="3" t="s">
        <v>20</v>
      </c>
      <c r="G301" s="3" t="s">
        <v>11</v>
      </c>
      <c r="H301" s="3">
        <v>2602</v>
      </c>
      <c r="I301" s="3">
        <v>2004</v>
      </c>
    </row>
    <row r="302" spans="1:9">
      <c r="A302" s="3" t="s">
        <v>321</v>
      </c>
      <c r="B302" s="4">
        <v>43401</v>
      </c>
      <c r="C302" s="3" t="s">
        <v>26</v>
      </c>
      <c r="D302" s="3" t="s">
        <v>18</v>
      </c>
      <c r="E302" s="3" t="s">
        <v>19</v>
      </c>
      <c r="F302" s="3" t="s">
        <v>20</v>
      </c>
      <c r="G302" s="3" t="s">
        <v>11</v>
      </c>
      <c r="H302" s="3">
        <v>3094</v>
      </c>
      <c r="I302" s="3">
        <v>2073</v>
      </c>
    </row>
    <row r="303" spans="1:9">
      <c r="A303" s="3" t="s">
        <v>322</v>
      </c>
      <c r="B303" s="4">
        <v>43402</v>
      </c>
      <c r="C303" s="3" t="s">
        <v>28</v>
      </c>
      <c r="D303" s="3" t="s">
        <v>18</v>
      </c>
      <c r="E303" s="3" t="s">
        <v>19</v>
      </c>
      <c r="F303" s="3" t="s">
        <v>20</v>
      </c>
      <c r="G303" s="3" t="s">
        <v>11</v>
      </c>
      <c r="H303" s="3">
        <v>3510</v>
      </c>
      <c r="I303" s="3">
        <v>2141</v>
      </c>
    </row>
    <row r="304" spans="1:9">
      <c r="A304" s="3" t="s">
        <v>323</v>
      </c>
      <c r="B304" s="4">
        <v>43403</v>
      </c>
      <c r="C304" s="3" t="s">
        <v>30</v>
      </c>
      <c r="D304" s="3" t="s">
        <v>31</v>
      </c>
      <c r="E304" s="3" t="s">
        <v>32</v>
      </c>
      <c r="F304" s="3" t="s">
        <v>33</v>
      </c>
      <c r="G304" s="3" t="s">
        <v>34</v>
      </c>
      <c r="H304" s="3">
        <v>2134</v>
      </c>
      <c r="I304" s="3">
        <v>1536</v>
      </c>
    </row>
    <row r="305" spans="1:9">
      <c r="A305" s="3" t="s">
        <v>324</v>
      </c>
      <c r="B305" s="4">
        <v>43404</v>
      </c>
      <c r="C305" s="3" t="s">
        <v>36</v>
      </c>
      <c r="D305" s="3" t="s">
        <v>37</v>
      </c>
      <c r="E305" s="3" t="s">
        <v>38</v>
      </c>
      <c r="F305" s="3" t="s">
        <v>39</v>
      </c>
      <c r="G305" s="3" t="s">
        <v>40</v>
      </c>
      <c r="H305" s="3">
        <v>2661</v>
      </c>
      <c r="I305" s="3">
        <v>2022</v>
      </c>
    </row>
    <row r="306" spans="1:9">
      <c r="A306" s="3" t="s">
        <v>325</v>
      </c>
      <c r="B306" s="4">
        <v>43405</v>
      </c>
      <c r="C306" s="3" t="s">
        <v>42</v>
      </c>
      <c r="D306" s="3" t="s">
        <v>31</v>
      </c>
      <c r="E306" s="3" t="s">
        <v>43</v>
      </c>
      <c r="F306" s="3" t="s">
        <v>44</v>
      </c>
      <c r="G306" s="3" t="s">
        <v>34</v>
      </c>
      <c r="H306" s="3">
        <v>2901</v>
      </c>
      <c r="I306" s="3">
        <v>1741</v>
      </c>
    </row>
    <row r="307" spans="1:9">
      <c r="A307" s="3" t="s">
        <v>326</v>
      </c>
      <c r="B307" s="4">
        <v>43406</v>
      </c>
      <c r="C307" s="3" t="s">
        <v>46</v>
      </c>
      <c r="D307" s="3" t="s">
        <v>75</v>
      </c>
      <c r="E307" s="3" t="s">
        <v>76</v>
      </c>
      <c r="F307" s="3" t="s">
        <v>79</v>
      </c>
      <c r="G307" s="3" t="s">
        <v>40</v>
      </c>
      <c r="H307" s="3">
        <v>3784</v>
      </c>
      <c r="I307" s="3">
        <v>2384</v>
      </c>
    </row>
    <row r="308" spans="1:9">
      <c r="A308" s="3" t="s">
        <v>327</v>
      </c>
      <c r="B308" s="4">
        <v>43407</v>
      </c>
      <c r="C308" s="3" t="s">
        <v>48</v>
      </c>
      <c r="D308" s="3" t="s">
        <v>75</v>
      </c>
      <c r="E308" s="3" t="s">
        <v>77</v>
      </c>
      <c r="F308" s="3" t="s">
        <v>78</v>
      </c>
      <c r="G308" s="3" t="s">
        <v>40</v>
      </c>
      <c r="H308" s="3">
        <v>3135</v>
      </c>
      <c r="I308" s="3">
        <v>2445</v>
      </c>
    </row>
    <row r="309" spans="1:9">
      <c r="A309" s="3" t="s">
        <v>328</v>
      </c>
      <c r="B309" s="4">
        <v>43408</v>
      </c>
      <c r="C309" s="3" t="s">
        <v>50</v>
      </c>
      <c r="D309" s="3" t="s">
        <v>75</v>
      </c>
      <c r="E309" s="3" t="s">
        <v>77</v>
      </c>
      <c r="F309" s="3" t="s">
        <v>78</v>
      </c>
      <c r="G309" s="3" t="s">
        <v>40</v>
      </c>
      <c r="H309" s="3">
        <v>2802</v>
      </c>
      <c r="I309" s="3">
        <v>1877</v>
      </c>
    </row>
    <row r="310" spans="1:9">
      <c r="A310" s="3" t="s">
        <v>329</v>
      </c>
      <c r="B310" s="4">
        <v>43409</v>
      </c>
      <c r="C310" s="3" t="s">
        <v>52</v>
      </c>
      <c r="D310" s="3" t="s">
        <v>53</v>
      </c>
      <c r="E310" s="3" t="s">
        <v>54</v>
      </c>
      <c r="F310" s="3" t="s">
        <v>55</v>
      </c>
      <c r="G310" s="3" t="s">
        <v>11</v>
      </c>
      <c r="H310" s="3">
        <v>3486</v>
      </c>
      <c r="I310" s="3">
        <v>2789</v>
      </c>
    </row>
    <row r="311" spans="1:9">
      <c r="A311" s="3" t="s">
        <v>330</v>
      </c>
      <c r="B311" s="4">
        <v>43410</v>
      </c>
      <c r="C311" s="3" t="s">
        <v>57</v>
      </c>
      <c r="D311" s="3" t="s">
        <v>18</v>
      </c>
      <c r="E311" s="3" t="s">
        <v>58</v>
      </c>
      <c r="F311" s="3" t="s">
        <v>59</v>
      </c>
      <c r="G311" s="3" t="s">
        <v>11</v>
      </c>
      <c r="H311" s="3">
        <v>3422</v>
      </c>
      <c r="I311" s="3">
        <v>2122</v>
      </c>
    </row>
    <row r="312" spans="1:9">
      <c r="A312" s="3" t="s">
        <v>331</v>
      </c>
      <c r="B312" s="4">
        <v>43411</v>
      </c>
      <c r="C312" s="3" t="s">
        <v>61</v>
      </c>
      <c r="D312" s="3" t="s">
        <v>62</v>
      </c>
      <c r="E312" s="3" t="s">
        <v>63</v>
      </c>
      <c r="F312" s="3" t="s">
        <v>64</v>
      </c>
      <c r="G312" s="3" t="s">
        <v>11</v>
      </c>
      <c r="H312" s="3">
        <v>2842</v>
      </c>
      <c r="I312" s="3">
        <v>2188</v>
      </c>
    </row>
    <row r="313" spans="1:9">
      <c r="A313" s="3" t="s">
        <v>332</v>
      </c>
      <c r="B313" s="4">
        <v>43412</v>
      </c>
      <c r="C313" s="3" t="s">
        <v>66</v>
      </c>
      <c r="D313" s="3" t="s">
        <v>62</v>
      </c>
      <c r="E313" s="3" t="s">
        <v>63</v>
      </c>
      <c r="F313" s="3" t="s">
        <v>64</v>
      </c>
      <c r="G313" s="3" t="s">
        <v>11</v>
      </c>
      <c r="H313" s="3">
        <v>3846</v>
      </c>
      <c r="I313" s="3">
        <v>2500</v>
      </c>
    </row>
    <row r="314" spans="1:9">
      <c r="A314" s="3" t="s">
        <v>333</v>
      </c>
      <c r="B314" s="4">
        <v>43413</v>
      </c>
      <c r="C314" s="3" t="s">
        <v>68</v>
      </c>
      <c r="D314" s="3" t="s">
        <v>75</v>
      </c>
      <c r="E314" s="3" t="s">
        <v>76</v>
      </c>
      <c r="F314" s="3" t="s">
        <v>80</v>
      </c>
      <c r="G314" s="3" t="s">
        <v>40</v>
      </c>
      <c r="H314" s="3">
        <v>3131</v>
      </c>
      <c r="I314" s="3">
        <v>2380</v>
      </c>
    </row>
    <row r="315" spans="1:9">
      <c r="A315" s="3" t="s">
        <v>334</v>
      </c>
      <c r="B315" s="4">
        <v>43414</v>
      </c>
      <c r="C315" s="3" t="s">
        <v>70</v>
      </c>
      <c r="D315" s="3" t="s">
        <v>75</v>
      </c>
      <c r="E315" s="3" t="s">
        <v>76</v>
      </c>
      <c r="F315" s="3" t="s">
        <v>80</v>
      </c>
      <c r="G315" s="3" t="s">
        <v>40</v>
      </c>
      <c r="H315" s="3">
        <v>3825</v>
      </c>
      <c r="I315" s="3">
        <v>2333</v>
      </c>
    </row>
    <row r="316" spans="1:9">
      <c r="A316" s="3" t="s">
        <v>335</v>
      </c>
      <c r="B316" s="4">
        <v>43415</v>
      </c>
      <c r="C316" s="3" t="s">
        <v>72</v>
      </c>
      <c r="D316" s="3" t="s">
        <v>75</v>
      </c>
      <c r="E316" s="3" t="s">
        <v>76</v>
      </c>
      <c r="F316" s="3" t="s">
        <v>80</v>
      </c>
      <c r="G316" s="3" t="s">
        <v>40</v>
      </c>
      <c r="H316" s="3">
        <v>4362</v>
      </c>
      <c r="I316" s="3">
        <v>3446</v>
      </c>
    </row>
    <row r="317" spans="1:9">
      <c r="A317" s="3" t="s">
        <v>336</v>
      </c>
      <c r="B317" s="4">
        <v>43416</v>
      </c>
      <c r="C317" s="3" t="s">
        <v>8</v>
      </c>
      <c r="D317" s="3" t="s">
        <v>9</v>
      </c>
      <c r="E317" s="3" t="s">
        <v>10</v>
      </c>
      <c r="F317" s="3" t="s">
        <v>10</v>
      </c>
      <c r="G317" s="3" t="s">
        <v>11</v>
      </c>
      <c r="H317" s="3">
        <v>2934</v>
      </c>
      <c r="I317" s="3">
        <v>1819</v>
      </c>
    </row>
    <row r="318" spans="1:9">
      <c r="A318" s="3" t="s">
        <v>337</v>
      </c>
      <c r="B318" s="4">
        <v>43417</v>
      </c>
      <c r="C318" s="3" t="s">
        <v>13</v>
      </c>
      <c r="D318" s="3" t="s">
        <v>9</v>
      </c>
      <c r="E318" s="3" t="s">
        <v>10</v>
      </c>
      <c r="F318" s="3" t="s">
        <v>10</v>
      </c>
      <c r="G318" s="3" t="s">
        <v>11</v>
      </c>
      <c r="H318" s="3">
        <v>4354</v>
      </c>
      <c r="I318" s="3">
        <v>2787</v>
      </c>
    </row>
    <row r="319" spans="1:9">
      <c r="A319" s="3" t="s">
        <v>338</v>
      </c>
      <c r="B319" s="4">
        <v>43418</v>
      </c>
      <c r="C319" s="3" t="s">
        <v>15</v>
      </c>
      <c r="D319" s="3" t="s">
        <v>9</v>
      </c>
      <c r="E319" s="3" t="s">
        <v>10</v>
      </c>
      <c r="F319" s="3" t="s">
        <v>10</v>
      </c>
      <c r="G319" s="3" t="s">
        <v>11</v>
      </c>
      <c r="H319" s="3">
        <v>2102</v>
      </c>
      <c r="I319" s="3">
        <v>1534</v>
      </c>
    </row>
    <row r="320" spans="1:9">
      <c r="A320" s="3" t="s">
        <v>339</v>
      </c>
      <c r="B320" s="4">
        <v>43419</v>
      </c>
      <c r="C320" s="3" t="s">
        <v>17</v>
      </c>
      <c r="D320" s="3" t="s">
        <v>18</v>
      </c>
      <c r="E320" s="3" t="s">
        <v>19</v>
      </c>
      <c r="F320" s="3" t="s">
        <v>20</v>
      </c>
      <c r="G320" s="3" t="s">
        <v>11</v>
      </c>
      <c r="H320" s="3">
        <v>3261</v>
      </c>
      <c r="I320" s="3">
        <v>2446</v>
      </c>
    </row>
    <row r="321" spans="1:9">
      <c r="A321" s="3" t="s">
        <v>340</v>
      </c>
      <c r="B321" s="4">
        <v>43420</v>
      </c>
      <c r="C321" s="3" t="s">
        <v>22</v>
      </c>
      <c r="D321" s="3" t="s">
        <v>18</v>
      </c>
      <c r="E321" s="3" t="s">
        <v>19</v>
      </c>
      <c r="F321" s="3" t="s">
        <v>20</v>
      </c>
      <c r="G321" s="3" t="s">
        <v>11</v>
      </c>
      <c r="H321" s="3">
        <v>2577</v>
      </c>
      <c r="I321" s="3">
        <v>1907</v>
      </c>
    </row>
    <row r="322" spans="1:9">
      <c r="A322" s="3" t="s">
        <v>341</v>
      </c>
      <c r="B322" s="4">
        <v>43421</v>
      </c>
      <c r="C322" s="3" t="s">
        <v>24</v>
      </c>
      <c r="D322" s="3" t="s">
        <v>18</v>
      </c>
      <c r="E322" s="3" t="s">
        <v>19</v>
      </c>
      <c r="F322" s="3" t="s">
        <v>20</v>
      </c>
      <c r="G322" s="3" t="s">
        <v>11</v>
      </c>
      <c r="H322" s="3">
        <v>3131</v>
      </c>
      <c r="I322" s="3">
        <v>1973</v>
      </c>
    </row>
    <row r="323" spans="1:9">
      <c r="A323" s="3" t="s">
        <v>342</v>
      </c>
      <c r="B323" s="4">
        <v>43422</v>
      </c>
      <c r="C323" s="3" t="s">
        <v>26</v>
      </c>
      <c r="D323" s="3" t="s">
        <v>18</v>
      </c>
      <c r="E323" s="3" t="s">
        <v>19</v>
      </c>
      <c r="F323" s="3" t="s">
        <v>20</v>
      </c>
      <c r="G323" s="3" t="s">
        <v>11</v>
      </c>
      <c r="H323" s="3">
        <v>2683</v>
      </c>
      <c r="I323" s="3">
        <v>1798</v>
      </c>
    </row>
    <row r="324" spans="1:9">
      <c r="A324" s="3" t="s">
        <v>343</v>
      </c>
      <c r="B324" s="4">
        <v>43423</v>
      </c>
      <c r="C324" s="3" t="s">
        <v>28</v>
      </c>
      <c r="D324" s="3" t="s">
        <v>18</v>
      </c>
      <c r="E324" s="3" t="s">
        <v>19</v>
      </c>
      <c r="F324" s="3" t="s">
        <v>20</v>
      </c>
      <c r="G324" s="3" t="s">
        <v>11</v>
      </c>
      <c r="H324" s="3">
        <v>2613</v>
      </c>
      <c r="I324" s="3">
        <v>1751</v>
      </c>
    </row>
    <row r="325" spans="1:9">
      <c r="A325" s="3" t="s">
        <v>344</v>
      </c>
      <c r="B325" s="4">
        <v>43424</v>
      </c>
      <c r="C325" s="3" t="s">
        <v>30</v>
      </c>
      <c r="D325" s="3" t="s">
        <v>31</v>
      </c>
      <c r="E325" s="3" t="s">
        <v>32</v>
      </c>
      <c r="F325" s="3" t="s">
        <v>33</v>
      </c>
      <c r="G325" s="3" t="s">
        <v>34</v>
      </c>
      <c r="H325" s="3">
        <v>4076</v>
      </c>
      <c r="I325" s="3">
        <v>2609</v>
      </c>
    </row>
    <row r="326" spans="1:9">
      <c r="A326" s="3" t="s">
        <v>345</v>
      </c>
      <c r="B326" s="4">
        <v>43425</v>
      </c>
      <c r="C326" s="3" t="s">
        <v>36</v>
      </c>
      <c r="D326" s="3" t="s">
        <v>37</v>
      </c>
      <c r="E326" s="3" t="s">
        <v>38</v>
      </c>
      <c r="F326" s="3" t="s">
        <v>39</v>
      </c>
      <c r="G326" s="3" t="s">
        <v>40</v>
      </c>
      <c r="H326" s="3">
        <v>4400</v>
      </c>
      <c r="I326" s="3">
        <v>3432</v>
      </c>
    </row>
    <row r="327" spans="1:9">
      <c r="A327" s="3" t="s">
        <v>346</v>
      </c>
      <c r="B327" s="4">
        <v>43426</v>
      </c>
      <c r="C327" s="3" t="s">
        <v>42</v>
      </c>
      <c r="D327" s="3" t="s">
        <v>31</v>
      </c>
      <c r="E327" s="3" t="s">
        <v>43</v>
      </c>
      <c r="F327" s="3" t="s">
        <v>44</v>
      </c>
      <c r="G327" s="3" t="s">
        <v>34</v>
      </c>
      <c r="H327" s="3">
        <v>2466</v>
      </c>
      <c r="I327" s="3">
        <v>1603</v>
      </c>
    </row>
    <row r="328" spans="1:9">
      <c r="A328" s="3" t="s">
        <v>347</v>
      </c>
      <c r="B328" s="4">
        <v>43427</v>
      </c>
      <c r="C328" s="3" t="s">
        <v>46</v>
      </c>
      <c r="D328" s="3" t="s">
        <v>75</v>
      </c>
      <c r="E328" s="3" t="s">
        <v>76</v>
      </c>
      <c r="F328" s="3" t="s">
        <v>79</v>
      </c>
      <c r="G328" s="3" t="s">
        <v>40</v>
      </c>
      <c r="H328" s="3">
        <v>2137</v>
      </c>
      <c r="I328" s="3">
        <v>1325</v>
      </c>
    </row>
    <row r="329" spans="1:9">
      <c r="A329" s="3" t="s">
        <v>348</v>
      </c>
      <c r="B329" s="4">
        <v>43428</v>
      </c>
      <c r="C329" s="3" t="s">
        <v>48</v>
      </c>
      <c r="D329" s="3" t="s">
        <v>75</v>
      </c>
      <c r="E329" s="3" t="s">
        <v>77</v>
      </c>
      <c r="F329" s="3" t="s">
        <v>78</v>
      </c>
      <c r="G329" s="3" t="s">
        <v>40</v>
      </c>
      <c r="H329" s="3">
        <v>4216</v>
      </c>
      <c r="I329" s="3">
        <v>3162</v>
      </c>
    </row>
    <row r="330" spans="1:9">
      <c r="A330" s="3" t="s">
        <v>349</v>
      </c>
      <c r="B330" s="4">
        <v>43429</v>
      </c>
      <c r="C330" s="3" t="s">
        <v>50</v>
      </c>
      <c r="D330" s="3" t="s">
        <v>75</v>
      </c>
      <c r="E330" s="3" t="s">
        <v>77</v>
      </c>
      <c r="F330" s="3" t="s">
        <v>78</v>
      </c>
      <c r="G330" s="3" t="s">
        <v>40</v>
      </c>
      <c r="H330" s="3">
        <v>3165</v>
      </c>
      <c r="I330" s="3">
        <v>2310</v>
      </c>
    </row>
    <row r="331" spans="1:9">
      <c r="A331" s="3" t="s">
        <v>350</v>
      </c>
      <c r="B331" s="4">
        <v>43430</v>
      </c>
      <c r="C331" s="3" t="s">
        <v>52</v>
      </c>
      <c r="D331" s="3" t="s">
        <v>53</v>
      </c>
      <c r="E331" s="3" t="s">
        <v>54</v>
      </c>
      <c r="F331" s="3" t="s">
        <v>55</v>
      </c>
      <c r="G331" s="3" t="s">
        <v>11</v>
      </c>
      <c r="H331" s="3">
        <v>3263</v>
      </c>
      <c r="I331" s="3">
        <v>2545</v>
      </c>
    </row>
    <row r="332" spans="1:9">
      <c r="A332" s="3" t="s">
        <v>351</v>
      </c>
      <c r="B332" s="4">
        <v>43431</v>
      </c>
      <c r="C332" s="3" t="s">
        <v>57</v>
      </c>
      <c r="D332" s="3" t="s">
        <v>18</v>
      </c>
      <c r="E332" s="3" t="s">
        <v>58</v>
      </c>
      <c r="F332" s="3" t="s">
        <v>59</v>
      </c>
      <c r="G332" s="3" t="s">
        <v>11</v>
      </c>
      <c r="H332" s="3">
        <v>2946</v>
      </c>
      <c r="I332" s="3">
        <v>2210</v>
      </c>
    </row>
    <row r="333" spans="1:9">
      <c r="A333" s="3" t="s">
        <v>352</v>
      </c>
      <c r="B333" s="4">
        <v>43432</v>
      </c>
      <c r="C333" s="3" t="s">
        <v>61</v>
      </c>
      <c r="D333" s="3" t="s">
        <v>62</v>
      </c>
      <c r="E333" s="3" t="s">
        <v>63</v>
      </c>
      <c r="F333" s="3" t="s">
        <v>64</v>
      </c>
      <c r="G333" s="3" t="s">
        <v>11</v>
      </c>
      <c r="H333" s="3">
        <v>2989</v>
      </c>
      <c r="I333" s="3">
        <v>2212</v>
      </c>
    </row>
    <row r="334" spans="1:9">
      <c r="A334" s="3" t="s">
        <v>353</v>
      </c>
      <c r="B334" s="4">
        <v>43433</v>
      </c>
      <c r="C334" s="3" t="s">
        <v>66</v>
      </c>
      <c r="D334" s="3" t="s">
        <v>62</v>
      </c>
      <c r="E334" s="3" t="s">
        <v>63</v>
      </c>
      <c r="F334" s="3" t="s">
        <v>64</v>
      </c>
      <c r="G334" s="3" t="s">
        <v>11</v>
      </c>
      <c r="H334" s="3">
        <v>3463</v>
      </c>
      <c r="I334" s="3">
        <v>2770</v>
      </c>
    </row>
    <row r="335" spans="1:9">
      <c r="A335" s="3" t="s">
        <v>354</v>
      </c>
      <c r="B335" s="4">
        <v>43434</v>
      </c>
      <c r="C335" s="3" t="s">
        <v>68</v>
      </c>
      <c r="D335" s="3" t="s">
        <v>75</v>
      </c>
      <c r="E335" s="3" t="s">
        <v>76</v>
      </c>
      <c r="F335" s="3" t="s">
        <v>80</v>
      </c>
      <c r="G335" s="3" t="s">
        <v>40</v>
      </c>
      <c r="H335" s="3">
        <v>2677</v>
      </c>
      <c r="I335" s="3">
        <v>2088</v>
      </c>
    </row>
    <row r="336" spans="1:9">
      <c r="A336" s="3" t="s">
        <v>355</v>
      </c>
      <c r="B336" s="4">
        <v>43435</v>
      </c>
      <c r="C336" s="3" t="s">
        <v>70</v>
      </c>
      <c r="D336" s="3" t="s">
        <v>75</v>
      </c>
      <c r="E336" s="3" t="s">
        <v>76</v>
      </c>
      <c r="F336" s="3" t="s">
        <v>80</v>
      </c>
      <c r="G336" s="3" t="s">
        <v>40</v>
      </c>
      <c r="H336" s="3">
        <v>2966</v>
      </c>
      <c r="I336" s="3">
        <v>1928</v>
      </c>
    </row>
    <row r="337" spans="1:9">
      <c r="A337" s="3" t="s">
        <v>356</v>
      </c>
      <c r="B337" s="4">
        <v>43436</v>
      </c>
      <c r="C337" s="3" t="s">
        <v>72</v>
      </c>
      <c r="D337" s="3" t="s">
        <v>75</v>
      </c>
      <c r="E337" s="3" t="s">
        <v>76</v>
      </c>
      <c r="F337" s="3" t="s">
        <v>80</v>
      </c>
      <c r="G337" s="3" t="s">
        <v>40</v>
      </c>
      <c r="H337" s="3">
        <v>2106</v>
      </c>
      <c r="I337" s="3">
        <v>1516</v>
      </c>
    </row>
    <row r="338" spans="1:9">
      <c r="A338" s="3" t="s">
        <v>357</v>
      </c>
      <c r="B338" s="4">
        <v>43437</v>
      </c>
      <c r="C338" s="3" t="s">
        <v>8</v>
      </c>
      <c r="D338" s="3" t="s">
        <v>9</v>
      </c>
      <c r="E338" s="3" t="s">
        <v>10</v>
      </c>
      <c r="F338" s="3" t="s">
        <v>10</v>
      </c>
      <c r="G338" s="3" t="s">
        <v>11</v>
      </c>
      <c r="H338" s="3">
        <v>3664</v>
      </c>
      <c r="I338" s="3">
        <v>2272</v>
      </c>
    </row>
    <row r="339" spans="1:9">
      <c r="A339" s="3" t="s">
        <v>358</v>
      </c>
      <c r="B339" s="4">
        <v>43438</v>
      </c>
      <c r="C339" s="3" t="s">
        <v>13</v>
      </c>
      <c r="D339" s="3" t="s">
        <v>9</v>
      </c>
      <c r="E339" s="3" t="s">
        <v>10</v>
      </c>
      <c r="F339" s="3" t="s">
        <v>10</v>
      </c>
      <c r="G339" s="3" t="s">
        <v>11</v>
      </c>
      <c r="H339" s="3">
        <v>3069</v>
      </c>
      <c r="I339" s="3">
        <v>2240</v>
      </c>
    </row>
    <row r="340" spans="1:9">
      <c r="A340" s="3" t="s">
        <v>359</v>
      </c>
      <c r="B340" s="4">
        <v>43439</v>
      </c>
      <c r="C340" s="3" t="s">
        <v>15</v>
      </c>
      <c r="D340" s="3" t="s">
        <v>9</v>
      </c>
      <c r="E340" s="3" t="s">
        <v>10</v>
      </c>
      <c r="F340" s="3" t="s">
        <v>10</v>
      </c>
      <c r="G340" s="3" t="s">
        <v>11</v>
      </c>
      <c r="H340" s="3">
        <v>3755</v>
      </c>
      <c r="I340" s="3">
        <v>2516</v>
      </c>
    </row>
    <row r="341" spans="1:9">
      <c r="A341" s="3" t="s">
        <v>360</v>
      </c>
      <c r="B341" s="4">
        <v>43440</v>
      </c>
      <c r="C341" s="3" t="s">
        <v>17</v>
      </c>
      <c r="D341" s="3" t="s">
        <v>18</v>
      </c>
      <c r="E341" s="3" t="s">
        <v>19</v>
      </c>
      <c r="F341" s="3" t="s">
        <v>20</v>
      </c>
      <c r="G341" s="3" t="s">
        <v>11</v>
      </c>
      <c r="H341" s="3">
        <v>3215</v>
      </c>
      <c r="I341" s="3">
        <v>2058</v>
      </c>
    </row>
    <row r="342" spans="1:9">
      <c r="A342" s="3" t="s">
        <v>361</v>
      </c>
      <c r="B342" s="4">
        <v>43441</v>
      </c>
      <c r="C342" s="3" t="s">
        <v>22</v>
      </c>
      <c r="D342" s="3" t="s">
        <v>18</v>
      </c>
      <c r="E342" s="3" t="s">
        <v>19</v>
      </c>
      <c r="F342" s="3" t="s">
        <v>20</v>
      </c>
      <c r="G342" s="3" t="s">
        <v>11</v>
      </c>
      <c r="H342" s="3">
        <v>3685</v>
      </c>
      <c r="I342" s="3">
        <v>2543</v>
      </c>
    </row>
    <row r="343" spans="1:9">
      <c r="A343" s="3" t="s">
        <v>362</v>
      </c>
      <c r="B343" s="4">
        <v>43442</v>
      </c>
      <c r="C343" s="3" t="s">
        <v>24</v>
      </c>
      <c r="D343" s="3" t="s">
        <v>18</v>
      </c>
      <c r="E343" s="3" t="s">
        <v>19</v>
      </c>
      <c r="F343" s="3" t="s">
        <v>20</v>
      </c>
      <c r="G343" s="3" t="s">
        <v>11</v>
      </c>
      <c r="H343" s="3">
        <v>4015</v>
      </c>
      <c r="I343" s="3">
        <v>2730</v>
      </c>
    </row>
    <row r="344" spans="1:9">
      <c r="A344" s="3" t="s">
        <v>363</v>
      </c>
      <c r="B344" s="4">
        <v>43443</v>
      </c>
      <c r="C344" s="3" t="s">
        <v>26</v>
      </c>
      <c r="D344" s="3" t="s">
        <v>18</v>
      </c>
      <c r="E344" s="3" t="s">
        <v>19</v>
      </c>
      <c r="F344" s="3" t="s">
        <v>20</v>
      </c>
      <c r="G344" s="3" t="s">
        <v>11</v>
      </c>
      <c r="H344" s="3">
        <v>2517</v>
      </c>
      <c r="I344" s="3">
        <v>1661</v>
      </c>
    </row>
    <row r="345" spans="1:9">
      <c r="A345" s="3" t="s">
        <v>364</v>
      </c>
      <c r="B345" s="4">
        <v>43444</v>
      </c>
      <c r="C345" s="3" t="s">
        <v>28</v>
      </c>
      <c r="D345" s="3" t="s">
        <v>18</v>
      </c>
      <c r="E345" s="3" t="s">
        <v>19</v>
      </c>
      <c r="F345" s="3" t="s">
        <v>20</v>
      </c>
      <c r="G345" s="3" t="s">
        <v>11</v>
      </c>
      <c r="H345" s="3">
        <v>2598</v>
      </c>
      <c r="I345" s="3">
        <v>1793</v>
      </c>
    </row>
    <row r="346" spans="1:9">
      <c r="A346" s="3" t="s">
        <v>365</v>
      </c>
      <c r="B346" s="4">
        <v>43445</v>
      </c>
      <c r="C346" s="3" t="s">
        <v>30</v>
      </c>
      <c r="D346" s="3" t="s">
        <v>31</v>
      </c>
      <c r="E346" s="3" t="s">
        <v>32</v>
      </c>
      <c r="F346" s="3" t="s">
        <v>33</v>
      </c>
      <c r="G346" s="3" t="s">
        <v>34</v>
      </c>
      <c r="H346" s="3">
        <v>3513</v>
      </c>
      <c r="I346" s="3">
        <v>2740</v>
      </c>
    </row>
    <row r="347" spans="1:9">
      <c r="A347" s="3" t="s">
        <v>366</v>
      </c>
      <c r="B347" s="4">
        <v>43446</v>
      </c>
      <c r="C347" s="3" t="s">
        <v>36</v>
      </c>
      <c r="D347" s="3" t="s">
        <v>37</v>
      </c>
      <c r="E347" s="3" t="s">
        <v>38</v>
      </c>
      <c r="F347" s="3" t="s">
        <v>39</v>
      </c>
      <c r="G347" s="3" t="s">
        <v>40</v>
      </c>
      <c r="H347" s="3">
        <v>2247</v>
      </c>
      <c r="I347" s="3">
        <v>1775</v>
      </c>
    </row>
    <row r="348" spans="1:9">
      <c r="A348" s="3" t="s">
        <v>367</v>
      </c>
      <c r="B348" s="4">
        <v>43447</v>
      </c>
      <c r="C348" s="3" t="s">
        <v>42</v>
      </c>
      <c r="D348" s="3" t="s">
        <v>31</v>
      </c>
      <c r="E348" s="3" t="s">
        <v>43</v>
      </c>
      <c r="F348" s="3" t="s">
        <v>44</v>
      </c>
      <c r="G348" s="3" t="s">
        <v>34</v>
      </c>
      <c r="H348" s="3">
        <v>2878</v>
      </c>
      <c r="I348" s="3">
        <v>1784</v>
      </c>
    </row>
    <row r="349" spans="1:9">
      <c r="A349" s="3" t="s">
        <v>368</v>
      </c>
      <c r="B349" s="4">
        <v>43448</v>
      </c>
      <c r="C349" s="3" t="s">
        <v>46</v>
      </c>
      <c r="D349" s="3" t="s">
        <v>75</v>
      </c>
      <c r="E349" s="3" t="s">
        <v>76</v>
      </c>
      <c r="F349" s="3" t="s">
        <v>79</v>
      </c>
      <c r="G349" s="3" t="s">
        <v>40</v>
      </c>
      <c r="H349" s="3">
        <v>3425</v>
      </c>
      <c r="I349" s="3">
        <v>2706</v>
      </c>
    </row>
    <row r="350" spans="1:9">
      <c r="A350" s="3" t="s">
        <v>369</v>
      </c>
      <c r="B350" s="4">
        <v>43449</v>
      </c>
      <c r="C350" s="3" t="s">
        <v>48</v>
      </c>
      <c r="D350" s="3" t="s">
        <v>75</v>
      </c>
      <c r="E350" s="3" t="s">
        <v>77</v>
      </c>
      <c r="F350" s="3" t="s">
        <v>78</v>
      </c>
      <c r="G350" s="3" t="s">
        <v>40</v>
      </c>
      <c r="H350" s="3">
        <v>2865</v>
      </c>
      <c r="I350" s="3">
        <v>2091</v>
      </c>
    </row>
    <row r="351" spans="1:9">
      <c r="A351" s="3" t="s">
        <v>370</v>
      </c>
      <c r="B351" s="4">
        <v>43450</v>
      </c>
      <c r="C351" s="3" t="s">
        <v>50</v>
      </c>
      <c r="D351" s="3" t="s">
        <v>75</v>
      </c>
      <c r="E351" s="3" t="s">
        <v>77</v>
      </c>
      <c r="F351" s="3" t="s">
        <v>78</v>
      </c>
      <c r="G351" s="3" t="s">
        <v>40</v>
      </c>
      <c r="H351" s="3">
        <v>2393</v>
      </c>
      <c r="I351" s="3">
        <v>1723</v>
      </c>
    </row>
    <row r="352" spans="1:9">
      <c r="A352" s="3" t="s">
        <v>371</v>
      </c>
      <c r="B352" s="4">
        <v>43451</v>
      </c>
      <c r="C352" s="3" t="s">
        <v>52</v>
      </c>
      <c r="D352" s="3" t="s">
        <v>53</v>
      </c>
      <c r="E352" s="3" t="s">
        <v>54</v>
      </c>
      <c r="F352" s="3" t="s">
        <v>55</v>
      </c>
      <c r="G352" s="3" t="s">
        <v>11</v>
      </c>
      <c r="H352" s="3">
        <v>3149</v>
      </c>
      <c r="I352" s="3">
        <v>2299</v>
      </c>
    </row>
    <row r="353" spans="1:9">
      <c r="A353" s="3" t="s">
        <v>372</v>
      </c>
      <c r="B353" s="4">
        <v>43452</v>
      </c>
      <c r="C353" s="3" t="s">
        <v>57</v>
      </c>
      <c r="D353" s="3" t="s">
        <v>18</v>
      </c>
      <c r="E353" s="3" t="s">
        <v>58</v>
      </c>
      <c r="F353" s="3" t="s">
        <v>59</v>
      </c>
      <c r="G353" s="3" t="s">
        <v>11</v>
      </c>
      <c r="H353" s="3">
        <v>3277</v>
      </c>
      <c r="I353" s="3">
        <v>2130</v>
      </c>
    </row>
    <row r="354" spans="1:9">
      <c r="A354" s="3" t="s">
        <v>373</v>
      </c>
      <c r="B354" s="4">
        <v>43453</v>
      </c>
      <c r="C354" s="3" t="s">
        <v>61</v>
      </c>
      <c r="D354" s="3" t="s">
        <v>62</v>
      </c>
      <c r="E354" s="3" t="s">
        <v>63</v>
      </c>
      <c r="F354" s="3" t="s">
        <v>64</v>
      </c>
      <c r="G354" s="3" t="s">
        <v>11</v>
      </c>
      <c r="H354" s="3">
        <v>2713</v>
      </c>
      <c r="I354" s="3">
        <v>1682</v>
      </c>
    </row>
    <row r="355" spans="1:9">
      <c r="A355" s="3" t="s">
        <v>374</v>
      </c>
      <c r="B355" s="4">
        <v>43454</v>
      </c>
      <c r="C355" s="3" t="s">
        <v>66</v>
      </c>
      <c r="D355" s="3" t="s">
        <v>62</v>
      </c>
      <c r="E355" s="3" t="s">
        <v>63</v>
      </c>
      <c r="F355" s="3" t="s">
        <v>64</v>
      </c>
      <c r="G355" s="3" t="s">
        <v>11</v>
      </c>
      <c r="H355" s="3">
        <v>3381</v>
      </c>
      <c r="I355" s="3">
        <v>2231</v>
      </c>
    </row>
    <row r="356" spans="1:9">
      <c r="A356" s="3" t="s">
        <v>375</v>
      </c>
      <c r="B356" s="4">
        <v>43455</v>
      </c>
      <c r="C356" s="3" t="s">
        <v>68</v>
      </c>
      <c r="D356" s="3" t="s">
        <v>75</v>
      </c>
      <c r="E356" s="3" t="s">
        <v>76</v>
      </c>
      <c r="F356" s="3" t="s">
        <v>80</v>
      </c>
      <c r="G356" s="3" t="s">
        <v>40</v>
      </c>
      <c r="H356" s="3">
        <v>2545</v>
      </c>
      <c r="I356" s="3">
        <v>2011</v>
      </c>
    </row>
    <row r="357" spans="1:9">
      <c r="A357" s="3" t="s">
        <v>376</v>
      </c>
      <c r="B357" s="4">
        <v>43456</v>
      </c>
      <c r="C357" s="3" t="s">
        <v>70</v>
      </c>
      <c r="D357" s="3" t="s">
        <v>75</v>
      </c>
      <c r="E357" s="3" t="s">
        <v>76</v>
      </c>
      <c r="F357" s="3" t="s">
        <v>80</v>
      </c>
      <c r="G357" s="3" t="s">
        <v>40</v>
      </c>
      <c r="H357" s="3">
        <v>4473</v>
      </c>
      <c r="I357" s="3">
        <v>2729</v>
      </c>
    </row>
    <row r="358" spans="1:9">
      <c r="A358" s="3" t="s">
        <v>377</v>
      </c>
      <c r="B358" s="4">
        <v>43457</v>
      </c>
      <c r="C358" s="3" t="s">
        <v>72</v>
      </c>
      <c r="D358" s="3" t="s">
        <v>75</v>
      </c>
      <c r="E358" s="3" t="s">
        <v>76</v>
      </c>
      <c r="F358" s="3" t="s">
        <v>80</v>
      </c>
      <c r="G358" s="3" t="s">
        <v>40</v>
      </c>
      <c r="H358" s="3">
        <v>3332</v>
      </c>
      <c r="I358" s="3">
        <v>2132</v>
      </c>
    </row>
    <row r="359" spans="1:9">
      <c r="A359" s="3" t="s">
        <v>378</v>
      </c>
      <c r="B359" s="4">
        <v>43458</v>
      </c>
      <c r="C359" s="3" t="s">
        <v>8</v>
      </c>
      <c r="D359" s="3" t="s">
        <v>9</v>
      </c>
      <c r="E359" s="3" t="s">
        <v>10</v>
      </c>
      <c r="F359" s="3" t="s">
        <v>10</v>
      </c>
      <c r="G359" s="3" t="s">
        <v>11</v>
      </c>
      <c r="H359" s="3">
        <v>2283</v>
      </c>
      <c r="I359" s="3">
        <v>1438</v>
      </c>
    </row>
    <row r="360" spans="1:9">
      <c r="A360" s="3" t="s">
        <v>379</v>
      </c>
      <c r="B360" s="4">
        <v>43459</v>
      </c>
      <c r="C360" s="3" t="s">
        <v>13</v>
      </c>
      <c r="D360" s="3" t="s">
        <v>9</v>
      </c>
      <c r="E360" s="3" t="s">
        <v>10</v>
      </c>
      <c r="F360" s="3" t="s">
        <v>10</v>
      </c>
      <c r="G360" s="3" t="s">
        <v>11</v>
      </c>
      <c r="H360" s="3">
        <v>2696</v>
      </c>
      <c r="I360" s="3">
        <v>1833</v>
      </c>
    </row>
    <row r="361" spans="1:9">
      <c r="A361" s="3" t="s">
        <v>380</v>
      </c>
      <c r="B361" s="4">
        <v>43460</v>
      </c>
      <c r="C361" s="3" t="s">
        <v>15</v>
      </c>
      <c r="D361" s="3" t="s">
        <v>9</v>
      </c>
      <c r="E361" s="3" t="s">
        <v>10</v>
      </c>
      <c r="F361" s="3" t="s">
        <v>10</v>
      </c>
      <c r="G361" s="3" t="s">
        <v>11</v>
      </c>
      <c r="H361" s="3">
        <v>4061</v>
      </c>
      <c r="I361" s="3">
        <v>3127</v>
      </c>
    </row>
    <row r="362" spans="1:9">
      <c r="A362" s="3" t="s">
        <v>381</v>
      </c>
      <c r="B362" s="4">
        <v>43461</v>
      </c>
      <c r="C362" s="3" t="s">
        <v>17</v>
      </c>
      <c r="D362" s="3" t="s">
        <v>18</v>
      </c>
      <c r="E362" s="3" t="s">
        <v>19</v>
      </c>
      <c r="F362" s="3" t="s">
        <v>20</v>
      </c>
      <c r="G362" s="3" t="s">
        <v>11</v>
      </c>
      <c r="H362" s="3">
        <v>2382</v>
      </c>
      <c r="I362" s="3">
        <v>1548</v>
      </c>
    </row>
    <row r="363" spans="1:9">
      <c r="A363" s="3" t="s">
        <v>382</v>
      </c>
      <c r="B363" s="4">
        <v>43462</v>
      </c>
      <c r="C363" s="3" t="s">
        <v>22</v>
      </c>
      <c r="D363" s="3" t="s">
        <v>18</v>
      </c>
      <c r="E363" s="3" t="s">
        <v>19</v>
      </c>
      <c r="F363" s="3" t="s">
        <v>20</v>
      </c>
      <c r="G363" s="3" t="s">
        <v>11</v>
      </c>
      <c r="H363" s="3">
        <v>4336</v>
      </c>
      <c r="I363" s="3">
        <v>2602</v>
      </c>
    </row>
    <row r="364" spans="1:9">
      <c r="A364" s="3" t="s">
        <v>383</v>
      </c>
      <c r="B364" s="4">
        <v>43463</v>
      </c>
      <c r="C364" s="3" t="s">
        <v>24</v>
      </c>
      <c r="D364" s="3" t="s">
        <v>18</v>
      </c>
      <c r="E364" s="3" t="s">
        <v>19</v>
      </c>
      <c r="F364" s="3" t="s">
        <v>20</v>
      </c>
      <c r="G364" s="3" t="s">
        <v>11</v>
      </c>
      <c r="H364" s="3">
        <v>2602</v>
      </c>
      <c r="I364" s="3">
        <v>2004</v>
      </c>
    </row>
    <row r="365" spans="1:9">
      <c r="A365" s="3" t="s">
        <v>384</v>
      </c>
      <c r="B365" s="4">
        <v>43464</v>
      </c>
      <c r="C365" s="3" t="s">
        <v>26</v>
      </c>
      <c r="D365" s="3" t="s">
        <v>18</v>
      </c>
      <c r="E365" s="3" t="s">
        <v>19</v>
      </c>
      <c r="F365" s="3" t="s">
        <v>20</v>
      </c>
      <c r="G365" s="3" t="s">
        <v>11</v>
      </c>
      <c r="H365" s="3">
        <v>3094</v>
      </c>
      <c r="I365" s="3">
        <v>2073</v>
      </c>
    </row>
    <row r="366" spans="1:9">
      <c r="A366" s="3" t="s">
        <v>385</v>
      </c>
      <c r="B366" s="4">
        <v>43465</v>
      </c>
      <c r="C366" s="3" t="s">
        <v>28</v>
      </c>
      <c r="D366" s="3" t="s">
        <v>18</v>
      </c>
      <c r="E366" s="3" t="s">
        <v>19</v>
      </c>
      <c r="F366" s="3" t="s">
        <v>20</v>
      </c>
      <c r="G366" s="3" t="s">
        <v>11</v>
      </c>
      <c r="H366" s="3">
        <v>3510</v>
      </c>
      <c r="I366" s="3">
        <v>2141</v>
      </c>
    </row>
  </sheetData>
  <autoFilter ref="A1:I366" xr:uid="{EAC4F299-9FAB-49AB-BACF-DB2CF9C20E8A}"/>
  <mergeCells count="1">
    <mergeCell ref="M4:R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3DBEC-5094-4B09-AFAE-C869B1611FFB}">
  <sheetPr codeName="Sheet8"/>
  <dimension ref="A1:K42"/>
  <sheetViews>
    <sheetView zoomScale="66" workbookViewId="0">
      <selection activeCell="J26" sqref="J26"/>
    </sheetView>
  </sheetViews>
  <sheetFormatPr defaultRowHeight="14.4"/>
  <cols>
    <col min="1" max="1" width="9.44140625" customWidth="1"/>
    <col min="2" max="2" width="15.5546875" customWidth="1"/>
    <col min="3" max="3" width="13.5546875" customWidth="1"/>
    <col min="4" max="4" width="11.44140625" bestFit="1" customWidth="1"/>
    <col min="6" max="6" width="13.33203125" bestFit="1" customWidth="1"/>
    <col min="7" max="7" width="15.33203125" bestFit="1" customWidth="1"/>
    <col min="8" max="8" width="12.5546875" bestFit="1" customWidth="1"/>
    <col min="9" max="9" width="13.33203125" bestFit="1" customWidth="1"/>
    <col min="10" max="10" width="15.33203125" bestFit="1" customWidth="1"/>
    <col min="11" max="11" width="18.33203125" bestFit="1" customWidth="1"/>
  </cols>
  <sheetData>
    <row r="1" spans="1:11" ht="15.6">
      <c r="A1" s="55" t="s">
        <v>500</v>
      </c>
      <c r="B1" s="55"/>
    </row>
    <row r="4" spans="1:11">
      <c r="A4" s="35" t="s">
        <v>493</v>
      </c>
      <c r="B4" s="35" t="s">
        <v>494</v>
      </c>
      <c r="C4" s="35" t="s">
        <v>495</v>
      </c>
      <c r="D4" s="36" t="s">
        <v>507</v>
      </c>
    </row>
    <row r="5" spans="1:11">
      <c r="A5" t="s">
        <v>40</v>
      </c>
      <c r="B5" t="s">
        <v>496</v>
      </c>
      <c r="C5">
        <v>2838</v>
      </c>
      <c r="D5" s="8">
        <v>10</v>
      </c>
      <c r="F5" s="51" t="s">
        <v>504</v>
      </c>
      <c r="G5" s="51"/>
      <c r="I5" s="51" t="s">
        <v>509</v>
      </c>
      <c r="J5" s="51"/>
    </row>
    <row r="6" spans="1:11">
      <c r="A6" t="s">
        <v>490</v>
      </c>
      <c r="B6" t="s">
        <v>497</v>
      </c>
      <c r="C6">
        <v>3035</v>
      </c>
      <c r="D6" s="8">
        <v>10</v>
      </c>
      <c r="F6" s="5" t="s">
        <v>81</v>
      </c>
      <c r="G6" t="s">
        <v>499</v>
      </c>
      <c r="I6" s="5" t="s">
        <v>81</v>
      </c>
      <c r="J6" t="s">
        <v>499</v>
      </c>
      <c r="K6" t="s">
        <v>508</v>
      </c>
    </row>
    <row r="7" spans="1:11">
      <c r="A7" t="s">
        <v>40</v>
      </c>
      <c r="B7" t="s">
        <v>497</v>
      </c>
      <c r="C7">
        <v>3048</v>
      </c>
      <c r="D7" s="8">
        <v>20</v>
      </c>
      <c r="F7" s="6" t="s">
        <v>496</v>
      </c>
      <c r="G7">
        <v>8704</v>
      </c>
      <c r="I7" s="6" t="s">
        <v>496</v>
      </c>
      <c r="J7">
        <v>14570</v>
      </c>
      <c r="K7">
        <v>30</v>
      </c>
    </row>
    <row r="8" spans="1:11">
      <c r="A8" t="s">
        <v>490</v>
      </c>
      <c r="B8" t="s">
        <v>496</v>
      </c>
      <c r="C8">
        <v>2750</v>
      </c>
      <c r="D8" s="8">
        <v>20</v>
      </c>
      <c r="F8" s="6" t="s">
        <v>497</v>
      </c>
      <c r="G8">
        <v>12436</v>
      </c>
      <c r="I8" s="6" t="s">
        <v>460</v>
      </c>
      <c r="J8">
        <v>6565</v>
      </c>
    </row>
    <row r="9" spans="1:11">
      <c r="A9" t="s">
        <v>34</v>
      </c>
      <c r="B9" t="s">
        <v>497</v>
      </c>
      <c r="C9">
        <v>3305</v>
      </c>
      <c r="F9" s="6" t="s">
        <v>82</v>
      </c>
      <c r="G9">
        <v>21140</v>
      </c>
      <c r="I9" s="6" t="s">
        <v>462</v>
      </c>
      <c r="J9">
        <v>6566</v>
      </c>
    </row>
    <row r="10" spans="1:11">
      <c r="A10" t="s">
        <v>498</v>
      </c>
      <c r="B10" t="s">
        <v>496</v>
      </c>
      <c r="C10">
        <v>3116</v>
      </c>
      <c r="I10" s="6" t="s">
        <v>497</v>
      </c>
      <c r="J10">
        <v>15741</v>
      </c>
      <c r="K10">
        <v>30</v>
      </c>
    </row>
    <row r="11" spans="1:11">
      <c r="A11" t="s">
        <v>40</v>
      </c>
      <c r="B11" t="s">
        <v>497</v>
      </c>
      <c r="C11">
        <v>3048</v>
      </c>
      <c r="I11" s="6" t="s">
        <v>501</v>
      </c>
      <c r="J11">
        <v>10</v>
      </c>
    </row>
    <row r="12" spans="1:11">
      <c r="A12" s="8" t="s">
        <v>490</v>
      </c>
      <c r="B12" s="8" t="s">
        <v>496</v>
      </c>
      <c r="C12" s="8">
        <v>2750</v>
      </c>
      <c r="I12" s="6" t="s">
        <v>506</v>
      </c>
      <c r="J12">
        <v>20</v>
      </c>
    </row>
    <row r="13" spans="1:11">
      <c r="A13" s="8" t="s">
        <v>34</v>
      </c>
      <c r="B13" s="8" t="s">
        <v>497</v>
      </c>
      <c r="C13" s="8">
        <v>3305</v>
      </c>
      <c r="I13" s="6" t="s">
        <v>82</v>
      </c>
      <c r="J13">
        <v>43472</v>
      </c>
      <c r="K13">
        <v>60</v>
      </c>
    </row>
    <row r="14" spans="1:11">
      <c r="A14" s="8" t="s">
        <v>498</v>
      </c>
      <c r="B14" s="8" t="s">
        <v>496</v>
      </c>
      <c r="C14" s="8">
        <v>3116</v>
      </c>
    </row>
    <row r="15" spans="1:11">
      <c r="A15" s="8" t="s">
        <v>490</v>
      </c>
      <c r="B15" s="8" t="s">
        <v>460</v>
      </c>
      <c r="C15" s="8">
        <v>6565</v>
      </c>
    </row>
    <row r="16" spans="1:11">
      <c r="A16" s="8" t="s">
        <v>490</v>
      </c>
      <c r="B16" s="8" t="s">
        <v>462</v>
      </c>
      <c r="C16" s="8">
        <v>6566</v>
      </c>
    </row>
    <row r="17" spans="1:9">
      <c r="A17" s="8" t="s">
        <v>502</v>
      </c>
      <c r="B17" s="8" t="s">
        <v>501</v>
      </c>
      <c r="C17" s="8">
        <v>10</v>
      </c>
    </row>
    <row r="18" spans="1:9">
      <c r="A18" s="8" t="s">
        <v>505</v>
      </c>
      <c r="B18" s="8" t="s">
        <v>506</v>
      </c>
      <c r="C18" s="8">
        <v>20</v>
      </c>
    </row>
    <row r="27" spans="1:9">
      <c r="F27" s="51" t="s">
        <v>503</v>
      </c>
      <c r="G27" s="51"/>
    </row>
    <row r="28" spans="1:9">
      <c r="F28" s="34" t="str" cm="1">
        <f t="array" aca="1" ref="F28:I42" ca="1">OFFSET($A$4,0,0,COUNTA($A$4:$A$1048576),COUNTA($A$4:$E$4))</f>
        <v>Zone</v>
      </c>
      <c r="G28" s="34" t="str">
        <f ca="1"/>
        <v>Customer Type</v>
      </c>
      <c r="H28" s="34" t="str">
        <f ca="1"/>
        <v>Revenue</v>
      </c>
      <c r="I28" t="str">
        <f ca="1"/>
        <v>new column</v>
      </c>
    </row>
    <row r="29" spans="1:9">
      <c r="F29" s="34" t="str">
        <f ca="1"/>
        <v>South</v>
      </c>
      <c r="G29" s="34" t="str">
        <f ca="1"/>
        <v>Cash</v>
      </c>
      <c r="H29" s="34">
        <f ca="1"/>
        <v>2838</v>
      </c>
      <c r="I29">
        <f ca="1"/>
        <v>10</v>
      </c>
    </row>
    <row r="30" spans="1:9">
      <c r="F30" s="34" t="str">
        <f ca="1"/>
        <v>East</v>
      </c>
      <c r="G30" s="34" t="str">
        <f ca="1"/>
        <v>Online</v>
      </c>
      <c r="H30" s="34">
        <f ca="1"/>
        <v>3035</v>
      </c>
      <c r="I30">
        <f ca="1"/>
        <v>10</v>
      </c>
    </row>
    <row r="31" spans="1:9">
      <c r="F31" s="34" t="str">
        <f ca="1"/>
        <v>South</v>
      </c>
      <c r="G31" s="34" t="str">
        <f ca="1"/>
        <v>Online</v>
      </c>
      <c r="H31" s="34">
        <f ca="1"/>
        <v>3048</v>
      </c>
      <c r="I31">
        <f ca="1"/>
        <v>20</v>
      </c>
    </row>
    <row r="32" spans="1:9">
      <c r="F32" s="34" t="str">
        <f ca="1"/>
        <v>East</v>
      </c>
      <c r="G32" s="34" t="str">
        <f ca="1"/>
        <v>Cash</v>
      </c>
      <c r="H32" s="34">
        <f ca="1"/>
        <v>2750</v>
      </c>
      <c r="I32">
        <f ca="1"/>
        <v>20</v>
      </c>
    </row>
    <row r="33" spans="6:9">
      <c r="F33" s="34" t="str">
        <f ca="1"/>
        <v>North</v>
      </c>
      <c r="G33" s="34" t="str">
        <f ca="1"/>
        <v>Online</v>
      </c>
      <c r="H33" s="34">
        <f ca="1"/>
        <v>3305</v>
      </c>
      <c r="I33">
        <f ca="1"/>
        <v>0</v>
      </c>
    </row>
    <row r="34" spans="6:9">
      <c r="F34" s="34" t="str">
        <f ca="1"/>
        <v>West</v>
      </c>
      <c r="G34" s="34" t="str">
        <f ca="1"/>
        <v>Cash</v>
      </c>
      <c r="H34" s="34">
        <f ca="1"/>
        <v>3116</v>
      </c>
      <c r="I34">
        <f ca="1"/>
        <v>0</v>
      </c>
    </row>
    <row r="35" spans="6:9">
      <c r="F35" s="34" t="str">
        <f ca="1"/>
        <v>South</v>
      </c>
      <c r="G35" s="34" t="str">
        <f ca="1"/>
        <v>Online</v>
      </c>
      <c r="H35" s="34">
        <f ca="1"/>
        <v>3048</v>
      </c>
      <c r="I35">
        <f ca="1"/>
        <v>0</v>
      </c>
    </row>
    <row r="36" spans="6:9">
      <c r="F36" s="34" t="str">
        <f ca="1"/>
        <v>East</v>
      </c>
      <c r="G36" s="34" t="str">
        <f ca="1"/>
        <v>Cash</v>
      </c>
      <c r="H36" s="34">
        <f ca="1"/>
        <v>2750</v>
      </c>
      <c r="I36">
        <f ca="1"/>
        <v>0</v>
      </c>
    </row>
    <row r="37" spans="6:9">
      <c r="F37" s="34" t="str">
        <f ca="1"/>
        <v>North</v>
      </c>
      <c r="G37" s="34" t="str">
        <f ca="1"/>
        <v>Online</v>
      </c>
      <c r="H37" s="34">
        <f ca="1"/>
        <v>3305</v>
      </c>
      <c r="I37">
        <f ca="1"/>
        <v>0</v>
      </c>
    </row>
    <row r="38" spans="6:9">
      <c r="F38" s="34" t="str">
        <f ca="1"/>
        <v>West</v>
      </c>
      <c r="G38" s="34" t="str">
        <f ca="1"/>
        <v>Cash</v>
      </c>
      <c r="H38" s="34">
        <f ca="1"/>
        <v>3116</v>
      </c>
      <c r="I38">
        <f ca="1"/>
        <v>0</v>
      </c>
    </row>
    <row r="39" spans="6:9">
      <c r="F39" s="34" t="str">
        <f ca="1"/>
        <v>East</v>
      </c>
      <c r="G39" s="34" t="str">
        <f ca="1"/>
        <v>Credit</v>
      </c>
      <c r="H39" s="34">
        <f ca="1"/>
        <v>6565</v>
      </c>
      <c r="I39">
        <f ca="1"/>
        <v>0</v>
      </c>
    </row>
    <row r="40" spans="6:9">
      <c r="F40" s="34" t="str">
        <f ca="1"/>
        <v>East</v>
      </c>
      <c r="G40" s="34" t="str">
        <f ca="1"/>
        <v>Debit</v>
      </c>
      <c r="H40" s="34">
        <f ca="1"/>
        <v>6566</v>
      </c>
      <c r="I40">
        <f ca="1"/>
        <v>0</v>
      </c>
    </row>
    <row r="41" spans="6:9">
      <c r="F41" t="str">
        <f ca="1"/>
        <v>rohit</v>
      </c>
      <c r="G41" t="str">
        <f ca="1"/>
        <v>singh</v>
      </c>
      <c r="H41">
        <f ca="1"/>
        <v>10</v>
      </c>
      <c r="I41">
        <f ca="1"/>
        <v>0</v>
      </c>
    </row>
    <row r="42" spans="6:9">
      <c r="F42" t="str">
        <f ca="1"/>
        <v>new</v>
      </c>
      <c r="G42" t="str">
        <f ca="1"/>
        <v>row</v>
      </c>
      <c r="H42">
        <f ca="1"/>
        <v>20</v>
      </c>
      <c r="I42">
        <f ca="1"/>
        <v>0</v>
      </c>
    </row>
  </sheetData>
  <mergeCells count="4">
    <mergeCell ref="A1:B1"/>
    <mergeCell ref="F5:G5"/>
    <mergeCell ref="F27:G27"/>
    <mergeCell ref="I5:J5"/>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65BB-3974-4B61-A7B6-F3FE829251A2}">
  <sheetPr codeName="Sheet9"/>
  <dimension ref="A1:X503"/>
  <sheetViews>
    <sheetView workbookViewId="0">
      <selection activeCell="O9" sqref="O9"/>
    </sheetView>
  </sheetViews>
  <sheetFormatPr defaultRowHeight="14.4"/>
  <cols>
    <col min="1" max="1" width="13.44140625" bestFit="1" customWidth="1"/>
    <col min="2" max="2" width="12.5546875" bestFit="1" customWidth="1"/>
    <col min="3" max="3" width="12.109375" bestFit="1" customWidth="1"/>
    <col min="4" max="4" width="11.21875" bestFit="1" customWidth="1"/>
    <col min="5" max="5" width="13.109375" bestFit="1" customWidth="1"/>
    <col min="6" max="6" width="10.77734375" bestFit="1" customWidth="1"/>
    <col min="7" max="7" width="8.77734375" bestFit="1" customWidth="1"/>
    <col min="8" max="8" width="11.33203125" customWidth="1"/>
    <col min="13" max="13" width="22.109375" bestFit="1" customWidth="1"/>
    <col min="14" max="14" width="15.5546875" bestFit="1" customWidth="1"/>
    <col min="15" max="15" width="11.6640625" bestFit="1" customWidth="1"/>
    <col min="16" max="16" width="9" bestFit="1" customWidth="1"/>
    <col min="17" max="17" width="8" bestFit="1" customWidth="1"/>
    <col min="18" max="18" width="11.77734375" bestFit="1" customWidth="1"/>
    <col min="19" max="21" width="8" bestFit="1" customWidth="1"/>
    <col min="22" max="22" width="8.44140625" bestFit="1" customWidth="1"/>
    <col min="23" max="23" width="13.21875" bestFit="1" customWidth="1"/>
    <col min="24" max="24" width="10.77734375" bestFit="1" customWidth="1"/>
  </cols>
  <sheetData>
    <row r="1" spans="1:24" ht="17.399999999999999">
      <c r="A1" s="56" t="s">
        <v>1056</v>
      </c>
      <c r="B1" s="56"/>
      <c r="C1" s="56"/>
      <c r="D1" s="56"/>
      <c r="E1" s="56"/>
      <c r="F1" s="56"/>
      <c r="G1" s="56"/>
    </row>
    <row r="3" spans="1:24">
      <c r="A3" s="37" t="s">
        <v>512</v>
      </c>
      <c r="B3" s="37" t="s">
        <v>513</v>
      </c>
      <c r="C3" s="37" t="s">
        <v>514</v>
      </c>
      <c r="D3" s="37" t="s">
        <v>6</v>
      </c>
      <c r="E3" s="37" t="s">
        <v>515</v>
      </c>
      <c r="F3" s="37" t="s">
        <v>516</v>
      </c>
      <c r="G3" s="37" t="s">
        <v>517</v>
      </c>
      <c r="H3" s="37" t="s">
        <v>1057</v>
      </c>
    </row>
    <row r="4" spans="1:24">
      <c r="A4" t="s">
        <v>518</v>
      </c>
      <c r="B4" t="s">
        <v>519</v>
      </c>
      <c r="C4" t="s">
        <v>520</v>
      </c>
      <c r="D4" t="s">
        <v>40</v>
      </c>
      <c r="E4" t="s">
        <v>521</v>
      </c>
      <c r="F4" t="s">
        <v>522</v>
      </c>
      <c r="G4">
        <v>2</v>
      </c>
      <c r="H4">
        <v>160</v>
      </c>
    </row>
    <row r="5" spans="1:24">
      <c r="A5" t="s">
        <v>523</v>
      </c>
      <c r="B5" t="s">
        <v>524</v>
      </c>
      <c r="C5" t="s">
        <v>410</v>
      </c>
      <c r="D5" t="s">
        <v>498</v>
      </c>
      <c r="E5" t="s">
        <v>525</v>
      </c>
      <c r="F5" t="s">
        <v>526</v>
      </c>
      <c r="G5">
        <v>1</v>
      </c>
      <c r="H5">
        <v>202.89</v>
      </c>
      <c r="R5" s="51" t="s">
        <v>1059</v>
      </c>
      <c r="S5" s="51"/>
      <c r="T5" s="51"/>
      <c r="U5" s="51"/>
      <c r="V5" s="51"/>
    </row>
    <row r="6" spans="1:24">
      <c r="A6" t="s">
        <v>527</v>
      </c>
      <c r="B6" t="s">
        <v>528</v>
      </c>
      <c r="C6" t="s">
        <v>529</v>
      </c>
      <c r="D6" t="s">
        <v>34</v>
      </c>
      <c r="E6" t="s">
        <v>530</v>
      </c>
      <c r="F6" t="s">
        <v>531</v>
      </c>
      <c r="G6">
        <v>10</v>
      </c>
      <c r="H6">
        <v>200.85</v>
      </c>
    </row>
    <row r="7" spans="1:24">
      <c r="A7" t="s">
        <v>532</v>
      </c>
      <c r="B7" t="s">
        <v>533</v>
      </c>
      <c r="C7" t="s">
        <v>520</v>
      </c>
      <c r="D7" t="s">
        <v>490</v>
      </c>
      <c r="E7" t="s">
        <v>521</v>
      </c>
      <c r="F7" t="s">
        <v>534</v>
      </c>
      <c r="G7">
        <v>10</v>
      </c>
      <c r="H7">
        <v>243.68</v>
      </c>
    </row>
    <row r="8" spans="1:24" ht="15.6">
      <c r="A8" t="s">
        <v>535</v>
      </c>
      <c r="B8" t="s">
        <v>528</v>
      </c>
      <c r="C8" t="s">
        <v>536</v>
      </c>
      <c r="D8" t="s">
        <v>34</v>
      </c>
      <c r="E8" t="s">
        <v>537</v>
      </c>
      <c r="F8" t="s">
        <v>526</v>
      </c>
      <c r="G8">
        <v>7</v>
      </c>
      <c r="H8">
        <v>108.91</v>
      </c>
      <c r="M8" s="38" t="s">
        <v>1061</v>
      </c>
      <c r="N8" t="s">
        <v>571</v>
      </c>
      <c r="O8" t="s">
        <v>528</v>
      </c>
    </row>
    <row r="9" spans="1:24">
      <c r="A9" t="s">
        <v>538</v>
      </c>
      <c r="B9" t="s">
        <v>539</v>
      </c>
      <c r="C9" t="s">
        <v>540</v>
      </c>
      <c r="D9" t="s">
        <v>34</v>
      </c>
      <c r="E9" t="s">
        <v>521</v>
      </c>
      <c r="F9" t="s">
        <v>541</v>
      </c>
      <c r="G9">
        <v>2</v>
      </c>
      <c r="H9">
        <v>264.27999999999997</v>
      </c>
      <c r="M9" t="s">
        <v>458</v>
      </c>
      <c r="N9">
        <f>GETPIVOTDATA("AMT",$M$14,"BRAND",N$8,"MONTH",$M9)</f>
        <v>0</v>
      </c>
      <c r="O9">
        <f>GETPIVOTDATA("AMT",$M$14,"BRAND",O$8,"MONTH",$M9)</f>
        <v>1083.5999999999999</v>
      </c>
    </row>
    <row r="10" spans="1:24">
      <c r="A10" t="s">
        <v>542</v>
      </c>
      <c r="B10" t="s">
        <v>543</v>
      </c>
      <c r="C10" t="s">
        <v>458</v>
      </c>
      <c r="D10" t="s">
        <v>34</v>
      </c>
      <c r="E10" t="s">
        <v>525</v>
      </c>
      <c r="F10" t="s">
        <v>534</v>
      </c>
      <c r="G10">
        <v>3</v>
      </c>
      <c r="H10">
        <v>35.14</v>
      </c>
      <c r="M10" t="s">
        <v>529</v>
      </c>
      <c r="N10">
        <f>GETPIVOTDATA("AMT",$M$14,"BRAND",N$8,"MONTH",$M10)</f>
        <v>791.34999999999991</v>
      </c>
      <c r="O10">
        <f>GETPIVOTDATA("AMT",$M$14,"BRAND",O$8,"MONTH",$M10)</f>
        <v>397.62</v>
      </c>
    </row>
    <row r="11" spans="1:24">
      <c r="A11" t="s">
        <v>544</v>
      </c>
      <c r="B11" t="s">
        <v>543</v>
      </c>
      <c r="C11" t="s">
        <v>545</v>
      </c>
      <c r="D11" t="s">
        <v>490</v>
      </c>
      <c r="E11" t="s">
        <v>521</v>
      </c>
      <c r="F11" t="s">
        <v>541</v>
      </c>
      <c r="G11">
        <v>2</v>
      </c>
      <c r="H11">
        <v>213.3</v>
      </c>
    </row>
    <row r="12" spans="1:24">
      <c r="A12" t="s">
        <v>546</v>
      </c>
      <c r="B12" t="s">
        <v>547</v>
      </c>
      <c r="C12" t="s">
        <v>463</v>
      </c>
      <c r="D12" t="s">
        <v>40</v>
      </c>
      <c r="E12" t="s">
        <v>548</v>
      </c>
      <c r="F12" t="s">
        <v>549</v>
      </c>
      <c r="G12">
        <v>3</v>
      </c>
      <c r="H12">
        <v>231.98</v>
      </c>
    </row>
    <row r="13" spans="1:24">
      <c r="A13" t="s">
        <v>550</v>
      </c>
      <c r="B13" t="s">
        <v>547</v>
      </c>
      <c r="C13" t="s">
        <v>458</v>
      </c>
      <c r="D13" t="s">
        <v>40</v>
      </c>
      <c r="E13" t="s">
        <v>548</v>
      </c>
      <c r="F13" t="s">
        <v>551</v>
      </c>
      <c r="G13">
        <v>10</v>
      </c>
      <c r="H13">
        <v>176.93</v>
      </c>
    </row>
    <row r="14" spans="1:24">
      <c r="A14" t="s">
        <v>552</v>
      </c>
      <c r="B14" t="s">
        <v>547</v>
      </c>
      <c r="C14" t="s">
        <v>463</v>
      </c>
      <c r="D14" t="s">
        <v>498</v>
      </c>
      <c r="E14" t="s">
        <v>548</v>
      </c>
      <c r="F14" t="s">
        <v>549</v>
      </c>
      <c r="G14">
        <v>1</v>
      </c>
      <c r="H14">
        <v>278.95</v>
      </c>
      <c r="M14" s="5" t="s">
        <v>1058</v>
      </c>
      <c r="N14" s="5" t="s">
        <v>386</v>
      </c>
    </row>
    <row r="15" spans="1:24">
      <c r="A15" t="s">
        <v>553</v>
      </c>
      <c r="B15" t="s">
        <v>533</v>
      </c>
      <c r="C15" t="s">
        <v>536</v>
      </c>
      <c r="D15" t="s">
        <v>34</v>
      </c>
      <c r="E15" t="s">
        <v>554</v>
      </c>
      <c r="F15" t="s">
        <v>526</v>
      </c>
      <c r="G15">
        <v>3</v>
      </c>
      <c r="H15">
        <v>87.33</v>
      </c>
      <c r="M15" s="5" t="s">
        <v>81</v>
      </c>
      <c r="N15" t="s">
        <v>528</v>
      </c>
      <c r="O15" t="s">
        <v>524</v>
      </c>
      <c r="P15" t="s">
        <v>547</v>
      </c>
      <c r="Q15" t="s">
        <v>519</v>
      </c>
      <c r="R15" t="s">
        <v>533</v>
      </c>
      <c r="S15" t="s">
        <v>571</v>
      </c>
      <c r="T15" t="s">
        <v>539</v>
      </c>
      <c r="U15" t="s">
        <v>578</v>
      </c>
      <c r="V15" t="s">
        <v>543</v>
      </c>
      <c r="W15" t="s">
        <v>575</v>
      </c>
      <c r="X15" t="s">
        <v>82</v>
      </c>
    </row>
    <row r="16" spans="1:24">
      <c r="A16" t="s">
        <v>555</v>
      </c>
      <c r="B16" t="s">
        <v>528</v>
      </c>
      <c r="C16" t="s">
        <v>458</v>
      </c>
      <c r="D16" t="s">
        <v>34</v>
      </c>
      <c r="E16" t="s">
        <v>556</v>
      </c>
      <c r="F16" t="s">
        <v>557</v>
      </c>
      <c r="G16">
        <v>9</v>
      </c>
      <c r="H16">
        <v>216.35</v>
      </c>
      <c r="M16" s="6" t="s">
        <v>458</v>
      </c>
      <c r="N16">
        <v>1083.5999999999999</v>
      </c>
      <c r="O16">
        <v>953.98</v>
      </c>
      <c r="P16">
        <v>914.51</v>
      </c>
      <c r="Q16">
        <v>465.69</v>
      </c>
      <c r="R16">
        <v>1141.77</v>
      </c>
      <c r="T16">
        <v>643.6400000000001</v>
      </c>
      <c r="U16">
        <v>523.81999999999994</v>
      </c>
      <c r="V16">
        <v>718.35</v>
      </c>
      <c r="W16">
        <v>672.72</v>
      </c>
      <c r="X16">
        <v>7118.0800000000008</v>
      </c>
    </row>
    <row r="17" spans="1:24">
      <c r="A17" t="s">
        <v>558</v>
      </c>
      <c r="B17" t="s">
        <v>519</v>
      </c>
      <c r="C17" t="s">
        <v>545</v>
      </c>
      <c r="D17" t="s">
        <v>498</v>
      </c>
      <c r="E17" t="s">
        <v>530</v>
      </c>
      <c r="F17" t="s">
        <v>559</v>
      </c>
      <c r="G17">
        <v>10</v>
      </c>
      <c r="H17">
        <v>233.22</v>
      </c>
      <c r="M17" s="6" t="s">
        <v>463</v>
      </c>
      <c r="N17">
        <v>620.82999999999993</v>
      </c>
      <c r="O17">
        <v>337.71000000000004</v>
      </c>
      <c r="P17">
        <v>1282.2400000000002</v>
      </c>
      <c r="Q17">
        <v>1622.81</v>
      </c>
      <c r="R17">
        <v>1094.78</v>
      </c>
      <c r="S17">
        <v>752.06999999999994</v>
      </c>
      <c r="T17">
        <v>659.28000000000009</v>
      </c>
      <c r="U17">
        <v>785.46</v>
      </c>
      <c r="V17">
        <v>1376.3799999999999</v>
      </c>
      <c r="W17">
        <v>323.8</v>
      </c>
      <c r="X17">
        <v>8855.3599999999988</v>
      </c>
    </row>
    <row r="18" spans="1:24">
      <c r="A18" t="s">
        <v>560</v>
      </c>
      <c r="B18" t="s">
        <v>539</v>
      </c>
      <c r="C18" t="s">
        <v>463</v>
      </c>
      <c r="D18" t="s">
        <v>498</v>
      </c>
      <c r="E18" t="s">
        <v>561</v>
      </c>
      <c r="F18" t="s">
        <v>562</v>
      </c>
      <c r="G18">
        <v>2</v>
      </c>
      <c r="H18">
        <v>153.87</v>
      </c>
      <c r="M18" s="6" t="s">
        <v>464</v>
      </c>
      <c r="N18">
        <v>850.57999999999993</v>
      </c>
      <c r="O18">
        <v>448.48</v>
      </c>
      <c r="P18">
        <v>768.34</v>
      </c>
      <c r="Q18">
        <v>150.5</v>
      </c>
      <c r="R18">
        <v>440.31</v>
      </c>
      <c r="S18">
        <v>330.53999999999996</v>
      </c>
      <c r="T18">
        <v>637.73</v>
      </c>
      <c r="U18">
        <v>439.89</v>
      </c>
      <c r="V18">
        <v>408.14</v>
      </c>
      <c r="W18">
        <v>919.1</v>
      </c>
      <c r="X18">
        <v>5393.6100000000006</v>
      </c>
    </row>
    <row r="19" spans="1:24">
      <c r="A19" t="s">
        <v>563</v>
      </c>
      <c r="B19" t="s">
        <v>519</v>
      </c>
      <c r="C19" t="s">
        <v>529</v>
      </c>
      <c r="D19" t="s">
        <v>490</v>
      </c>
      <c r="E19" t="s">
        <v>554</v>
      </c>
      <c r="F19" t="s">
        <v>531</v>
      </c>
      <c r="G19">
        <v>9</v>
      </c>
      <c r="H19">
        <v>91.95</v>
      </c>
      <c r="M19" s="6" t="s">
        <v>540</v>
      </c>
      <c r="N19">
        <v>1612.7900000000002</v>
      </c>
      <c r="O19">
        <v>1112.7799999999997</v>
      </c>
      <c r="P19">
        <v>444.64</v>
      </c>
      <c r="Q19">
        <v>664.52</v>
      </c>
      <c r="R19">
        <v>447.03000000000003</v>
      </c>
      <c r="S19">
        <v>193.64000000000001</v>
      </c>
      <c r="T19">
        <v>649.04999999999995</v>
      </c>
      <c r="U19">
        <v>383.69</v>
      </c>
      <c r="V19">
        <v>243.9</v>
      </c>
      <c r="W19">
        <v>796.2399999999999</v>
      </c>
      <c r="X19">
        <v>6548.2799999999988</v>
      </c>
    </row>
    <row r="20" spans="1:24">
      <c r="A20" t="s">
        <v>564</v>
      </c>
      <c r="B20" t="s">
        <v>533</v>
      </c>
      <c r="C20" t="s">
        <v>520</v>
      </c>
      <c r="D20" t="s">
        <v>34</v>
      </c>
      <c r="E20" t="s">
        <v>556</v>
      </c>
      <c r="F20" t="s">
        <v>541</v>
      </c>
      <c r="G20">
        <v>6</v>
      </c>
      <c r="H20">
        <v>118.74</v>
      </c>
      <c r="M20" s="6" t="s">
        <v>410</v>
      </c>
      <c r="N20">
        <v>792.49</v>
      </c>
      <c r="O20">
        <v>940.64</v>
      </c>
      <c r="P20">
        <v>881.97</v>
      </c>
      <c r="Q20">
        <v>1487.9299999999998</v>
      </c>
      <c r="R20">
        <v>1007.14</v>
      </c>
      <c r="S20">
        <v>354.76</v>
      </c>
      <c r="T20">
        <v>97.95</v>
      </c>
      <c r="U20">
        <v>245.85999999999999</v>
      </c>
      <c r="V20">
        <v>189.86</v>
      </c>
      <c r="W20">
        <v>675.62</v>
      </c>
      <c r="X20">
        <v>6674.22</v>
      </c>
    </row>
    <row r="21" spans="1:24">
      <c r="A21" t="s">
        <v>565</v>
      </c>
      <c r="B21" t="s">
        <v>539</v>
      </c>
      <c r="C21" t="s">
        <v>545</v>
      </c>
      <c r="D21" t="s">
        <v>490</v>
      </c>
      <c r="E21" t="s">
        <v>561</v>
      </c>
      <c r="F21" t="s">
        <v>522</v>
      </c>
      <c r="G21">
        <v>5</v>
      </c>
      <c r="H21">
        <v>234.34</v>
      </c>
      <c r="M21" s="6" t="s">
        <v>520</v>
      </c>
      <c r="N21">
        <v>1624.79</v>
      </c>
      <c r="O21">
        <v>829.7299999999999</v>
      </c>
      <c r="P21">
        <v>734.34</v>
      </c>
      <c r="Q21">
        <v>761.74</v>
      </c>
      <c r="R21">
        <v>417.43</v>
      </c>
      <c r="S21">
        <v>539.47</v>
      </c>
      <c r="T21">
        <v>684.91000000000008</v>
      </c>
      <c r="U21">
        <v>287.47000000000003</v>
      </c>
      <c r="V21">
        <v>363.78</v>
      </c>
      <c r="W21">
        <v>1176.95</v>
      </c>
      <c r="X21">
        <v>7420.6100000000006</v>
      </c>
    </row>
    <row r="22" spans="1:24">
      <c r="A22" t="s">
        <v>566</v>
      </c>
      <c r="B22" t="s">
        <v>539</v>
      </c>
      <c r="C22" t="s">
        <v>545</v>
      </c>
      <c r="D22" t="s">
        <v>34</v>
      </c>
      <c r="E22" t="s">
        <v>521</v>
      </c>
      <c r="F22" t="s">
        <v>541</v>
      </c>
      <c r="G22">
        <v>6</v>
      </c>
      <c r="H22">
        <v>194.24</v>
      </c>
      <c r="M22" s="6" t="s">
        <v>545</v>
      </c>
      <c r="N22">
        <v>243.57</v>
      </c>
      <c r="O22">
        <v>799.7299999999999</v>
      </c>
      <c r="P22">
        <v>992.89999999999986</v>
      </c>
      <c r="Q22">
        <v>583.82000000000005</v>
      </c>
      <c r="R22">
        <v>277.36</v>
      </c>
      <c r="S22">
        <v>595.03</v>
      </c>
      <c r="T22">
        <v>963.2700000000001</v>
      </c>
      <c r="U22">
        <v>614.93999999999994</v>
      </c>
      <c r="V22">
        <v>1031.3400000000001</v>
      </c>
      <c r="W22">
        <v>126.85</v>
      </c>
      <c r="X22">
        <v>6228.81</v>
      </c>
    </row>
    <row r="23" spans="1:24">
      <c r="A23" t="s">
        <v>567</v>
      </c>
      <c r="B23" t="s">
        <v>547</v>
      </c>
      <c r="C23" t="s">
        <v>568</v>
      </c>
      <c r="D23" t="s">
        <v>40</v>
      </c>
      <c r="E23" t="s">
        <v>569</v>
      </c>
      <c r="F23" t="s">
        <v>526</v>
      </c>
      <c r="G23">
        <v>8</v>
      </c>
      <c r="H23">
        <v>287.83</v>
      </c>
      <c r="M23" s="6" t="s">
        <v>593</v>
      </c>
      <c r="N23">
        <v>1186.9899999999998</v>
      </c>
      <c r="O23">
        <v>179.33</v>
      </c>
      <c r="P23">
        <v>736.56</v>
      </c>
      <c r="Q23">
        <v>1096.69</v>
      </c>
      <c r="R23">
        <v>301.62</v>
      </c>
      <c r="S23">
        <v>671.85</v>
      </c>
      <c r="T23">
        <v>136.47999999999999</v>
      </c>
      <c r="U23">
        <v>641.54</v>
      </c>
      <c r="V23">
        <v>1475.44</v>
      </c>
      <c r="W23">
        <v>334.9</v>
      </c>
      <c r="X23">
        <v>6761.4</v>
      </c>
    </row>
    <row r="24" spans="1:24">
      <c r="A24" t="s">
        <v>570</v>
      </c>
      <c r="B24" t="s">
        <v>571</v>
      </c>
      <c r="C24" t="s">
        <v>529</v>
      </c>
      <c r="D24" t="s">
        <v>34</v>
      </c>
      <c r="E24" t="s">
        <v>572</v>
      </c>
      <c r="F24" t="s">
        <v>526</v>
      </c>
      <c r="G24">
        <v>6</v>
      </c>
      <c r="H24">
        <v>252.3</v>
      </c>
      <c r="M24" s="6" t="s">
        <v>585</v>
      </c>
      <c r="N24">
        <v>835.88</v>
      </c>
      <c r="O24">
        <v>694.87</v>
      </c>
      <c r="P24">
        <v>581.13</v>
      </c>
      <c r="Q24">
        <v>684.63</v>
      </c>
      <c r="R24">
        <v>1065.23</v>
      </c>
      <c r="S24">
        <v>1391.73</v>
      </c>
      <c r="T24">
        <v>1299</v>
      </c>
      <c r="U24">
        <v>221.09</v>
      </c>
      <c r="V24">
        <v>525.47</v>
      </c>
      <c r="W24">
        <v>565.03</v>
      </c>
      <c r="X24">
        <v>7864.06</v>
      </c>
    </row>
    <row r="25" spans="1:24">
      <c r="A25" t="s">
        <v>573</v>
      </c>
      <c r="B25" t="s">
        <v>533</v>
      </c>
      <c r="C25" t="s">
        <v>464</v>
      </c>
      <c r="D25" t="s">
        <v>498</v>
      </c>
      <c r="E25" t="s">
        <v>554</v>
      </c>
      <c r="F25" t="s">
        <v>551</v>
      </c>
      <c r="G25">
        <v>3</v>
      </c>
      <c r="H25">
        <v>76.14</v>
      </c>
      <c r="M25" s="6" t="s">
        <v>536</v>
      </c>
      <c r="N25">
        <v>520.25</v>
      </c>
      <c r="O25">
        <v>590.79999999999995</v>
      </c>
      <c r="P25">
        <v>1271.8499999999999</v>
      </c>
      <c r="Q25">
        <v>864.9</v>
      </c>
      <c r="R25">
        <v>204.85</v>
      </c>
      <c r="S25">
        <v>259.86</v>
      </c>
      <c r="T25">
        <v>1048.3599999999999</v>
      </c>
      <c r="U25">
        <v>450.79</v>
      </c>
      <c r="V25">
        <v>387.75</v>
      </c>
      <c r="W25">
        <v>1216.6000000000001</v>
      </c>
      <c r="X25">
        <v>6816.01</v>
      </c>
    </row>
    <row r="26" spans="1:24">
      <c r="A26" t="s">
        <v>574</v>
      </c>
      <c r="B26" t="s">
        <v>575</v>
      </c>
      <c r="C26" t="s">
        <v>529</v>
      </c>
      <c r="D26" t="s">
        <v>40</v>
      </c>
      <c r="E26" t="s">
        <v>572</v>
      </c>
      <c r="F26" t="s">
        <v>534</v>
      </c>
      <c r="G26">
        <v>9</v>
      </c>
      <c r="H26">
        <v>172.28</v>
      </c>
      <c r="M26" s="6" t="s">
        <v>568</v>
      </c>
      <c r="N26">
        <v>831.01</v>
      </c>
      <c r="O26">
        <v>506.8</v>
      </c>
      <c r="P26">
        <v>1060.3899999999999</v>
      </c>
      <c r="Q26">
        <v>337.49</v>
      </c>
      <c r="R26">
        <v>318.70999999999998</v>
      </c>
      <c r="S26">
        <v>336.2</v>
      </c>
      <c r="T26">
        <v>310.17</v>
      </c>
      <c r="U26">
        <v>510.8</v>
      </c>
      <c r="V26">
        <v>319.03999999999996</v>
      </c>
      <c r="W26">
        <v>152.05000000000001</v>
      </c>
      <c r="X26">
        <v>4682.66</v>
      </c>
    </row>
    <row r="27" spans="1:24">
      <c r="A27" t="s">
        <v>576</v>
      </c>
      <c r="B27" t="s">
        <v>533</v>
      </c>
      <c r="C27" t="s">
        <v>464</v>
      </c>
      <c r="D27" t="s">
        <v>490</v>
      </c>
      <c r="E27" t="s">
        <v>548</v>
      </c>
      <c r="F27" t="s">
        <v>541</v>
      </c>
      <c r="G27">
        <v>7</v>
      </c>
      <c r="H27">
        <v>51.38</v>
      </c>
      <c r="M27" s="6" t="s">
        <v>529</v>
      </c>
      <c r="N27">
        <v>397.62</v>
      </c>
      <c r="O27">
        <v>860.34999999999991</v>
      </c>
      <c r="P27">
        <v>647.52</v>
      </c>
      <c r="Q27">
        <v>568.9</v>
      </c>
      <c r="R27">
        <v>289.96000000000004</v>
      </c>
      <c r="S27">
        <v>791.34999999999991</v>
      </c>
      <c r="T27">
        <v>405.83</v>
      </c>
      <c r="U27">
        <v>1816.97</v>
      </c>
      <c r="V27">
        <v>620.59999999999991</v>
      </c>
      <c r="W27">
        <v>667.25</v>
      </c>
      <c r="X27">
        <v>7066.35</v>
      </c>
    </row>
    <row r="28" spans="1:24">
      <c r="A28" t="s">
        <v>577</v>
      </c>
      <c r="B28" t="s">
        <v>578</v>
      </c>
      <c r="C28" t="s">
        <v>464</v>
      </c>
      <c r="D28" t="s">
        <v>40</v>
      </c>
      <c r="E28" t="s">
        <v>554</v>
      </c>
      <c r="F28" t="s">
        <v>557</v>
      </c>
      <c r="G28">
        <v>2</v>
      </c>
      <c r="H28">
        <v>157.87</v>
      </c>
      <c r="M28" s="6" t="s">
        <v>82</v>
      </c>
      <c r="N28">
        <v>10600.4</v>
      </c>
      <c r="O28">
        <v>8255.1999999999989</v>
      </c>
      <c r="P28">
        <v>10316.39</v>
      </c>
      <c r="Q28">
        <v>9289.619999999999</v>
      </c>
      <c r="R28">
        <v>7006.1900000000005</v>
      </c>
      <c r="S28">
        <v>6216.5</v>
      </c>
      <c r="T28">
        <v>7535.6699999999992</v>
      </c>
      <c r="U28">
        <v>6922.3200000000006</v>
      </c>
      <c r="V28">
        <v>7660.0500000000011</v>
      </c>
      <c r="W28">
        <v>7627.11</v>
      </c>
      <c r="X28">
        <v>81429.45</v>
      </c>
    </row>
    <row r="29" spans="1:24">
      <c r="A29" t="s">
        <v>579</v>
      </c>
      <c r="B29" t="s">
        <v>575</v>
      </c>
      <c r="C29" t="s">
        <v>540</v>
      </c>
      <c r="D29" t="s">
        <v>490</v>
      </c>
      <c r="E29" t="s">
        <v>525</v>
      </c>
      <c r="F29" t="s">
        <v>534</v>
      </c>
      <c r="G29">
        <v>7</v>
      </c>
      <c r="H29">
        <v>82.92</v>
      </c>
    </row>
    <row r="30" spans="1:24">
      <c r="A30" t="s">
        <v>580</v>
      </c>
      <c r="B30" t="s">
        <v>539</v>
      </c>
      <c r="C30" t="s">
        <v>536</v>
      </c>
      <c r="D30" t="s">
        <v>498</v>
      </c>
      <c r="E30" t="s">
        <v>556</v>
      </c>
      <c r="F30" t="s">
        <v>562</v>
      </c>
      <c r="G30">
        <v>8</v>
      </c>
      <c r="H30">
        <v>184.48</v>
      </c>
    </row>
    <row r="31" spans="1:24">
      <c r="A31" t="s">
        <v>581</v>
      </c>
      <c r="B31" t="s">
        <v>539</v>
      </c>
      <c r="C31" t="s">
        <v>458</v>
      </c>
      <c r="D31" t="s">
        <v>498</v>
      </c>
      <c r="E31" t="s">
        <v>548</v>
      </c>
      <c r="F31" t="s">
        <v>526</v>
      </c>
      <c r="G31">
        <v>9</v>
      </c>
      <c r="H31">
        <v>140.41999999999999</v>
      </c>
    </row>
    <row r="32" spans="1:24">
      <c r="A32" t="s">
        <v>582</v>
      </c>
      <c r="B32" t="s">
        <v>578</v>
      </c>
      <c r="C32" t="s">
        <v>458</v>
      </c>
      <c r="D32" t="s">
        <v>40</v>
      </c>
      <c r="E32" t="s">
        <v>556</v>
      </c>
      <c r="F32" t="s">
        <v>526</v>
      </c>
      <c r="G32">
        <v>6</v>
      </c>
      <c r="H32">
        <v>134.13</v>
      </c>
    </row>
    <row r="33" spans="1:8">
      <c r="A33" t="s">
        <v>583</v>
      </c>
      <c r="B33" t="s">
        <v>547</v>
      </c>
      <c r="C33" t="s">
        <v>464</v>
      </c>
      <c r="D33" t="s">
        <v>40</v>
      </c>
      <c r="E33" t="s">
        <v>530</v>
      </c>
      <c r="F33" t="s">
        <v>551</v>
      </c>
      <c r="G33">
        <v>2</v>
      </c>
      <c r="H33">
        <v>165.64</v>
      </c>
    </row>
    <row r="34" spans="1:8">
      <c r="A34" t="s">
        <v>584</v>
      </c>
      <c r="B34" t="s">
        <v>539</v>
      </c>
      <c r="C34" t="s">
        <v>585</v>
      </c>
      <c r="D34" t="s">
        <v>490</v>
      </c>
      <c r="E34" t="s">
        <v>554</v>
      </c>
      <c r="F34" t="s">
        <v>557</v>
      </c>
      <c r="G34">
        <v>1</v>
      </c>
      <c r="H34">
        <v>97.22</v>
      </c>
    </row>
    <row r="35" spans="1:8">
      <c r="A35" t="s">
        <v>586</v>
      </c>
      <c r="B35" t="s">
        <v>547</v>
      </c>
      <c r="C35" t="s">
        <v>540</v>
      </c>
      <c r="D35" t="s">
        <v>490</v>
      </c>
      <c r="E35" t="s">
        <v>525</v>
      </c>
      <c r="F35" t="s">
        <v>534</v>
      </c>
      <c r="G35">
        <v>9</v>
      </c>
      <c r="H35">
        <v>41.76</v>
      </c>
    </row>
    <row r="36" spans="1:8">
      <c r="A36" t="s">
        <v>587</v>
      </c>
      <c r="B36" t="s">
        <v>519</v>
      </c>
      <c r="C36" t="s">
        <v>520</v>
      </c>
      <c r="D36" t="s">
        <v>34</v>
      </c>
      <c r="E36" t="s">
        <v>556</v>
      </c>
      <c r="F36" t="s">
        <v>526</v>
      </c>
      <c r="G36">
        <v>5</v>
      </c>
      <c r="H36">
        <v>172.68</v>
      </c>
    </row>
    <row r="37" spans="1:8">
      <c r="A37" t="s">
        <v>588</v>
      </c>
      <c r="B37" t="s">
        <v>547</v>
      </c>
      <c r="C37" t="s">
        <v>520</v>
      </c>
      <c r="D37" t="s">
        <v>490</v>
      </c>
      <c r="E37" t="s">
        <v>537</v>
      </c>
      <c r="F37" t="s">
        <v>541</v>
      </c>
      <c r="G37">
        <v>6</v>
      </c>
      <c r="H37">
        <v>197.34</v>
      </c>
    </row>
    <row r="38" spans="1:8">
      <c r="A38" t="s">
        <v>589</v>
      </c>
      <c r="B38" t="s">
        <v>547</v>
      </c>
      <c r="C38" t="s">
        <v>458</v>
      </c>
      <c r="D38" t="s">
        <v>34</v>
      </c>
      <c r="E38" t="s">
        <v>548</v>
      </c>
      <c r="F38" t="s">
        <v>541</v>
      </c>
      <c r="G38">
        <v>7</v>
      </c>
      <c r="H38">
        <v>21.68</v>
      </c>
    </row>
    <row r="39" spans="1:8">
      <c r="A39" t="s">
        <v>590</v>
      </c>
      <c r="B39" t="s">
        <v>519</v>
      </c>
      <c r="C39" t="s">
        <v>520</v>
      </c>
      <c r="D39" t="s">
        <v>498</v>
      </c>
      <c r="E39" t="s">
        <v>521</v>
      </c>
      <c r="F39" t="s">
        <v>531</v>
      </c>
      <c r="G39">
        <v>4</v>
      </c>
      <c r="H39">
        <v>76.03</v>
      </c>
    </row>
    <row r="40" spans="1:8">
      <c r="A40" t="s">
        <v>591</v>
      </c>
      <c r="B40" t="s">
        <v>543</v>
      </c>
      <c r="C40" t="s">
        <v>545</v>
      </c>
      <c r="D40" t="s">
        <v>34</v>
      </c>
      <c r="E40" t="s">
        <v>548</v>
      </c>
      <c r="F40" t="s">
        <v>522</v>
      </c>
      <c r="G40">
        <v>8</v>
      </c>
      <c r="H40">
        <v>218.36</v>
      </c>
    </row>
    <row r="41" spans="1:8">
      <c r="A41" t="s">
        <v>592</v>
      </c>
      <c r="B41" t="s">
        <v>528</v>
      </c>
      <c r="C41" t="s">
        <v>593</v>
      </c>
      <c r="D41" t="s">
        <v>40</v>
      </c>
      <c r="E41" t="s">
        <v>537</v>
      </c>
      <c r="F41" t="s">
        <v>531</v>
      </c>
      <c r="G41">
        <v>10</v>
      </c>
      <c r="H41">
        <v>58.66</v>
      </c>
    </row>
    <row r="42" spans="1:8">
      <c r="A42" t="s">
        <v>594</v>
      </c>
      <c r="B42" t="s">
        <v>543</v>
      </c>
      <c r="C42" t="s">
        <v>464</v>
      </c>
      <c r="D42" t="s">
        <v>490</v>
      </c>
      <c r="E42" t="s">
        <v>548</v>
      </c>
      <c r="F42" t="s">
        <v>551</v>
      </c>
      <c r="G42">
        <v>8</v>
      </c>
      <c r="H42">
        <v>197.81</v>
      </c>
    </row>
    <row r="43" spans="1:8">
      <c r="A43" t="s">
        <v>595</v>
      </c>
      <c r="B43" t="s">
        <v>543</v>
      </c>
      <c r="C43" t="s">
        <v>593</v>
      </c>
      <c r="D43" t="s">
        <v>498</v>
      </c>
      <c r="E43" t="s">
        <v>561</v>
      </c>
      <c r="F43" t="s">
        <v>526</v>
      </c>
      <c r="G43">
        <v>6</v>
      </c>
      <c r="H43">
        <v>201.24</v>
      </c>
    </row>
    <row r="44" spans="1:8">
      <c r="A44" t="s">
        <v>596</v>
      </c>
      <c r="B44" t="s">
        <v>547</v>
      </c>
      <c r="C44" t="s">
        <v>458</v>
      </c>
      <c r="D44" t="s">
        <v>490</v>
      </c>
      <c r="E44" t="s">
        <v>521</v>
      </c>
      <c r="F44" t="s">
        <v>562</v>
      </c>
      <c r="G44">
        <v>1</v>
      </c>
      <c r="H44">
        <v>186.79</v>
      </c>
    </row>
    <row r="45" spans="1:8">
      <c r="A45" t="s">
        <v>597</v>
      </c>
      <c r="B45" t="s">
        <v>571</v>
      </c>
      <c r="C45" t="s">
        <v>568</v>
      </c>
      <c r="D45" t="s">
        <v>498</v>
      </c>
      <c r="E45" t="s">
        <v>530</v>
      </c>
      <c r="F45" t="s">
        <v>557</v>
      </c>
      <c r="G45">
        <v>2</v>
      </c>
      <c r="H45">
        <v>60.9</v>
      </c>
    </row>
    <row r="46" spans="1:8">
      <c r="A46" t="s">
        <v>598</v>
      </c>
      <c r="B46" t="s">
        <v>524</v>
      </c>
      <c r="C46" t="s">
        <v>410</v>
      </c>
      <c r="D46" t="s">
        <v>498</v>
      </c>
      <c r="E46" t="s">
        <v>521</v>
      </c>
      <c r="F46" t="s">
        <v>534</v>
      </c>
      <c r="G46">
        <v>7</v>
      </c>
      <c r="H46">
        <v>143.76</v>
      </c>
    </row>
    <row r="47" spans="1:8">
      <c r="A47" t="s">
        <v>599</v>
      </c>
      <c r="B47" t="s">
        <v>524</v>
      </c>
      <c r="C47" t="s">
        <v>585</v>
      </c>
      <c r="D47" t="s">
        <v>498</v>
      </c>
      <c r="E47" t="s">
        <v>537</v>
      </c>
      <c r="F47" t="s">
        <v>549</v>
      </c>
      <c r="G47">
        <v>5</v>
      </c>
      <c r="H47">
        <v>225.55</v>
      </c>
    </row>
    <row r="48" spans="1:8">
      <c r="A48" t="s">
        <v>600</v>
      </c>
      <c r="B48" t="s">
        <v>533</v>
      </c>
      <c r="C48" t="s">
        <v>458</v>
      </c>
      <c r="D48" t="s">
        <v>490</v>
      </c>
      <c r="E48" t="s">
        <v>525</v>
      </c>
      <c r="F48" t="s">
        <v>562</v>
      </c>
      <c r="G48">
        <v>5</v>
      </c>
      <c r="H48">
        <v>120.23</v>
      </c>
    </row>
    <row r="49" spans="1:8">
      <c r="A49" t="s">
        <v>601</v>
      </c>
      <c r="B49" t="s">
        <v>575</v>
      </c>
      <c r="C49" t="s">
        <v>458</v>
      </c>
      <c r="D49" t="s">
        <v>490</v>
      </c>
      <c r="E49" t="s">
        <v>572</v>
      </c>
      <c r="F49" t="s">
        <v>549</v>
      </c>
      <c r="G49">
        <v>2</v>
      </c>
      <c r="H49">
        <v>37.409999999999997</v>
      </c>
    </row>
    <row r="50" spans="1:8">
      <c r="A50" t="s">
        <v>602</v>
      </c>
      <c r="B50" t="s">
        <v>519</v>
      </c>
      <c r="C50" t="s">
        <v>463</v>
      </c>
      <c r="D50" t="s">
        <v>498</v>
      </c>
      <c r="E50" t="s">
        <v>561</v>
      </c>
      <c r="F50" t="s">
        <v>549</v>
      </c>
      <c r="G50">
        <v>8</v>
      </c>
      <c r="H50">
        <v>205.93</v>
      </c>
    </row>
    <row r="51" spans="1:8">
      <c r="A51" t="s">
        <v>603</v>
      </c>
      <c r="B51" t="s">
        <v>519</v>
      </c>
      <c r="C51" t="s">
        <v>540</v>
      </c>
      <c r="D51" t="s">
        <v>40</v>
      </c>
      <c r="E51" t="s">
        <v>569</v>
      </c>
      <c r="F51" t="s">
        <v>557</v>
      </c>
      <c r="G51">
        <v>6</v>
      </c>
      <c r="H51">
        <v>82.16</v>
      </c>
    </row>
    <row r="52" spans="1:8">
      <c r="A52" t="s">
        <v>604</v>
      </c>
      <c r="B52" t="s">
        <v>547</v>
      </c>
      <c r="C52" t="s">
        <v>536</v>
      </c>
      <c r="D52" t="s">
        <v>490</v>
      </c>
      <c r="E52" t="s">
        <v>530</v>
      </c>
      <c r="F52" t="s">
        <v>534</v>
      </c>
      <c r="G52">
        <v>7</v>
      </c>
      <c r="H52">
        <v>259.2</v>
      </c>
    </row>
    <row r="53" spans="1:8">
      <c r="A53" t="s">
        <v>605</v>
      </c>
      <c r="B53" t="s">
        <v>519</v>
      </c>
      <c r="C53" t="s">
        <v>410</v>
      </c>
      <c r="D53" t="s">
        <v>40</v>
      </c>
      <c r="E53" t="s">
        <v>556</v>
      </c>
      <c r="F53" t="s">
        <v>557</v>
      </c>
      <c r="G53">
        <v>9</v>
      </c>
      <c r="H53">
        <v>271.35000000000002</v>
      </c>
    </row>
    <row r="54" spans="1:8">
      <c r="A54" t="s">
        <v>606</v>
      </c>
      <c r="B54" t="s">
        <v>519</v>
      </c>
      <c r="C54" t="s">
        <v>593</v>
      </c>
      <c r="D54" t="s">
        <v>34</v>
      </c>
      <c r="E54" t="s">
        <v>569</v>
      </c>
      <c r="F54" t="s">
        <v>557</v>
      </c>
      <c r="G54">
        <v>4</v>
      </c>
      <c r="H54">
        <v>156.38999999999999</v>
      </c>
    </row>
    <row r="55" spans="1:8">
      <c r="A55" t="s">
        <v>607</v>
      </c>
      <c r="B55" t="s">
        <v>547</v>
      </c>
      <c r="C55" t="s">
        <v>545</v>
      </c>
      <c r="D55" t="s">
        <v>490</v>
      </c>
      <c r="E55" t="s">
        <v>561</v>
      </c>
      <c r="F55" t="s">
        <v>562</v>
      </c>
      <c r="G55">
        <v>6</v>
      </c>
      <c r="H55">
        <v>181.57</v>
      </c>
    </row>
    <row r="56" spans="1:8">
      <c r="A56" t="s">
        <v>608</v>
      </c>
      <c r="B56" t="s">
        <v>539</v>
      </c>
      <c r="C56" t="s">
        <v>536</v>
      </c>
      <c r="D56" t="s">
        <v>498</v>
      </c>
      <c r="E56" t="s">
        <v>530</v>
      </c>
      <c r="F56" t="s">
        <v>557</v>
      </c>
      <c r="G56">
        <v>10</v>
      </c>
      <c r="H56">
        <v>173.45</v>
      </c>
    </row>
    <row r="57" spans="1:8">
      <c r="A57" t="s">
        <v>609</v>
      </c>
      <c r="B57" t="s">
        <v>575</v>
      </c>
      <c r="C57" t="s">
        <v>568</v>
      </c>
      <c r="D57" t="s">
        <v>34</v>
      </c>
      <c r="E57" t="s">
        <v>569</v>
      </c>
      <c r="F57" t="s">
        <v>559</v>
      </c>
      <c r="G57">
        <v>6</v>
      </c>
      <c r="H57">
        <v>50.05</v>
      </c>
    </row>
    <row r="58" spans="1:8">
      <c r="A58" t="s">
        <v>610</v>
      </c>
      <c r="B58" t="s">
        <v>519</v>
      </c>
      <c r="C58" t="s">
        <v>568</v>
      </c>
      <c r="D58" t="s">
        <v>498</v>
      </c>
      <c r="E58" t="s">
        <v>572</v>
      </c>
      <c r="F58" t="s">
        <v>551</v>
      </c>
      <c r="G58">
        <v>9</v>
      </c>
      <c r="H58">
        <v>130.52000000000001</v>
      </c>
    </row>
    <row r="59" spans="1:8">
      <c r="A59" t="s">
        <v>611</v>
      </c>
      <c r="B59" t="s">
        <v>571</v>
      </c>
      <c r="C59" t="s">
        <v>593</v>
      </c>
      <c r="D59" t="s">
        <v>40</v>
      </c>
      <c r="E59" t="s">
        <v>572</v>
      </c>
      <c r="F59" t="s">
        <v>557</v>
      </c>
      <c r="G59">
        <v>5</v>
      </c>
      <c r="H59">
        <v>237.71</v>
      </c>
    </row>
    <row r="60" spans="1:8">
      <c r="A60" t="s">
        <v>612</v>
      </c>
      <c r="B60" t="s">
        <v>578</v>
      </c>
      <c r="C60" t="s">
        <v>463</v>
      </c>
      <c r="D60" t="s">
        <v>490</v>
      </c>
      <c r="E60" t="s">
        <v>530</v>
      </c>
      <c r="F60" t="s">
        <v>541</v>
      </c>
      <c r="G60">
        <v>2</v>
      </c>
      <c r="H60">
        <v>179.68</v>
      </c>
    </row>
    <row r="61" spans="1:8">
      <c r="A61" t="s">
        <v>613</v>
      </c>
      <c r="B61" t="s">
        <v>519</v>
      </c>
      <c r="C61" t="s">
        <v>529</v>
      </c>
      <c r="D61" t="s">
        <v>34</v>
      </c>
      <c r="E61" t="s">
        <v>521</v>
      </c>
      <c r="F61" t="s">
        <v>526</v>
      </c>
      <c r="G61">
        <v>7</v>
      </c>
      <c r="H61">
        <v>291.35000000000002</v>
      </c>
    </row>
    <row r="62" spans="1:8">
      <c r="A62" t="s">
        <v>614</v>
      </c>
      <c r="B62" t="s">
        <v>543</v>
      </c>
      <c r="C62" t="s">
        <v>463</v>
      </c>
      <c r="D62" t="s">
        <v>490</v>
      </c>
      <c r="E62" t="s">
        <v>554</v>
      </c>
      <c r="F62" t="s">
        <v>541</v>
      </c>
      <c r="G62">
        <v>5</v>
      </c>
      <c r="H62">
        <v>278.57</v>
      </c>
    </row>
    <row r="63" spans="1:8">
      <c r="A63" t="s">
        <v>615</v>
      </c>
      <c r="B63" t="s">
        <v>533</v>
      </c>
      <c r="C63" t="s">
        <v>545</v>
      </c>
      <c r="D63" t="s">
        <v>34</v>
      </c>
      <c r="E63" t="s">
        <v>554</v>
      </c>
      <c r="F63" t="s">
        <v>522</v>
      </c>
      <c r="G63">
        <v>7</v>
      </c>
      <c r="H63">
        <v>90.45</v>
      </c>
    </row>
    <row r="64" spans="1:8">
      <c r="A64" t="s">
        <v>616</v>
      </c>
      <c r="B64" t="s">
        <v>533</v>
      </c>
      <c r="C64" t="s">
        <v>410</v>
      </c>
      <c r="D64" t="s">
        <v>498</v>
      </c>
      <c r="E64" t="s">
        <v>556</v>
      </c>
      <c r="F64" t="s">
        <v>522</v>
      </c>
      <c r="G64">
        <v>2</v>
      </c>
      <c r="H64">
        <v>97.72</v>
      </c>
    </row>
    <row r="65" spans="1:8">
      <c r="A65" t="s">
        <v>617</v>
      </c>
      <c r="B65" t="s">
        <v>543</v>
      </c>
      <c r="C65" t="s">
        <v>463</v>
      </c>
      <c r="D65" t="s">
        <v>490</v>
      </c>
      <c r="E65" t="s">
        <v>561</v>
      </c>
      <c r="F65" t="s">
        <v>541</v>
      </c>
      <c r="G65">
        <v>4</v>
      </c>
      <c r="H65">
        <v>238.53</v>
      </c>
    </row>
    <row r="66" spans="1:8">
      <c r="A66" t="s">
        <v>618</v>
      </c>
      <c r="B66" t="s">
        <v>547</v>
      </c>
      <c r="C66" t="s">
        <v>458</v>
      </c>
      <c r="D66" t="s">
        <v>498</v>
      </c>
      <c r="E66" t="s">
        <v>530</v>
      </c>
      <c r="F66" t="s">
        <v>526</v>
      </c>
      <c r="G66">
        <v>8</v>
      </c>
      <c r="H66">
        <v>146.16999999999999</v>
      </c>
    </row>
    <row r="67" spans="1:8">
      <c r="A67" t="s">
        <v>619</v>
      </c>
      <c r="B67" t="s">
        <v>524</v>
      </c>
      <c r="C67" t="s">
        <v>540</v>
      </c>
      <c r="D67" t="s">
        <v>40</v>
      </c>
      <c r="E67" t="s">
        <v>554</v>
      </c>
      <c r="F67" t="s">
        <v>522</v>
      </c>
      <c r="G67">
        <v>7</v>
      </c>
      <c r="H67">
        <v>169.13</v>
      </c>
    </row>
    <row r="68" spans="1:8">
      <c r="A68" t="s">
        <v>620</v>
      </c>
      <c r="B68" t="s">
        <v>528</v>
      </c>
      <c r="C68" t="s">
        <v>593</v>
      </c>
      <c r="D68" t="s">
        <v>34</v>
      </c>
      <c r="E68" t="s">
        <v>537</v>
      </c>
      <c r="F68" t="s">
        <v>549</v>
      </c>
      <c r="G68">
        <v>10</v>
      </c>
      <c r="H68">
        <v>140.22999999999999</v>
      </c>
    </row>
    <row r="69" spans="1:8">
      <c r="A69" t="s">
        <v>621</v>
      </c>
      <c r="B69" t="s">
        <v>519</v>
      </c>
      <c r="C69" t="s">
        <v>529</v>
      </c>
      <c r="D69" t="s">
        <v>40</v>
      </c>
      <c r="E69" t="s">
        <v>521</v>
      </c>
      <c r="F69" t="s">
        <v>541</v>
      </c>
      <c r="G69">
        <v>8</v>
      </c>
      <c r="H69">
        <v>185.6</v>
      </c>
    </row>
    <row r="70" spans="1:8">
      <c r="A70" t="s">
        <v>622</v>
      </c>
      <c r="B70" t="s">
        <v>539</v>
      </c>
      <c r="C70" t="s">
        <v>463</v>
      </c>
      <c r="D70" t="s">
        <v>40</v>
      </c>
      <c r="E70" t="s">
        <v>525</v>
      </c>
      <c r="F70" t="s">
        <v>522</v>
      </c>
      <c r="G70">
        <v>10</v>
      </c>
      <c r="H70">
        <v>100.55</v>
      </c>
    </row>
    <row r="71" spans="1:8">
      <c r="A71" t="s">
        <v>623</v>
      </c>
      <c r="B71" t="s">
        <v>547</v>
      </c>
      <c r="C71" t="s">
        <v>585</v>
      </c>
      <c r="D71" t="s">
        <v>34</v>
      </c>
      <c r="E71" t="s">
        <v>530</v>
      </c>
      <c r="F71" t="s">
        <v>549</v>
      </c>
      <c r="G71">
        <v>5</v>
      </c>
      <c r="H71">
        <v>229.59</v>
      </c>
    </row>
    <row r="72" spans="1:8">
      <c r="A72" t="s">
        <v>624</v>
      </c>
      <c r="B72" t="s">
        <v>539</v>
      </c>
      <c r="C72" t="s">
        <v>593</v>
      </c>
      <c r="D72" t="s">
        <v>40</v>
      </c>
      <c r="E72" t="s">
        <v>556</v>
      </c>
      <c r="F72" t="s">
        <v>559</v>
      </c>
      <c r="G72">
        <v>5</v>
      </c>
      <c r="H72">
        <v>136.47999999999999</v>
      </c>
    </row>
    <row r="73" spans="1:8">
      <c r="A73" t="s">
        <v>625</v>
      </c>
      <c r="B73" t="s">
        <v>575</v>
      </c>
      <c r="C73" t="s">
        <v>529</v>
      </c>
      <c r="D73" t="s">
        <v>40</v>
      </c>
      <c r="E73" t="s">
        <v>561</v>
      </c>
      <c r="F73" t="s">
        <v>526</v>
      </c>
      <c r="G73">
        <v>4</v>
      </c>
      <c r="H73">
        <v>267.70999999999998</v>
      </c>
    </row>
    <row r="74" spans="1:8">
      <c r="A74" t="s">
        <v>626</v>
      </c>
      <c r="B74" t="s">
        <v>575</v>
      </c>
      <c r="C74" t="s">
        <v>536</v>
      </c>
      <c r="D74" t="s">
        <v>498</v>
      </c>
      <c r="E74" t="s">
        <v>548</v>
      </c>
      <c r="F74" t="s">
        <v>551</v>
      </c>
      <c r="G74">
        <v>1</v>
      </c>
      <c r="H74">
        <v>168.74</v>
      </c>
    </row>
    <row r="75" spans="1:8">
      <c r="A75" t="s">
        <v>627</v>
      </c>
      <c r="B75" t="s">
        <v>533</v>
      </c>
      <c r="C75" t="s">
        <v>593</v>
      </c>
      <c r="D75" t="s">
        <v>40</v>
      </c>
      <c r="E75" t="s">
        <v>525</v>
      </c>
      <c r="F75" t="s">
        <v>562</v>
      </c>
      <c r="G75">
        <v>5</v>
      </c>
      <c r="H75">
        <v>130.07</v>
      </c>
    </row>
    <row r="76" spans="1:8">
      <c r="A76" t="s">
        <v>628</v>
      </c>
      <c r="B76" t="s">
        <v>519</v>
      </c>
      <c r="C76" t="s">
        <v>536</v>
      </c>
      <c r="D76" t="s">
        <v>490</v>
      </c>
      <c r="E76" t="s">
        <v>561</v>
      </c>
      <c r="F76" t="s">
        <v>551</v>
      </c>
      <c r="G76">
        <v>6</v>
      </c>
      <c r="H76">
        <v>265</v>
      </c>
    </row>
    <row r="77" spans="1:8">
      <c r="A77" t="s">
        <v>629</v>
      </c>
      <c r="B77" t="s">
        <v>575</v>
      </c>
      <c r="C77" t="s">
        <v>520</v>
      </c>
      <c r="D77" t="s">
        <v>40</v>
      </c>
      <c r="E77" t="s">
        <v>548</v>
      </c>
      <c r="F77" t="s">
        <v>526</v>
      </c>
      <c r="G77">
        <v>7</v>
      </c>
      <c r="H77">
        <v>125.11</v>
      </c>
    </row>
    <row r="78" spans="1:8">
      <c r="A78" t="s">
        <v>630</v>
      </c>
      <c r="B78" t="s">
        <v>524</v>
      </c>
      <c r="C78" t="s">
        <v>410</v>
      </c>
      <c r="D78" t="s">
        <v>490</v>
      </c>
      <c r="E78" t="s">
        <v>521</v>
      </c>
      <c r="F78" t="s">
        <v>531</v>
      </c>
      <c r="G78">
        <v>3</v>
      </c>
      <c r="H78">
        <v>239.97</v>
      </c>
    </row>
    <row r="79" spans="1:8">
      <c r="A79" t="s">
        <v>631</v>
      </c>
      <c r="B79" t="s">
        <v>533</v>
      </c>
      <c r="C79" t="s">
        <v>529</v>
      </c>
      <c r="D79" t="s">
        <v>34</v>
      </c>
      <c r="E79" t="s">
        <v>530</v>
      </c>
      <c r="F79" t="s">
        <v>531</v>
      </c>
      <c r="G79">
        <v>9</v>
      </c>
      <c r="H79">
        <v>143</v>
      </c>
    </row>
    <row r="80" spans="1:8">
      <c r="A80" t="s">
        <v>632</v>
      </c>
      <c r="B80" t="s">
        <v>519</v>
      </c>
      <c r="C80" t="s">
        <v>593</v>
      </c>
      <c r="D80" t="s">
        <v>490</v>
      </c>
      <c r="E80" t="s">
        <v>561</v>
      </c>
      <c r="F80" t="s">
        <v>559</v>
      </c>
      <c r="G80">
        <v>7</v>
      </c>
      <c r="H80">
        <v>243.51</v>
      </c>
    </row>
    <row r="81" spans="1:8">
      <c r="A81" t="s">
        <v>633</v>
      </c>
      <c r="B81" t="s">
        <v>539</v>
      </c>
      <c r="C81" t="s">
        <v>540</v>
      </c>
      <c r="D81" t="s">
        <v>40</v>
      </c>
      <c r="E81" t="s">
        <v>561</v>
      </c>
      <c r="F81" t="s">
        <v>541</v>
      </c>
      <c r="G81">
        <v>4</v>
      </c>
      <c r="H81">
        <v>249.2</v>
      </c>
    </row>
    <row r="82" spans="1:8">
      <c r="A82" t="s">
        <v>634</v>
      </c>
      <c r="B82" t="s">
        <v>528</v>
      </c>
      <c r="C82" t="s">
        <v>458</v>
      </c>
      <c r="D82" t="s">
        <v>40</v>
      </c>
      <c r="E82" t="s">
        <v>525</v>
      </c>
      <c r="F82" t="s">
        <v>531</v>
      </c>
      <c r="G82">
        <v>10</v>
      </c>
      <c r="H82">
        <v>167.6</v>
      </c>
    </row>
    <row r="83" spans="1:8">
      <c r="A83" t="s">
        <v>635</v>
      </c>
      <c r="B83" t="s">
        <v>524</v>
      </c>
      <c r="C83" t="s">
        <v>458</v>
      </c>
      <c r="D83" t="s">
        <v>490</v>
      </c>
      <c r="E83" t="s">
        <v>548</v>
      </c>
      <c r="F83" t="s">
        <v>534</v>
      </c>
      <c r="G83">
        <v>8</v>
      </c>
      <c r="H83">
        <v>223.17</v>
      </c>
    </row>
    <row r="84" spans="1:8">
      <c r="A84" t="s">
        <v>636</v>
      </c>
      <c r="B84" t="s">
        <v>524</v>
      </c>
      <c r="C84" t="s">
        <v>568</v>
      </c>
      <c r="D84" t="s">
        <v>490</v>
      </c>
      <c r="E84" t="s">
        <v>548</v>
      </c>
      <c r="F84" t="s">
        <v>549</v>
      </c>
      <c r="G84">
        <v>5</v>
      </c>
      <c r="H84">
        <v>253.07</v>
      </c>
    </row>
    <row r="85" spans="1:8">
      <c r="A85" t="s">
        <v>637</v>
      </c>
      <c r="B85" t="s">
        <v>578</v>
      </c>
      <c r="C85" t="s">
        <v>585</v>
      </c>
      <c r="D85" t="s">
        <v>34</v>
      </c>
      <c r="E85" t="s">
        <v>530</v>
      </c>
      <c r="F85" t="s">
        <v>522</v>
      </c>
      <c r="G85">
        <v>2</v>
      </c>
      <c r="H85">
        <v>192.29</v>
      </c>
    </row>
    <row r="86" spans="1:8">
      <c r="A86" t="s">
        <v>638</v>
      </c>
      <c r="B86" t="s">
        <v>528</v>
      </c>
      <c r="C86" t="s">
        <v>540</v>
      </c>
      <c r="D86" t="s">
        <v>490</v>
      </c>
      <c r="E86" t="s">
        <v>521</v>
      </c>
      <c r="F86" t="s">
        <v>549</v>
      </c>
      <c r="G86">
        <v>7</v>
      </c>
      <c r="H86">
        <v>163.92</v>
      </c>
    </row>
    <row r="87" spans="1:8">
      <c r="A87" t="s">
        <v>639</v>
      </c>
      <c r="B87" t="s">
        <v>533</v>
      </c>
      <c r="C87" t="s">
        <v>593</v>
      </c>
      <c r="D87" t="s">
        <v>498</v>
      </c>
      <c r="E87" t="s">
        <v>561</v>
      </c>
      <c r="F87" t="s">
        <v>522</v>
      </c>
      <c r="G87">
        <v>3</v>
      </c>
      <c r="H87">
        <v>31.02</v>
      </c>
    </row>
    <row r="88" spans="1:8">
      <c r="A88" t="s">
        <v>640</v>
      </c>
      <c r="B88" t="s">
        <v>547</v>
      </c>
      <c r="C88" t="s">
        <v>463</v>
      </c>
      <c r="D88" t="s">
        <v>40</v>
      </c>
      <c r="E88" t="s">
        <v>572</v>
      </c>
      <c r="F88" t="s">
        <v>559</v>
      </c>
      <c r="G88">
        <v>5</v>
      </c>
      <c r="H88">
        <v>204.77</v>
      </c>
    </row>
    <row r="89" spans="1:8">
      <c r="A89" t="s">
        <v>641</v>
      </c>
      <c r="B89" t="s">
        <v>528</v>
      </c>
      <c r="C89" t="s">
        <v>593</v>
      </c>
      <c r="D89" t="s">
        <v>40</v>
      </c>
      <c r="E89" t="s">
        <v>548</v>
      </c>
      <c r="F89" t="s">
        <v>562</v>
      </c>
      <c r="G89">
        <v>3</v>
      </c>
      <c r="H89">
        <v>298.97000000000003</v>
      </c>
    </row>
    <row r="90" spans="1:8">
      <c r="A90" t="s">
        <v>642</v>
      </c>
      <c r="B90" t="s">
        <v>528</v>
      </c>
      <c r="C90" t="s">
        <v>540</v>
      </c>
      <c r="D90" t="s">
        <v>498</v>
      </c>
      <c r="E90" t="s">
        <v>561</v>
      </c>
      <c r="F90" t="s">
        <v>531</v>
      </c>
      <c r="G90">
        <v>2</v>
      </c>
      <c r="H90">
        <v>84.18</v>
      </c>
    </row>
    <row r="91" spans="1:8">
      <c r="A91" t="s">
        <v>643</v>
      </c>
      <c r="B91" t="s">
        <v>578</v>
      </c>
      <c r="C91" t="s">
        <v>463</v>
      </c>
      <c r="D91" t="s">
        <v>40</v>
      </c>
      <c r="E91" t="s">
        <v>537</v>
      </c>
      <c r="F91" t="s">
        <v>549</v>
      </c>
      <c r="G91">
        <v>5</v>
      </c>
      <c r="H91">
        <v>175.31</v>
      </c>
    </row>
    <row r="92" spans="1:8">
      <c r="A92" t="s">
        <v>644</v>
      </c>
      <c r="B92" t="s">
        <v>547</v>
      </c>
      <c r="C92" t="s">
        <v>585</v>
      </c>
      <c r="D92" t="s">
        <v>490</v>
      </c>
      <c r="E92" t="s">
        <v>548</v>
      </c>
      <c r="F92" t="s">
        <v>541</v>
      </c>
      <c r="G92">
        <v>5</v>
      </c>
      <c r="H92">
        <v>40.57</v>
      </c>
    </row>
    <row r="93" spans="1:8">
      <c r="A93" t="s">
        <v>645</v>
      </c>
      <c r="B93" t="s">
        <v>533</v>
      </c>
      <c r="C93" t="s">
        <v>410</v>
      </c>
      <c r="D93" t="s">
        <v>40</v>
      </c>
      <c r="E93" t="s">
        <v>554</v>
      </c>
      <c r="F93" t="s">
        <v>531</v>
      </c>
      <c r="G93">
        <v>7</v>
      </c>
      <c r="H93">
        <v>172.45</v>
      </c>
    </row>
    <row r="94" spans="1:8">
      <c r="A94" t="s">
        <v>646</v>
      </c>
      <c r="B94" t="s">
        <v>533</v>
      </c>
      <c r="C94" t="s">
        <v>410</v>
      </c>
      <c r="D94" t="s">
        <v>34</v>
      </c>
      <c r="E94" t="s">
        <v>561</v>
      </c>
      <c r="F94" t="s">
        <v>534</v>
      </c>
      <c r="G94">
        <v>2</v>
      </c>
      <c r="H94">
        <v>179.43</v>
      </c>
    </row>
    <row r="95" spans="1:8">
      <c r="A95" t="s">
        <v>647</v>
      </c>
      <c r="B95" t="s">
        <v>578</v>
      </c>
      <c r="C95" t="s">
        <v>520</v>
      </c>
      <c r="D95" t="s">
        <v>40</v>
      </c>
      <c r="E95" t="s">
        <v>521</v>
      </c>
      <c r="F95" t="s">
        <v>541</v>
      </c>
      <c r="G95">
        <v>8</v>
      </c>
      <c r="H95">
        <v>287.47000000000003</v>
      </c>
    </row>
    <row r="96" spans="1:8">
      <c r="A96" t="s">
        <v>648</v>
      </c>
      <c r="B96" t="s">
        <v>524</v>
      </c>
      <c r="C96" t="s">
        <v>540</v>
      </c>
      <c r="D96" t="s">
        <v>498</v>
      </c>
      <c r="E96" t="s">
        <v>569</v>
      </c>
      <c r="F96" t="s">
        <v>534</v>
      </c>
      <c r="G96">
        <v>4</v>
      </c>
      <c r="H96">
        <v>89.17</v>
      </c>
    </row>
    <row r="97" spans="1:8">
      <c r="A97" t="s">
        <v>649</v>
      </c>
      <c r="B97" t="s">
        <v>539</v>
      </c>
      <c r="C97" t="s">
        <v>585</v>
      </c>
      <c r="D97" t="s">
        <v>498</v>
      </c>
      <c r="E97" t="s">
        <v>569</v>
      </c>
      <c r="F97" t="s">
        <v>526</v>
      </c>
      <c r="G97">
        <v>2</v>
      </c>
      <c r="H97">
        <v>217.89</v>
      </c>
    </row>
    <row r="98" spans="1:8">
      <c r="A98" t="s">
        <v>650</v>
      </c>
      <c r="B98" t="s">
        <v>519</v>
      </c>
      <c r="C98" t="s">
        <v>458</v>
      </c>
      <c r="D98" t="s">
        <v>34</v>
      </c>
      <c r="E98" t="s">
        <v>530</v>
      </c>
      <c r="F98" t="s">
        <v>557</v>
      </c>
      <c r="G98">
        <v>1</v>
      </c>
      <c r="H98">
        <v>132.44999999999999</v>
      </c>
    </row>
    <row r="99" spans="1:8">
      <c r="A99" t="s">
        <v>651</v>
      </c>
      <c r="B99" t="s">
        <v>539</v>
      </c>
      <c r="C99" t="s">
        <v>463</v>
      </c>
      <c r="D99" t="s">
        <v>40</v>
      </c>
      <c r="E99" t="s">
        <v>521</v>
      </c>
      <c r="F99" t="s">
        <v>526</v>
      </c>
      <c r="G99">
        <v>7</v>
      </c>
      <c r="H99">
        <v>150.78</v>
      </c>
    </row>
    <row r="100" spans="1:8">
      <c r="A100" t="s">
        <v>652</v>
      </c>
      <c r="B100" t="s">
        <v>543</v>
      </c>
      <c r="C100" t="s">
        <v>540</v>
      </c>
      <c r="D100" t="s">
        <v>40</v>
      </c>
      <c r="E100" t="s">
        <v>530</v>
      </c>
      <c r="F100" t="s">
        <v>551</v>
      </c>
      <c r="G100">
        <v>7</v>
      </c>
      <c r="H100">
        <v>108.47</v>
      </c>
    </row>
    <row r="101" spans="1:8">
      <c r="A101" t="s">
        <v>653</v>
      </c>
      <c r="B101" t="s">
        <v>575</v>
      </c>
      <c r="C101" t="s">
        <v>458</v>
      </c>
      <c r="D101" t="s">
        <v>490</v>
      </c>
      <c r="E101" t="s">
        <v>525</v>
      </c>
      <c r="F101" t="s">
        <v>531</v>
      </c>
      <c r="G101">
        <v>3</v>
      </c>
      <c r="H101">
        <v>98.65</v>
      </c>
    </row>
    <row r="102" spans="1:8">
      <c r="A102" t="s">
        <v>654</v>
      </c>
      <c r="B102" t="s">
        <v>575</v>
      </c>
      <c r="C102" t="s">
        <v>463</v>
      </c>
      <c r="D102" t="s">
        <v>40</v>
      </c>
      <c r="E102" t="s">
        <v>561</v>
      </c>
      <c r="F102" t="s">
        <v>559</v>
      </c>
      <c r="G102">
        <v>8</v>
      </c>
      <c r="H102">
        <v>103.83</v>
      </c>
    </row>
    <row r="103" spans="1:8">
      <c r="A103" t="s">
        <v>655</v>
      </c>
      <c r="B103" t="s">
        <v>575</v>
      </c>
      <c r="C103" t="s">
        <v>520</v>
      </c>
      <c r="D103" t="s">
        <v>490</v>
      </c>
      <c r="E103" t="s">
        <v>537</v>
      </c>
      <c r="F103" t="s">
        <v>522</v>
      </c>
      <c r="G103">
        <v>4</v>
      </c>
      <c r="H103">
        <v>206.99</v>
      </c>
    </row>
    <row r="104" spans="1:8">
      <c r="A104" t="s">
        <v>656</v>
      </c>
      <c r="B104" t="s">
        <v>524</v>
      </c>
      <c r="C104" t="s">
        <v>545</v>
      </c>
      <c r="D104" t="s">
        <v>490</v>
      </c>
      <c r="E104" t="s">
        <v>572</v>
      </c>
      <c r="F104" t="s">
        <v>526</v>
      </c>
      <c r="G104">
        <v>9</v>
      </c>
      <c r="H104">
        <v>57.4</v>
      </c>
    </row>
    <row r="105" spans="1:8">
      <c r="A105" t="s">
        <v>657</v>
      </c>
      <c r="B105" t="s">
        <v>528</v>
      </c>
      <c r="C105" t="s">
        <v>458</v>
      </c>
      <c r="D105" t="s">
        <v>34</v>
      </c>
      <c r="E105" t="s">
        <v>521</v>
      </c>
      <c r="F105" t="s">
        <v>522</v>
      </c>
      <c r="G105">
        <v>8</v>
      </c>
      <c r="H105">
        <v>187.55</v>
      </c>
    </row>
    <row r="106" spans="1:8">
      <c r="A106" t="s">
        <v>658</v>
      </c>
      <c r="B106" t="s">
        <v>547</v>
      </c>
      <c r="C106" t="s">
        <v>458</v>
      </c>
      <c r="D106" t="s">
        <v>40</v>
      </c>
      <c r="E106" t="s">
        <v>561</v>
      </c>
      <c r="F106" t="s">
        <v>541</v>
      </c>
      <c r="G106">
        <v>5</v>
      </c>
      <c r="H106">
        <v>25.89</v>
      </c>
    </row>
    <row r="107" spans="1:8">
      <c r="A107" t="s">
        <v>659</v>
      </c>
      <c r="B107" t="s">
        <v>528</v>
      </c>
      <c r="C107" t="s">
        <v>458</v>
      </c>
      <c r="D107" t="s">
        <v>34</v>
      </c>
      <c r="E107" t="s">
        <v>572</v>
      </c>
      <c r="F107" t="s">
        <v>551</v>
      </c>
      <c r="G107">
        <v>10</v>
      </c>
      <c r="H107">
        <v>148.56</v>
      </c>
    </row>
    <row r="108" spans="1:8">
      <c r="A108" t="s">
        <v>660</v>
      </c>
      <c r="B108" t="s">
        <v>528</v>
      </c>
      <c r="C108" t="s">
        <v>520</v>
      </c>
      <c r="D108" t="s">
        <v>498</v>
      </c>
      <c r="E108" t="s">
        <v>537</v>
      </c>
      <c r="F108" t="s">
        <v>557</v>
      </c>
      <c r="G108">
        <v>10</v>
      </c>
      <c r="H108">
        <v>286.79000000000002</v>
      </c>
    </row>
    <row r="109" spans="1:8">
      <c r="A109" t="s">
        <v>661</v>
      </c>
      <c r="B109" t="s">
        <v>528</v>
      </c>
      <c r="C109" t="s">
        <v>458</v>
      </c>
      <c r="D109" t="s">
        <v>34</v>
      </c>
      <c r="E109" t="s">
        <v>569</v>
      </c>
      <c r="F109" t="s">
        <v>562</v>
      </c>
      <c r="G109">
        <v>2</v>
      </c>
      <c r="H109">
        <v>283.97000000000003</v>
      </c>
    </row>
    <row r="110" spans="1:8">
      <c r="A110" t="s">
        <v>662</v>
      </c>
      <c r="B110" t="s">
        <v>575</v>
      </c>
      <c r="C110" t="s">
        <v>568</v>
      </c>
      <c r="D110" t="s">
        <v>34</v>
      </c>
      <c r="E110" t="s">
        <v>556</v>
      </c>
      <c r="F110" t="s">
        <v>557</v>
      </c>
      <c r="G110">
        <v>1</v>
      </c>
      <c r="H110">
        <v>62.81</v>
      </c>
    </row>
    <row r="111" spans="1:8">
      <c r="A111" t="s">
        <v>663</v>
      </c>
      <c r="B111" t="s">
        <v>524</v>
      </c>
      <c r="C111" t="s">
        <v>540</v>
      </c>
      <c r="D111" t="s">
        <v>490</v>
      </c>
      <c r="E111" t="s">
        <v>521</v>
      </c>
      <c r="F111" t="s">
        <v>541</v>
      </c>
      <c r="G111">
        <v>4</v>
      </c>
      <c r="H111">
        <v>270.26</v>
      </c>
    </row>
    <row r="112" spans="1:8">
      <c r="A112" t="s">
        <v>664</v>
      </c>
      <c r="B112" t="s">
        <v>571</v>
      </c>
      <c r="C112" t="s">
        <v>520</v>
      </c>
      <c r="D112" t="s">
        <v>490</v>
      </c>
      <c r="E112" t="s">
        <v>572</v>
      </c>
      <c r="F112" t="s">
        <v>562</v>
      </c>
      <c r="G112">
        <v>9</v>
      </c>
      <c r="H112">
        <v>128.80000000000001</v>
      </c>
    </row>
    <row r="113" spans="1:8">
      <c r="A113" t="s">
        <v>665</v>
      </c>
      <c r="B113" t="s">
        <v>533</v>
      </c>
      <c r="C113" t="s">
        <v>585</v>
      </c>
      <c r="D113" t="s">
        <v>34</v>
      </c>
      <c r="E113" t="s">
        <v>521</v>
      </c>
      <c r="F113" t="s">
        <v>534</v>
      </c>
      <c r="G113">
        <v>4</v>
      </c>
      <c r="H113">
        <v>255.22</v>
      </c>
    </row>
    <row r="114" spans="1:8">
      <c r="A114" t="s">
        <v>666</v>
      </c>
      <c r="B114" t="s">
        <v>519</v>
      </c>
      <c r="C114" t="s">
        <v>585</v>
      </c>
      <c r="D114" t="s">
        <v>34</v>
      </c>
      <c r="E114" t="s">
        <v>525</v>
      </c>
      <c r="F114" t="s">
        <v>562</v>
      </c>
      <c r="G114">
        <v>4</v>
      </c>
      <c r="H114">
        <v>210.07</v>
      </c>
    </row>
    <row r="115" spans="1:8">
      <c r="A115" t="s">
        <v>667</v>
      </c>
      <c r="B115" t="s">
        <v>575</v>
      </c>
      <c r="C115" t="s">
        <v>529</v>
      </c>
      <c r="D115" t="s">
        <v>34</v>
      </c>
      <c r="E115" t="s">
        <v>569</v>
      </c>
      <c r="F115" t="s">
        <v>541</v>
      </c>
      <c r="G115">
        <v>2</v>
      </c>
      <c r="H115">
        <v>33.71</v>
      </c>
    </row>
    <row r="116" spans="1:8">
      <c r="A116" t="s">
        <v>668</v>
      </c>
      <c r="B116" t="s">
        <v>524</v>
      </c>
      <c r="C116" t="s">
        <v>458</v>
      </c>
      <c r="D116" t="s">
        <v>40</v>
      </c>
      <c r="E116" t="s">
        <v>530</v>
      </c>
      <c r="F116" t="s">
        <v>522</v>
      </c>
      <c r="G116">
        <v>3</v>
      </c>
      <c r="H116">
        <v>106.03</v>
      </c>
    </row>
    <row r="117" spans="1:8">
      <c r="A117" t="s">
        <v>669</v>
      </c>
      <c r="B117" t="s">
        <v>533</v>
      </c>
      <c r="C117" t="s">
        <v>410</v>
      </c>
      <c r="D117" t="s">
        <v>40</v>
      </c>
      <c r="E117" t="s">
        <v>572</v>
      </c>
      <c r="F117" t="s">
        <v>559</v>
      </c>
      <c r="G117">
        <v>1</v>
      </c>
      <c r="H117">
        <v>41.86</v>
      </c>
    </row>
    <row r="118" spans="1:8">
      <c r="A118" t="s">
        <v>670</v>
      </c>
      <c r="B118" t="s">
        <v>543</v>
      </c>
      <c r="C118" t="s">
        <v>593</v>
      </c>
      <c r="D118" t="s">
        <v>490</v>
      </c>
      <c r="E118" t="s">
        <v>569</v>
      </c>
      <c r="F118" t="s">
        <v>557</v>
      </c>
      <c r="G118">
        <v>7</v>
      </c>
      <c r="H118">
        <v>264.32</v>
      </c>
    </row>
    <row r="119" spans="1:8">
      <c r="A119" t="s">
        <v>671</v>
      </c>
      <c r="B119" t="s">
        <v>524</v>
      </c>
      <c r="C119" t="s">
        <v>536</v>
      </c>
      <c r="D119" t="s">
        <v>498</v>
      </c>
      <c r="E119" t="s">
        <v>537</v>
      </c>
      <c r="F119" t="s">
        <v>557</v>
      </c>
      <c r="G119">
        <v>9</v>
      </c>
      <c r="H119">
        <v>37.92</v>
      </c>
    </row>
    <row r="120" spans="1:8">
      <c r="A120" t="s">
        <v>672</v>
      </c>
      <c r="B120" t="s">
        <v>543</v>
      </c>
      <c r="C120" t="s">
        <v>458</v>
      </c>
      <c r="D120" t="s">
        <v>490</v>
      </c>
      <c r="E120" t="s">
        <v>530</v>
      </c>
      <c r="F120" t="s">
        <v>551</v>
      </c>
      <c r="G120">
        <v>3</v>
      </c>
      <c r="H120">
        <v>240.05</v>
      </c>
    </row>
    <row r="121" spans="1:8">
      <c r="A121" t="s">
        <v>673</v>
      </c>
      <c r="B121" t="s">
        <v>547</v>
      </c>
      <c r="C121" t="s">
        <v>568</v>
      </c>
      <c r="D121" t="s">
        <v>498</v>
      </c>
      <c r="E121" t="s">
        <v>537</v>
      </c>
      <c r="F121" t="s">
        <v>549</v>
      </c>
      <c r="G121">
        <v>3</v>
      </c>
      <c r="H121">
        <v>178.03</v>
      </c>
    </row>
    <row r="122" spans="1:8">
      <c r="A122" t="s">
        <v>674</v>
      </c>
      <c r="B122" t="s">
        <v>539</v>
      </c>
      <c r="C122" t="s">
        <v>540</v>
      </c>
      <c r="D122" t="s">
        <v>40</v>
      </c>
      <c r="E122" t="s">
        <v>530</v>
      </c>
      <c r="F122" t="s">
        <v>549</v>
      </c>
      <c r="G122">
        <v>5</v>
      </c>
      <c r="H122">
        <v>85.26</v>
      </c>
    </row>
    <row r="123" spans="1:8">
      <c r="A123" t="s">
        <v>675</v>
      </c>
      <c r="B123" t="s">
        <v>547</v>
      </c>
      <c r="C123" t="s">
        <v>536</v>
      </c>
      <c r="D123" t="s">
        <v>490</v>
      </c>
      <c r="E123" t="s">
        <v>530</v>
      </c>
      <c r="F123" t="s">
        <v>534</v>
      </c>
      <c r="G123">
        <v>1</v>
      </c>
      <c r="H123">
        <v>236.92</v>
      </c>
    </row>
    <row r="124" spans="1:8">
      <c r="A124" t="s">
        <v>676</v>
      </c>
      <c r="B124" t="s">
        <v>575</v>
      </c>
      <c r="C124" t="s">
        <v>585</v>
      </c>
      <c r="D124" t="s">
        <v>490</v>
      </c>
      <c r="E124" t="s">
        <v>569</v>
      </c>
      <c r="F124" t="s">
        <v>549</v>
      </c>
      <c r="G124">
        <v>6</v>
      </c>
      <c r="H124">
        <v>166.46</v>
      </c>
    </row>
    <row r="125" spans="1:8">
      <c r="A125" t="s">
        <v>677</v>
      </c>
      <c r="B125" t="s">
        <v>543</v>
      </c>
      <c r="C125" t="s">
        <v>593</v>
      </c>
      <c r="D125" t="s">
        <v>490</v>
      </c>
      <c r="E125" t="s">
        <v>537</v>
      </c>
      <c r="F125" t="s">
        <v>549</v>
      </c>
      <c r="G125">
        <v>10</v>
      </c>
      <c r="H125">
        <v>188.42</v>
      </c>
    </row>
    <row r="126" spans="1:8">
      <c r="A126" t="s">
        <v>678</v>
      </c>
      <c r="B126" t="s">
        <v>533</v>
      </c>
      <c r="C126" t="s">
        <v>458</v>
      </c>
      <c r="D126" t="s">
        <v>490</v>
      </c>
      <c r="E126" t="s">
        <v>530</v>
      </c>
      <c r="F126" t="s">
        <v>551</v>
      </c>
      <c r="G126">
        <v>1</v>
      </c>
      <c r="H126">
        <v>272.83999999999997</v>
      </c>
    </row>
    <row r="127" spans="1:8">
      <c r="A127" t="s">
        <v>679</v>
      </c>
      <c r="B127" t="s">
        <v>528</v>
      </c>
      <c r="C127" t="s">
        <v>585</v>
      </c>
      <c r="D127" t="s">
        <v>490</v>
      </c>
      <c r="E127" t="s">
        <v>530</v>
      </c>
      <c r="F127" t="s">
        <v>551</v>
      </c>
      <c r="G127">
        <v>9</v>
      </c>
      <c r="H127">
        <v>106.02</v>
      </c>
    </row>
    <row r="128" spans="1:8">
      <c r="A128" t="s">
        <v>680</v>
      </c>
      <c r="B128" t="s">
        <v>533</v>
      </c>
      <c r="C128" t="s">
        <v>593</v>
      </c>
      <c r="D128" t="s">
        <v>490</v>
      </c>
      <c r="E128" t="s">
        <v>561</v>
      </c>
      <c r="F128" t="s">
        <v>534</v>
      </c>
      <c r="G128">
        <v>3</v>
      </c>
      <c r="H128">
        <v>46.06</v>
      </c>
    </row>
    <row r="129" spans="1:8">
      <c r="A129" t="s">
        <v>681</v>
      </c>
      <c r="B129" t="s">
        <v>578</v>
      </c>
      <c r="C129" t="s">
        <v>463</v>
      </c>
      <c r="D129" t="s">
        <v>34</v>
      </c>
      <c r="E129" t="s">
        <v>569</v>
      </c>
      <c r="F129" t="s">
        <v>559</v>
      </c>
      <c r="G129">
        <v>2</v>
      </c>
      <c r="H129">
        <v>236.75</v>
      </c>
    </row>
    <row r="130" spans="1:8">
      <c r="A130" t="s">
        <v>682</v>
      </c>
      <c r="B130" t="s">
        <v>524</v>
      </c>
      <c r="C130" t="s">
        <v>458</v>
      </c>
      <c r="D130" t="s">
        <v>34</v>
      </c>
      <c r="E130" t="s">
        <v>548</v>
      </c>
      <c r="F130" t="s">
        <v>522</v>
      </c>
      <c r="G130">
        <v>10</v>
      </c>
      <c r="H130">
        <v>113.02</v>
      </c>
    </row>
    <row r="131" spans="1:8">
      <c r="A131" t="s">
        <v>683</v>
      </c>
      <c r="B131" t="s">
        <v>571</v>
      </c>
      <c r="C131" t="s">
        <v>536</v>
      </c>
      <c r="D131" t="s">
        <v>40</v>
      </c>
      <c r="E131" t="s">
        <v>572</v>
      </c>
      <c r="F131" t="s">
        <v>559</v>
      </c>
      <c r="G131">
        <v>7</v>
      </c>
      <c r="H131">
        <v>91.69</v>
      </c>
    </row>
    <row r="132" spans="1:8">
      <c r="A132" t="s">
        <v>684</v>
      </c>
      <c r="B132" t="s">
        <v>524</v>
      </c>
      <c r="C132" t="s">
        <v>585</v>
      </c>
      <c r="D132" t="s">
        <v>40</v>
      </c>
      <c r="E132" t="s">
        <v>537</v>
      </c>
      <c r="F132" t="s">
        <v>551</v>
      </c>
      <c r="G132">
        <v>7</v>
      </c>
      <c r="H132">
        <v>107.47</v>
      </c>
    </row>
    <row r="133" spans="1:8">
      <c r="A133" t="s">
        <v>685</v>
      </c>
      <c r="B133" t="s">
        <v>524</v>
      </c>
      <c r="C133" t="s">
        <v>458</v>
      </c>
      <c r="D133" t="s">
        <v>498</v>
      </c>
      <c r="E133" t="s">
        <v>561</v>
      </c>
      <c r="F133" t="s">
        <v>551</v>
      </c>
      <c r="G133">
        <v>7</v>
      </c>
      <c r="H133">
        <v>59.38</v>
      </c>
    </row>
    <row r="134" spans="1:8">
      <c r="A134" t="s">
        <v>686</v>
      </c>
      <c r="B134" t="s">
        <v>524</v>
      </c>
      <c r="C134" t="s">
        <v>410</v>
      </c>
      <c r="D134" t="s">
        <v>40</v>
      </c>
      <c r="E134" t="s">
        <v>572</v>
      </c>
      <c r="F134" t="s">
        <v>522</v>
      </c>
      <c r="G134">
        <v>7</v>
      </c>
      <c r="H134">
        <v>88.35</v>
      </c>
    </row>
    <row r="135" spans="1:8">
      <c r="A135" t="s">
        <v>687</v>
      </c>
      <c r="B135" t="s">
        <v>571</v>
      </c>
      <c r="C135" t="s">
        <v>568</v>
      </c>
      <c r="D135" t="s">
        <v>498</v>
      </c>
      <c r="E135" t="s">
        <v>554</v>
      </c>
      <c r="F135" t="s">
        <v>557</v>
      </c>
      <c r="G135">
        <v>2</v>
      </c>
      <c r="H135">
        <v>275.3</v>
      </c>
    </row>
    <row r="136" spans="1:8">
      <c r="A136" t="s">
        <v>688</v>
      </c>
      <c r="B136" t="s">
        <v>571</v>
      </c>
      <c r="C136" t="s">
        <v>585</v>
      </c>
      <c r="D136" t="s">
        <v>498</v>
      </c>
      <c r="E136" t="s">
        <v>572</v>
      </c>
      <c r="F136" t="s">
        <v>557</v>
      </c>
      <c r="G136">
        <v>8</v>
      </c>
      <c r="H136">
        <v>221.21</v>
      </c>
    </row>
    <row r="137" spans="1:8">
      <c r="A137" t="s">
        <v>689</v>
      </c>
      <c r="B137" t="s">
        <v>543</v>
      </c>
      <c r="C137" t="s">
        <v>529</v>
      </c>
      <c r="D137" t="s">
        <v>490</v>
      </c>
      <c r="E137" t="s">
        <v>561</v>
      </c>
      <c r="F137" t="s">
        <v>557</v>
      </c>
      <c r="G137">
        <v>1</v>
      </c>
      <c r="H137">
        <v>69.02</v>
      </c>
    </row>
    <row r="138" spans="1:8">
      <c r="A138" t="s">
        <v>690</v>
      </c>
      <c r="B138" t="s">
        <v>571</v>
      </c>
      <c r="C138" t="s">
        <v>545</v>
      </c>
      <c r="D138" t="s">
        <v>34</v>
      </c>
      <c r="E138" t="s">
        <v>548</v>
      </c>
      <c r="F138" t="s">
        <v>541</v>
      </c>
      <c r="G138">
        <v>10</v>
      </c>
      <c r="H138">
        <v>154.5</v>
      </c>
    </row>
    <row r="139" spans="1:8">
      <c r="A139" t="s">
        <v>691</v>
      </c>
      <c r="B139" t="s">
        <v>528</v>
      </c>
      <c r="C139" t="s">
        <v>458</v>
      </c>
      <c r="D139" t="s">
        <v>34</v>
      </c>
      <c r="E139" t="s">
        <v>525</v>
      </c>
      <c r="F139" t="s">
        <v>531</v>
      </c>
      <c r="G139">
        <v>3</v>
      </c>
      <c r="H139">
        <v>79.569999999999993</v>
      </c>
    </row>
    <row r="140" spans="1:8">
      <c r="A140" t="s">
        <v>692</v>
      </c>
      <c r="B140" t="s">
        <v>571</v>
      </c>
      <c r="C140" t="s">
        <v>463</v>
      </c>
      <c r="D140" t="s">
        <v>490</v>
      </c>
      <c r="E140" t="s">
        <v>569</v>
      </c>
      <c r="F140" t="s">
        <v>557</v>
      </c>
      <c r="G140">
        <v>4</v>
      </c>
      <c r="H140">
        <v>213.35</v>
      </c>
    </row>
    <row r="141" spans="1:8">
      <c r="A141" t="s">
        <v>693</v>
      </c>
      <c r="B141" t="s">
        <v>547</v>
      </c>
      <c r="C141" t="s">
        <v>410</v>
      </c>
      <c r="D141" t="s">
        <v>34</v>
      </c>
      <c r="E141" t="s">
        <v>548</v>
      </c>
      <c r="F141" t="s">
        <v>531</v>
      </c>
      <c r="G141">
        <v>7</v>
      </c>
      <c r="H141">
        <v>187.26</v>
      </c>
    </row>
    <row r="142" spans="1:8">
      <c r="A142" t="s">
        <v>694</v>
      </c>
      <c r="B142" t="s">
        <v>571</v>
      </c>
      <c r="C142" t="s">
        <v>463</v>
      </c>
      <c r="D142" t="s">
        <v>40</v>
      </c>
      <c r="E142" t="s">
        <v>569</v>
      </c>
      <c r="F142" t="s">
        <v>562</v>
      </c>
      <c r="G142">
        <v>6</v>
      </c>
      <c r="H142">
        <v>66.17</v>
      </c>
    </row>
    <row r="143" spans="1:8">
      <c r="A143" t="s">
        <v>695</v>
      </c>
      <c r="B143" t="s">
        <v>528</v>
      </c>
      <c r="C143" t="s">
        <v>464</v>
      </c>
      <c r="D143" t="s">
        <v>34</v>
      </c>
      <c r="E143" t="s">
        <v>561</v>
      </c>
      <c r="F143" t="s">
        <v>534</v>
      </c>
      <c r="G143">
        <v>10</v>
      </c>
      <c r="H143">
        <v>258.95999999999998</v>
      </c>
    </row>
    <row r="144" spans="1:8">
      <c r="A144" t="s">
        <v>696</v>
      </c>
      <c r="B144" t="s">
        <v>547</v>
      </c>
      <c r="C144" t="s">
        <v>529</v>
      </c>
      <c r="D144" t="s">
        <v>34</v>
      </c>
      <c r="E144" t="s">
        <v>530</v>
      </c>
      <c r="F144" t="s">
        <v>534</v>
      </c>
      <c r="G144">
        <v>3</v>
      </c>
      <c r="H144">
        <v>217.39</v>
      </c>
    </row>
    <row r="145" spans="1:8">
      <c r="A145" t="s">
        <v>697</v>
      </c>
      <c r="B145" t="s">
        <v>528</v>
      </c>
      <c r="C145" t="s">
        <v>410</v>
      </c>
      <c r="D145" t="s">
        <v>40</v>
      </c>
      <c r="E145" t="s">
        <v>525</v>
      </c>
      <c r="F145" t="s">
        <v>522</v>
      </c>
      <c r="G145">
        <v>3</v>
      </c>
      <c r="H145">
        <v>130.01</v>
      </c>
    </row>
    <row r="146" spans="1:8">
      <c r="A146" t="s">
        <v>698</v>
      </c>
      <c r="B146" t="s">
        <v>571</v>
      </c>
      <c r="C146" t="s">
        <v>520</v>
      </c>
      <c r="D146" t="s">
        <v>498</v>
      </c>
      <c r="E146" t="s">
        <v>537</v>
      </c>
      <c r="F146" t="s">
        <v>551</v>
      </c>
      <c r="G146">
        <v>9</v>
      </c>
      <c r="H146">
        <v>52.63</v>
      </c>
    </row>
    <row r="147" spans="1:8">
      <c r="A147" t="s">
        <v>699</v>
      </c>
      <c r="B147" t="s">
        <v>533</v>
      </c>
      <c r="C147" t="s">
        <v>545</v>
      </c>
      <c r="D147" t="s">
        <v>498</v>
      </c>
      <c r="E147" t="s">
        <v>530</v>
      </c>
      <c r="F147" t="s">
        <v>559</v>
      </c>
      <c r="G147">
        <v>1</v>
      </c>
      <c r="H147">
        <v>71.11</v>
      </c>
    </row>
    <row r="148" spans="1:8">
      <c r="A148" t="s">
        <v>700</v>
      </c>
      <c r="B148" t="s">
        <v>519</v>
      </c>
      <c r="C148" t="s">
        <v>593</v>
      </c>
      <c r="D148" t="s">
        <v>490</v>
      </c>
      <c r="E148" t="s">
        <v>554</v>
      </c>
      <c r="F148" t="s">
        <v>562</v>
      </c>
      <c r="G148">
        <v>5</v>
      </c>
      <c r="H148">
        <v>229.88</v>
      </c>
    </row>
    <row r="149" spans="1:8">
      <c r="A149" t="s">
        <v>701</v>
      </c>
      <c r="B149" t="s">
        <v>547</v>
      </c>
      <c r="C149" t="s">
        <v>536</v>
      </c>
      <c r="D149" t="s">
        <v>40</v>
      </c>
      <c r="E149" t="s">
        <v>556</v>
      </c>
      <c r="F149" t="s">
        <v>541</v>
      </c>
      <c r="G149">
        <v>1</v>
      </c>
      <c r="H149">
        <v>32.83</v>
      </c>
    </row>
    <row r="150" spans="1:8">
      <c r="A150" t="s">
        <v>702</v>
      </c>
      <c r="B150" t="s">
        <v>578</v>
      </c>
      <c r="C150" t="s">
        <v>568</v>
      </c>
      <c r="D150" t="s">
        <v>40</v>
      </c>
      <c r="E150" t="s">
        <v>572</v>
      </c>
      <c r="F150" t="s">
        <v>557</v>
      </c>
      <c r="G150">
        <v>3</v>
      </c>
      <c r="H150">
        <v>67.5</v>
      </c>
    </row>
    <row r="151" spans="1:8">
      <c r="A151" t="s">
        <v>703</v>
      </c>
      <c r="B151" t="s">
        <v>524</v>
      </c>
      <c r="C151" t="s">
        <v>458</v>
      </c>
      <c r="D151" t="s">
        <v>34</v>
      </c>
      <c r="E151" t="s">
        <v>521</v>
      </c>
      <c r="F151" t="s">
        <v>551</v>
      </c>
      <c r="G151">
        <v>10</v>
      </c>
      <c r="H151">
        <v>89.72</v>
      </c>
    </row>
    <row r="152" spans="1:8">
      <c r="A152" t="s">
        <v>704</v>
      </c>
      <c r="B152" t="s">
        <v>539</v>
      </c>
      <c r="C152" t="s">
        <v>536</v>
      </c>
      <c r="D152" t="s">
        <v>40</v>
      </c>
      <c r="E152" t="s">
        <v>530</v>
      </c>
      <c r="F152" t="s">
        <v>551</v>
      </c>
      <c r="G152">
        <v>10</v>
      </c>
      <c r="H152">
        <v>235.9</v>
      </c>
    </row>
    <row r="153" spans="1:8">
      <c r="A153" t="s">
        <v>705</v>
      </c>
      <c r="B153" t="s">
        <v>547</v>
      </c>
      <c r="C153" t="s">
        <v>410</v>
      </c>
      <c r="D153" t="s">
        <v>40</v>
      </c>
      <c r="E153" t="s">
        <v>530</v>
      </c>
      <c r="F153" t="s">
        <v>526</v>
      </c>
      <c r="G153">
        <v>5</v>
      </c>
      <c r="H153">
        <v>117.48</v>
      </c>
    </row>
    <row r="154" spans="1:8">
      <c r="A154" t="s">
        <v>706</v>
      </c>
      <c r="B154" t="s">
        <v>539</v>
      </c>
      <c r="C154" t="s">
        <v>568</v>
      </c>
      <c r="D154" t="s">
        <v>498</v>
      </c>
      <c r="E154" t="s">
        <v>561</v>
      </c>
      <c r="F154" t="s">
        <v>526</v>
      </c>
      <c r="G154">
        <v>8</v>
      </c>
      <c r="H154">
        <v>169.63</v>
      </c>
    </row>
    <row r="155" spans="1:8">
      <c r="A155" t="s">
        <v>707</v>
      </c>
      <c r="B155" t="s">
        <v>528</v>
      </c>
      <c r="C155" t="s">
        <v>410</v>
      </c>
      <c r="D155" t="s">
        <v>498</v>
      </c>
      <c r="E155" t="s">
        <v>554</v>
      </c>
      <c r="F155" t="s">
        <v>534</v>
      </c>
      <c r="G155">
        <v>9</v>
      </c>
      <c r="H155">
        <v>83.25</v>
      </c>
    </row>
    <row r="156" spans="1:8">
      <c r="A156" t="s">
        <v>708</v>
      </c>
      <c r="B156" t="s">
        <v>571</v>
      </c>
      <c r="C156" t="s">
        <v>464</v>
      </c>
      <c r="D156" t="s">
        <v>490</v>
      </c>
      <c r="E156" t="s">
        <v>572</v>
      </c>
      <c r="F156" t="s">
        <v>549</v>
      </c>
      <c r="G156">
        <v>9</v>
      </c>
      <c r="H156">
        <v>32.53</v>
      </c>
    </row>
    <row r="157" spans="1:8">
      <c r="A157" t="s">
        <v>709</v>
      </c>
      <c r="B157" t="s">
        <v>575</v>
      </c>
      <c r="C157" t="s">
        <v>458</v>
      </c>
      <c r="D157" t="s">
        <v>490</v>
      </c>
      <c r="E157" t="s">
        <v>525</v>
      </c>
      <c r="F157" t="s">
        <v>531</v>
      </c>
      <c r="G157">
        <v>5</v>
      </c>
      <c r="H157">
        <v>273.77999999999997</v>
      </c>
    </row>
    <row r="158" spans="1:8">
      <c r="A158" t="s">
        <v>710</v>
      </c>
      <c r="B158" t="s">
        <v>519</v>
      </c>
      <c r="C158" t="s">
        <v>520</v>
      </c>
      <c r="D158" t="s">
        <v>490</v>
      </c>
      <c r="E158" t="s">
        <v>556</v>
      </c>
      <c r="F158" t="s">
        <v>549</v>
      </c>
      <c r="G158">
        <v>10</v>
      </c>
      <c r="H158">
        <v>207.05</v>
      </c>
    </row>
    <row r="159" spans="1:8">
      <c r="A159" t="s">
        <v>711</v>
      </c>
      <c r="B159" t="s">
        <v>528</v>
      </c>
      <c r="C159" t="s">
        <v>593</v>
      </c>
      <c r="D159" t="s">
        <v>34</v>
      </c>
      <c r="E159" t="s">
        <v>525</v>
      </c>
      <c r="F159" t="s">
        <v>562</v>
      </c>
      <c r="G159">
        <v>5</v>
      </c>
      <c r="H159">
        <v>75.94</v>
      </c>
    </row>
    <row r="160" spans="1:8">
      <c r="A160" t="s">
        <v>712</v>
      </c>
      <c r="B160" t="s">
        <v>578</v>
      </c>
      <c r="C160" t="s">
        <v>593</v>
      </c>
      <c r="D160" t="s">
        <v>498</v>
      </c>
      <c r="E160" t="s">
        <v>556</v>
      </c>
      <c r="F160" t="s">
        <v>562</v>
      </c>
      <c r="G160">
        <v>6</v>
      </c>
      <c r="H160">
        <v>292.64999999999998</v>
      </c>
    </row>
    <row r="161" spans="1:8">
      <c r="A161" t="s">
        <v>713</v>
      </c>
      <c r="B161" t="s">
        <v>578</v>
      </c>
      <c r="C161" t="s">
        <v>529</v>
      </c>
      <c r="D161" t="s">
        <v>40</v>
      </c>
      <c r="E161" t="s">
        <v>554</v>
      </c>
      <c r="F161" t="s">
        <v>526</v>
      </c>
      <c r="G161">
        <v>6</v>
      </c>
      <c r="H161">
        <v>270.19</v>
      </c>
    </row>
    <row r="162" spans="1:8">
      <c r="A162" t="s">
        <v>714</v>
      </c>
      <c r="B162" t="s">
        <v>571</v>
      </c>
      <c r="C162" t="s">
        <v>529</v>
      </c>
      <c r="D162" t="s">
        <v>498</v>
      </c>
      <c r="E162" t="s">
        <v>537</v>
      </c>
      <c r="F162" t="s">
        <v>562</v>
      </c>
      <c r="G162">
        <v>6</v>
      </c>
      <c r="H162">
        <v>78.239999999999995</v>
      </c>
    </row>
    <row r="163" spans="1:8">
      <c r="A163" t="s">
        <v>715</v>
      </c>
      <c r="B163" t="s">
        <v>519</v>
      </c>
      <c r="C163" t="s">
        <v>463</v>
      </c>
      <c r="D163" t="s">
        <v>490</v>
      </c>
      <c r="E163" t="s">
        <v>569</v>
      </c>
      <c r="F163" t="s">
        <v>562</v>
      </c>
      <c r="G163">
        <v>6</v>
      </c>
      <c r="H163">
        <v>299.56</v>
      </c>
    </row>
    <row r="164" spans="1:8">
      <c r="A164" t="s">
        <v>716</v>
      </c>
      <c r="B164" t="s">
        <v>528</v>
      </c>
      <c r="C164" t="s">
        <v>540</v>
      </c>
      <c r="D164" t="s">
        <v>498</v>
      </c>
      <c r="E164" t="s">
        <v>530</v>
      </c>
      <c r="F164" t="s">
        <v>534</v>
      </c>
      <c r="G164">
        <v>1</v>
      </c>
      <c r="H164">
        <v>281.63</v>
      </c>
    </row>
    <row r="165" spans="1:8">
      <c r="A165" t="s">
        <v>717</v>
      </c>
      <c r="B165" t="s">
        <v>575</v>
      </c>
      <c r="C165" t="s">
        <v>410</v>
      </c>
      <c r="D165" t="s">
        <v>490</v>
      </c>
      <c r="E165" t="s">
        <v>556</v>
      </c>
      <c r="F165" t="s">
        <v>557</v>
      </c>
      <c r="G165">
        <v>9</v>
      </c>
      <c r="H165">
        <v>43.13</v>
      </c>
    </row>
    <row r="166" spans="1:8">
      <c r="A166" t="s">
        <v>718</v>
      </c>
      <c r="B166" t="s">
        <v>578</v>
      </c>
      <c r="C166" t="s">
        <v>410</v>
      </c>
      <c r="D166" t="s">
        <v>40</v>
      </c>
      <c r="E166" t="s">
        <v>554</v>
      </c>
      <c r="F166" t="s">
        <v>526</v>
      </c>
      <c r="G166">
        <v>8</v>
      </c>
      <c r="H166">
        <v>204.92</v>
      </c>
    </row>
    <row r="167" spans="1:8">
      <c r="A167" t="s">
        <v>719</v>
      </c>
      <c r="B167" t="s">
        <v>547</v>
      </c>
      <c r="C167" t="s">
        <v>410</v>
      </c>
      <c r="D167" t="s">
        <v>40</v>
      </c>
      <c r="E167" t="s">
        <v>556</v>
      </c>
      <c r="F167" t="s">
        <v>559</v>
      </c>
      <c r="G167">
        <v>2</v>
      </c>
      <c r="H167">
        <v>183.24</v>
      </c>
    </row>
    <row r="168" spans="1:8">
      <c r="A168" t="s">
        <v>720</v>
      </c>
      <c r="B168" t="s">
        <v>539</v>
      </c>
      <c r="C168" t="s">
        <v>585</v>
      </c>
      <c r="D168" t="s">
        <v>34</v>
      </c>
      <c r="E168" t="s">
        <v>556</v>
      </c>
      <c r="F168" t="s">
        <v>526</v>
      </c>
      <c r="G168">
        <v>9</v>
      </c>
      <c r="H168">
        <v>237.98</v>
      </c>
    </row>
    <row r="169" spans="1:8">
      <c r="A169" t="s">
        <v>721</v>
      </c>
      <c r="B169" t="s">
        <v>575</v>
      </c>
      <c r="C169" t="s">
        <v>536</v>
      </c>
      <c r="D169" t="s">
        <v>490</v>
      </c>
      <c r="E169" t="s">
        <v>530</v>
      </c>
      <c r="F169" t="s">
        <v>531</v>
      </c>
      <c r="G169">
        <v>1</v>
      </c>
      <c r="H169">
        <v>97.79</v>
      </c>
    </row>
    <row r="170" spans="1:8">
      <c r="A170" t="s">
        <v>722</v>
      </c>
      <c r="B170" t="s">
        <v>533</v>
      </c>
      <c r="C170" t="s">
        <v>568</v>
      </c>
      <c r="D170" t="s">
        <v>40</v>
      </c>
      <c r="E170" t="s">
        <v>569</v>
      </c>
      <c r="F170" t="s">
        <v>531</v>
      </c>
      <c r="G170">
        <v>9</v>
      </c>
      <c r="H170">
        <v>105.58</v>
      </c>
    </row>
    <row r="171" spans="1:8">
      <c r="A171" t="s">
        <v>723</v>
      </c>
      <c r="B171" t="s">
        <v>547</v>
      </c>
      <c r="C171" t="s">
        <v>529</v>
      </c>
      <c r="D171" t="s">
        <v>490</v>
      </c>
      <c r="E171" t="s">
        <v>525</v>
      </c>
      <c r="F171" t="s">
        <v>562</v>
      </c>
      <c r="G171">
        <v>9</v>
      </c>
      <c r="H171">
        <v>206.31</v>
      </c>
    </row>
    <row r="172" spans="1:8">
      <c r="A172" t="s">
        <v>724</v>
      </c>
      <c r="B172" t="s">
        <v>547</v>
      </c>
      <c r="C172" t="s">
        <v>545</v>
      </c>
      <c r="D172" t="s">
        <v>34</v>
      </c>
      <c r="E172" t="s">
        <v>521</v>
      </c>
      <c r="F172" t="s">
        <v>551</v>
      </c>
      <c r="G172">
        <v>2</v>
      </c>
      <c r="H172">
        <v>243.63</v>
      </c>
    </row>
    <row r="173" spans="1:8">
      <c r="A173" t="s">
        <v>725</v>
      </c>
      <c r="B173" t="s">
        <v>519</v>
      </c>
      <c r="C173" t="s">
        <v>545</v>
      </c>
      <c r="D173" t="s">
        <v>498</v>
      </c>
      <c r="E173" t="s">
        <v>537</v>
      </c>
      <c r="F173" t="s">
        <v>534</v>
      </c>
      <c r="G173">
        <v>10</v>
      </c>
      <c r="H173">
        <v>74.02</v>
      </c>
    </row>
    <row r="174" spans="1:8">
      <c r="A174" t="s">
        <v>726</v>
      </c>
      <c r="B174" t="s">
        <v>547</v>
      </c>
      <c r="C174" t="s">
        <v>585</v>
      </c>
      <c r="D174" t="s">
        <v>498</v>
      </c>
      <c r="E174" t="s">
        <v>530</v>
      </c>
      <c r="F174" t="s">
        <v>526</v>
      </c>
      <c r="G174">
        <v>1</v>
      </c>
      <c r="H174">
        <v>99.46</v>
      </c>
    </row>
    <row r="175" spans="1:8">
      <c r="A175" t="s">
        <v>727</v>
      </c>
      <c r="B175" t="s">
        <v>547</v>
      </c>
      <c r="C175" t="s">
        <v>545</v>
      </c>
      <c r="D175" t="s">
        <v>490</v>
      </c>
      <c r="E175" t="s">
        <v>569</v>
      </c>
      <c r="F175" t="s">
        <v>526</v>
      </c>
      <c r="G175">
        <v>5</v>
      </c>
      <c r="H175">
        <v>284.37</v>
      </c>
    </row>
    <row r="176" spans="1:8">
      <c r="A176" t="s">
        <v>728</v>
      </c>
      <c r="B176" t="s">
        <v>528</v>
      </c>
      <c r="C176" t="s">
        <v>568</v>
      </c>
      <c r="D176" t="s">
        <v>40</v>
      </c>
      <c r="E176" t="s">
        <v>554</v>
      </c>
      <c r="F176" t="s">
        <v>549</v>
      </c>
      <c r="G176">
        <v>10</v>
      </c>
      <c r="H176">
        <v>72.87</v>
      </c>
    </row>
    <row r="177" spans="1:8">
      <c r="A177" t="s">
        <v>729</v>
      </c>
      <c r="B177" t="s">
        <v>547</v>
      </c>
      <c r="C177" t="s">
        <v>458</v>
      </c>
      <c r="D177" t="s">
        <v>34</v>
      </c>
      <c r="E177" t="s">
        <v>525</v>
      </c>
      <c r="F177" t="s">
        <v>526</v>
      </c>
      <c r="G177">
        <v>4</v>
      </c>
      <c r="H177">
        <v>181.3</v>
      </c>
    </row>
    <row r="178" spans="1:8">
      <c r="A178" t="s">
        <v>730</v>
      </c>
      <c r="B178" t="s">
        <v>539</v>
      </c>
      <c r="C178" t="s">
        <v>520</v>
      </c>
      <c r="D178" t="s">
        <v>498</v>
      </c>
      <c r="E178" t="s">
        <v>554</v>
      </c>
      <c r="F178" t="s">
        <v>531</v>
      </c>
      <c r="G178">
        <v>4</v>
      </c>
      <c r="H178">
        <v>74.13</v>
      </c>
    </row>
    <row r="179" spans="1:8">
      <c r="A179" t="s">
        <v>731</v>
      </c>
      <c r="B179" t="s">
        <v>539</v>
      </c>
      <c r="C179" t="s">
        <v>520</v>
      </c>
      <c r="D179" t="s">
        <v>34</v>
      </c>
      <c r="E179" t="s">
        <v>569</v>
      </c>
      <c r="F179" t="s">
        <v>557</v>
      </c>
      <c r="G179">
        <v>5</v>
      </c>
      <c r="H179">
        <v>284.58</v>
      </c>
    </row>
    <row r="180" spans="1:8">
      <c r="A180" t="s">
        <v>732</v>
      </c>
      <c r="B180" t="s">
        <v>519</v>
      </c>
      <c r="C180" t="s">
        <v>410</v>
      </c>
      <c r="D180" t="s">
        <v>40</v>
      </c>
      <c r="E180" t="s">
        <v>548</v>
      </c>
      <c r="F180" t="s">
        <v>522</v>
      </c>
      <c r="G180">
        <v>10</v>
      </c>
      <c r="H180">
        <v>278.69</v>
      </c>
    </row>
    <row r="181" spans="1:8">
      <c r="A181" t="s">
        <v>733</v>
      </c>
      <c r="B181" t="s">
        <v>519</v>
      </c>
      <c r="C181" t="s">
        <v>545</v>
      </c>
      <c r="D181" t="s">
        <v>34</v>
      </c>
      <c r="E181" t="s">
        <v>556</v>
      </c>
      <c r="F181" t="s">
        <v>551</v>
      </c>
      <c r="G181">
        <v>3</v>
      </c>
      <c r="H181">
        <v>27.93</v>
      </c>
    </row>
    <row r="182" spans="1:8">
      <c r="A182" t="s">
        <v>734</v>
      </c>
      <c r="B182" t="s">
        <v>524</v>
      </c>
      <c r="C182" t="s">
        <v>463</v>
      </c>
      <c r="D182" t="s">
        <v>34</v>
      </c>
      <c r="E182" t="s">
        <v>530</v>
      </c>
      <c r="F182" t="s">
        <v>557</v>
      </c>
      <c r="G182">
        <v>1</v>
      </c>
      <c r="H182">
        <v>61.67</v>
      </c>
    </row>
    <row r="183" spans="1:8">
      <c r="A183" t="s">
        <v>735</v>
      </c>
      <c r="B183" t="s">
        <v>524</v>
      </c>
      <c r="C183" t="s">
        <v>410</v>
      </c>
      <c r="D183" t="s">
        <v>490</v>
      </c>
      <c r="E183" t="s">
        <v>537</v>
      </c>
      <c r="F183" t="s">
        <v>531</v>
      </c>
      <c r="G183">
        <v>3</v>
      </c>
      <c r="H183">
        <v>46.5</v>
      </c>
    </row>
    <row r="184" spans="1:8">
      <c r="A184" t="s">
        <v>736</v>
      </c>
      <c r="B184" t="s">
        <v>571</v>
      </c>
      <c r="C184" t="s">
        <v>585</v>
      </c>
      <c r="D184" t="s">
        <v>490</v>
      </c>
      <c r="E184" t="s">
        <v>554</v>
      </c>
      <c r="F184" t="s">
        <v>522</v>
      </c>
      <c r="G184">
        <v>5</v>
      </c>
      <c r="H184">
        <v>78.680000000000007</v>
      </c>
    </row>
    <row r="185" spans="1:8">
      <c r="A185" t="s">
        <v>737</v>
      </c>
      <c r="B185" t="s">
        <v>543</v>
      </c>
      <c r="C185" t="s">
        <v>593</v>
      </c>
      <c r="D185" t="s">
        <v>498</v>
      </c>
      <c r="E185" t="s">
        <v>554</v>
      </c>
      <c r="F185" t="s">
        <v>549</v>
      </c>
      <c r="G185">
        <v>6</v>
      </c>
      <c r="H185">
        <v>102.48</v>
      </c>
    </row>
    <row r="186" spans="1:8">
      <c r="A186" t="s">
        <v>738</v>
      </c>
      <c r="B186" t="s">
        <v>571</v>
      </c>
      <c r="C186" t="s">
        <v>529</v>
      </c>
      <c r="D186" t="s">
        <v>34</v>
      </c>
      <c r="E186" t="s">
        <v>561</v>
      </c>
      <c r="F186" t="s">
        <v>551</v>
      </c>
      <c r="G186">
        <v>1</v>
      </c>
      <c r="H186">
        <v>248.7</v>
      </c>
    </row>
    <row r="187" spans="1:8">
      <c r="A187" t="s">
        <v>739</v>
      </c>
      <c r="B187" t="s">
        <v>533</v>
      </c>
      <c r="C187" t="s">
        <v>458</v>
      </c>
      <c r="D187" t="s">
        <v>40</v>
      </c>
      <c r="E187" t="s">
        <v>561</v>
      </c>
      <c r="F187" t="s">
        <v>541</v>
      </c>
      <c r="G187">
        <v>8</v>
      </c>
      <c r="H187">
        <v>233.43</v>
      </c>
    </row>
    <row r="188" spans="1:8">
      <c r="A188" t="s">
        <v>740</v>
      </c>
      <c r="B188" t="s">
        <v>539</v>
      </c>
      <c r="C188" t="s">
        <v>410</v>
      </c>
      <c r="D188" t="s">
        <v>34</v>
      </c>
      <c r="E188" t="s">
        <v>530</v>
      </c>
      <c r="F188" t="s">
        <v>559</v>
      </c>
      <c r="G188">
        <v>9</v>
      </c>
      <c r="H188">
        <v>97.95</v>
      </c>
    </row>
    <row r="189" spans="1:8">
      <c r="A189" t="s">
        <v>741</v>
      </c>
      <c r="B189" t="s">
        <v>539</v>
      </c>
      <c r="C189" t="s">
        <v>585</v>
      </c>
      <c r="D189" t="s">
        <v>490</v>
      </c>
      <c r="E189" t="s">
        <v>572</v>
      </c>
      <c r="F189" t="s">
        <v>559</v>
      </c>
      <c r="G189">
        <v>8</v>
      </c>
      <c r="H189">
        <v>196.57</v>
      </c>
    </row>
    <row r="190" spans="1:8">
      <c r="A190" t="s">
        <v>742</v>
      </c>
      <c r="B190" t="s">
        <v>524</v>
      </c>
      <c r="C190" t="s">
        <v>540</v>
      </c>
      <c r="D190" t="s">
        <v>34</v>
      </c>
      <c r="E190" t="s">
        <v>525</v>
      </c>
      <c r="F190" t="s">
        <v>557</v>
      </c>
      <c r="G190">
        <v>6</v>
      </c>
      <c r="H190">
        <v>130.05000000000001</v>
      </c>
    </row>
    <row r="191" spans="1:8">
      <c r="A191" t="s">
        <v>743</v>
      </c>
      <c r="B191" t="s">
        <v>539</v>
      </c>
      <c r="C191" t="s">
        <v>458</v>
      </c>
      <c r="D191" t="s">
        <v>34</v>
      </c>
      <c r="E191" t="s">
        <v>572</v>
      </c>
      <c r="F191" t="s">
        <v>549</v>
      </c>
      <c r="G191">
        <v>6</v>
      </c>
      <c r="H191">
        <v>266.79000000000002</v>
      </c>
    </row>
    <row r="192" spans="1:8">
      <c r="A192" t="s">
        <v>744</v>
      </c>
      <c r="B192" t="s">
        <v>533</v>
      </c>
      <c r="C192" t="s">
        <v>529</v>
      </c>
      <c r="D192" t="s">
        <v>40</v>
      </c>
      <c r="E192" t="s">
        <v>556</v>
      </c>
      <c r="F192" t="s">
        <v>559</v>
      </c>
      <c r="G192">
        <v>3</v>
      </c>
      <c r="H192">
        <v>126.04</v>
      </c>
    </row>
    <row r="193" spans="1:8">
      <c r="A193" t="s">
        <v>745</v>
      </c>
      <c r="B193" t="s">
        <v>524</v>
      </c>
      <c r="C193" t="s">
        <v>545</v>
      </c>
      <c r="D193" t="s">
        <v>498</v>
      </c>
      <c r="E193" t="s">
        <v>537</v>
      </c>
      <c r="F193" t="s">
        <v>559</v>
      </c>
      <c r="G193">
        <v>7</v>
      </c>
      <c r="H193">
        <v>254.51</v>
      </c>
    </row>
    <row r="194" spans="1:8">
      <c r="A194" t="s">
        <v>746</v>
      </c>
      <c r="B194" t="s">
        <v>528</v>
      </c>
      <c r="C194" t="s">
        <v>520</v>
      </c>
      <c r="D194" t="s">
        <v>34</v>
      </c>
      <c r="E194" t="s">
        <v>530</v>
      </c>
      <c r="F194" t="s">
        <v>522</v>
      </c>
      <c r="G194">
        <v>10</v>
      </c>
      <c r="H194">
        <v>229.23</v>
      </c>
    </row>
    <row r="195" spans="1:8">
      <c r="A195" t="s">
        <v>747</v>
      </c>
      <c r="B195" t="s">
        <v>524</v>
      </c>
      <c r="C195" t="s">
        <v>464</v>
      </c>
      <c r="D195" t="s">
        <v>40</v>
      </c>
      <c r="E195" t="s">
        <v>530</v>
      </c>
      <c r="F195" t="s">
        <v>549</v>
      </c>
      <c r="G195">
        <v>2</v>
      </c>
      <c r="H195">
        <v>219.68</v>
      </c>
    </row>
    <row r="196" spans="1:8">
      <c r="A196" t="s">
        <v>748</v>
      </c>
      <c r="B196" t="s">
        <v>575</v>
      </c>
      <c r="C196" t="s">
        <v>520</v>
      </c>
      <c r="D196" t="s">
        <v>490</v>
      </c>
      <c r="E196" t="s">
        <v>521</v>
      </c>
      <c r="F196" t="s">
        <v>526</v>
      </c>
      <c r="G196">
        <v>1</v>
      </c>
      <c r="H196">
        <v>25.29</v>
      </c>
    </row>
    <row r="197" spans="1:8">
      <c r="A197" t="s">
        <v>749</v>
      </c>
      <c r="B197" t="s">
        <v>575</v>
      </c>
      <c r="C197" t="s">
        <v>585</v>
      </c>
      <c r="D197" t="s">
        <v>490</v>
      </c>
      <c r="E197" t="s">
        <v>525</v>
      </c>
      <c r="F197" t="s">
        <v>559</v>
      </c>
      <c r="G197">
        <v>9</v>
      </c>
      <c r="H197">
        <v>23.62</v>
      </c>
    </row>
    <row r="198" spans="1:8">
      <c r="A198" t="s">
        <v>750</v>
      </c>
      <c r="B198" t="s">
        <v>547</v>
      </c>
      <c r="C198" t="s">
        <v>520</v>
      </c>
      <c r="D198" t="s">
        <v>498</v>
      </c>
      <c r="E198" t="s">
        <v>537</v>
      </c>
      <c r="F198" t="s">
        <v>526</v>
      </c>
      <c r="G198">
        <v>2</v>
      </c>
      <c r="H198">
        <v>174.12</v>
      </c>
    </row>
    <row r="199" spans="1:8">
      <c r="A199" t="s">
        <v>751</v>
      </c>
      <c r="B199" t="s">
        <v>533</v>
      </c>
      <c r="C199" t="s">
        <v>540</v>
      </c>
      <c r="D199" t="s">
        <v>490</v>
      </c>
      <c r="E199" t="s">
        <v>525</v>
      </c>
      <c r="F199" t="s">
        <v>557</v>
      </c>
      <c r="G199">
        <v>9</v>
      </c>
      <c r="H199">
        <v>88.04</v>
      </c>
    </row>
    <row r="200" spans="1:8">
      <c r="A200" t="s">
        <v>752</v>
      </c>
      <c r="B200" t="s">
        <v>533</v>
      </c>
      <c r="C200" t="s">
        <v>463</v>
      </c>
      <c r="D200" t="s">
        <v>490</v>
      </c>
      <c r="E200" t="s">
        <v>554</v>
      </c>
      <c r="F200" t="s">
        <v>559</v>
      </c>
      <c r="G200">
        <v>7</v>
      </c>
      <c r="H200">
        <v>137.72999999999999</v>
      </c>
    </row>
    <row r="201" spans="1:8">
      <c r="A201" t="s">
        <v>753</v>
      </c>
      <c r="B201" t="s">
        <v>539</v>
      </c>
      <c r="C201" t="s">
        <v>464</v>
      </c>
      <c r="D201" t="s">
        <v>498</v>
      </c>
      <c r="E201" t="s">
        <v>548</v>
      </c>
      <c r="F201" t="s">
        <v>534</v>
      </c>
      <c r="G201">
        <v>1</v>
      </c>
      <c r="H201">
        <v>253.53</v>
      </c>
    </row>
    <row r="202" spans="1:8">
      <c r="A202" t="s">
        <v>754</v>
      </c>
      <c r="B202" t="s">
        <v>578</v>
      </c>
      <c r="C202" t="s">
        <v>585</v>
      </c>
      <c r="D202" t="s">
        <v>34</v>
      </c>
      <c r="E202" t="s">
        <v>521</v>
      </c>
      <c r="F202" t="s">
        <v>522</v>
      </c>
      <c r="G202">
        <v>8</v>
      </c>
      <c r="H202">
        <v>28.8</v>
      </c>
    </row>
    <row r="203" spans="1:8">
      <c r="A203" t="s">
        <v>755</v>
      </c>
      <c r="B203" t="s">
        <v>533</v>
      </c>
      <c r="C203" t="s">
        <v>540</v>
      </c>
      <c r="D203" t="s">
        <v>40</v>
      </c>
      <c r="E203" t="s">
        <v>537</v>
      </c>
      <c r="F203" t="s">
        <v>562</v>
      </c>
      <c r="G203">
        <v>2</v>
      </c>
      <c r="H203">
        <v>55.57</v>
      </c>
    </row>
    <row r="204" spans="1:8">
      <c r="A204" t="s">
        <v>756</v>
      </c>
      <c r="B204" t="s">
        <v>519</v>
      </c>
      <c r="C204" t="s">
        <v>463</v>
      </c>
      <c r="D204" t="s">
        <v>498</v>
      </c>
      <c r="E204" t="s">
        <v>561</v>
      </c>
      <c r="F204" t="s">
        <v>549</v>
      </c>
      <c r="G204">
        <v>2</v>
      </c>
      <c r="H204">
        <v>268.74</v>
      </c>
    </row>
    <row r="205" spans="1:8">
      <c r="A205" t="s">
        <v>757</v>
      </c>
      <c r="B205" t="s">
        <v>571</v>
      </c>
      <c r="C205" t="s">
        <v>529</v>
      </c>
      <c r="D205" t="s">
        <v>490</v>
      </c>
      <c r="E205" t="s">
        <v>548</v>
      </c>
      <c r="F205" t="s">
        <v>559</v>
      </c>
      <c r="G205">
        <v>5</v>
      </c>
      <c r="H205">
        <v>164.92</v>
      </c>
    </row>
    <row r="206" spans="1:8">
      <c r="A206" t="s">
        <v>758</v>
      </c>
      <c r="B206" t="s">
        <v>539</v>
      </c>
      <c r="C206" t="s">
        <v>540</v>
      </c>
      <c r="D206" t="s">
        <v>34</v>
      </c>
      <c r="E206" t="s">
        <v>537</v>
      </c>
      <c r="F206" t="s">
        <v>557</v>
      </c>
      <c r="G206">
        <v>4</v>
      </c>
      <c r="H206">
        <v>50.31</v>
      </c>
    </row>
    <row r="207" spans="1:8">
      <c r="A207" t="s">
        <v>759</v>
      </c>
      <c r="B207" t="s">
        <v>519</v>
      </c>
      <c r="C207" t="s">
        <v>585</v>
      </c>
      <c r="D207" t="s">
        <v>498</v>
      </c>
      <c r="E207" t="s">
        <v>554</v>
      </c>
      <c r="F207" t="s">
        <v>534</v>
      </c>
      <c r="G207">
        <v>6</v>
      </c>
      <c r="H207">
        <v>42.9</v>
      </c>
    </row>
    <row r="208" spans="1:8">
      <c r="A208" t="s">
        <v>760</v>
      </c>
      <c r="B208" t="s">
        <v>524</v>
      </c>
      <c r="C208" t="s">
        <v>410</v>
      </c>
      <c r="D208" t="s">
        <v>40</v>
      </c>
      <c r="E208" t="s">
        <v>537</v>
      </c>
      <c r="F208" t="s">
        <v>557</v>
      </c>
      <c r="G208">
        <v>8</v>
      </c>
      <c r="H208">
        <v>219.17</v>
      </c>
    </row>
    <row r="209" spans="1:8">
      <c r="A209" t="s">
        <v>761</v>
      </c>
      <c r="B209" t="s">
        <v>575</v>
      </c>
      <c r="C209" t="s">
        <v>410</v>
      </c>
      <c r="D209" t="s">
        <v>490</v>
      </c>
      <c r="E209" t="s">
        <v>521</v>
      </c>
      <c r="F209" t="s">
        <v>559</v>
      </c>
      <c r="G209">
        <v>8</v>
      </c>
      <c r="H209">
        <v>32.520000000000003</v>
      </c>
    </row>
    <row r="210" spans="1:8">
      <c r="A210" t="s">
        <v>762</v>
      </c>
      <c r="B210" t="s">
        <v>539</v>
      </c>
      <c r="C210" t="s">
        <v>545</v>
      </c>
      <c r="D210" t="s">
        <v>498</v>
      </c>
      <c r="E210" t="s">
        <v>554</v>
      </c>
      <c r="F210" t="s">
        <v>522</v>
      </c>
      <c r="G210">
        <v>7</v>
      </c>
      <c r="H210">
        <v>266.82</v>
      </c>
    </row>
    <row r="211" spans="1:8">
      <c r="A211" t="s">
        <v>763</v>
      </c>
      <c r="B211" t="s">
        <v>578</v>
      </c>
      <c r="C211" t="s">
        <v>536</v>
      </c>
      <c r="D211" t="s">
        <v>34</v>
      </c>
      <c r="E211" t="s">
        <v>548</v>
      </c>
      <c r="F211" t="s">
        <v>531</v>
      </c>
      <c r="G211">
        <v>9</v>
      </c>
      <c r="H211">
        <v>111.21</v>
      </c>
    </row>
    <row r="212" spans="1:8">
      <c r="A212" t="s">
        <v>764</v>
      </c>
      <c r="B212" t="s">
        <v>533</v>
      </c>
      <c r="C212" t="s">
        <v>458</v>
      </c>
      <c r="D212" t="s">
        <v>490</v>
      </c>
      <c r="E212" t="s">
        <v>530</v>
      </c>
      <c r="F212" t="s">
        <v>551</v>
      </c>
      <c r="G212">
        <v>10</v>
      </c>
      <c r="H212">
        <v>256.51</v>
      </c>
    </row>
    <row r="213" spans="1:8">
      <c r="A213" t="s">
        <v>765</v>
      </c>
      <c r="B213" t="s">
        <v>578</v>
      </c>
      <c r="C213" t="s">
        <v>568</v>
      </c>
      <c r="D213" t="s">
        <v>34</v>
      </c>
      <c r="E213" t="s">
        <v>537</v>
      </c>
      <c r="F213" t="s">
        <v>559</v>
      </c>
      <c r="G213">
        <v>6</v>
      </c>
      <c r="H213">
        <v>276.42</v>
      </c>
    </row>
    <row r="214" spans="1:8">
      <c r="A214" t="s">
        <v>766</v>
      </c>
      <c r="B214" t="s">
        <v>547</v>
      </c>
      <c r="C214" t="s">
        <v>593</v>
      </c>
      <c r="D214" t="s">
        <v>40</v>
      </c>
      <c r="E214" t="s">
        <v>521</v>
      </c>
      <c r="F214" t="s">
        <v>534</v>
      </c>
      <c r="G214">
        <v>7</v>
      </c>
      <c r="H214">
        <v>67.010000000000005</v>
      </c>
    </row>
    <row r="215" spans="1:8">
      <c r="A215" t="s">
        <v>767</v>
      </c>
      <c r="B215" t="s">
        <v>533</v>
      </c>
      <c r="C215" t="s">
        <v>520</v>
      </c>
      <c r="D215" t="s">
        <v>490</v>
      </c>
      <c r="E215" t="s">
        <v>521</v>
      </c>
      <c r="F215" t="s">
        <v>549</v>
      </c>
      <c r="G215">
        <v>8</v>
      </c>
      <c r="H215">
        <v>55.01</v>
      </c>
    </row>
    <row r="216" spans="1:8">
      <c r="A216" t="s">
        <v>768</v>
      </c>
      <c r="B216" t="s">
        <v>543</v>
      </c>
      <c r="C216" t="s">
        <v>529</v>
      </c>
      <c r="D216" t="s">
        <v>34</v>
      </c>
      <c r="E216" t="s">
        <v>530</v>
      </c>
      <c r="F216" t="s">
        <v>562</v>
      </c>
      <c r="G216">
        <v>6</v>
      </c>
      <c r="H216">
        <v>242.74</v>
      </c>
    </row>
    <row r="217" spans="1:8">
      <c r="A217" t="s">
        <v>769</v>
      </c>
      <c r="B217" t="s">
        <v>524</v>
      </c>
      <c r="C217" t="s">
        <v>463</v>
      </c>
      <c r="D217" t="s">
        <v>498</v>
      </c>
      <c r="E217" t="s">
        <v>556</v>
      </c>
      <c r="F217" t="s">
        <v>541</v>
      </c>
      <c r="G217">
        <v>6</v>
      </c>
      <c r="H217">
        <v>222.55</v>
      </c>
    </row>
    <row r="218" spans="1:8">
      <c r="A218" t="s">
        <v>770</v>
      </c>
      <c r="B218" t="s">
        <v>547</v>
      </c>
      <c r="C218" t="s">
        <v>593</v>
      </c>
      <c r="D218" t="s">
        <v>490</v>
      </c>
      <c r="E218" t="s">
        <v>548</v>
      </c>
      <c r="F218" t="s">
        <v>559</v>
      </c>
      <c r="G218">
        <v>2</v>
      </c>
      <c r="H218">
        <v>201.63</v>
      </c>
    </row>
    <row r="219" spans="1:8">
      <c r="A219" t="s">
        <v>771</v>
      </c>
      <c r="B219" t="s">
        <v>547</v>
      </c>
      <c r="C219" t="s">
        <v>545</v>
      </c>
      <c r="D219" t="s">
        <v>40</v>
      </c>
      <c r="E219" t="s">
        <v>548</v>
      </c>
      <c r="F219" t="s">
        <v>557</v>
      </c>
      <c r="G219">
        <v>3</v>
      </c>
      <c r="H219">
        <v>94.02</v>
      </c>
    </row>
    <row r="220" spans="1:8">
      <c r="A220" t="s">
        <v>772</v>
      </c>
      <c r="B220" t="s">
        <v>539</v>
      </c>
      <c r="C220" t="s">
        <v>536</v>
      </c>
      <c r="D220" t="s">
        <v>490</v>
      </c>
      <c r="E220" t="s">
        <v>572</v>
      </c>
      <c r="F220" t="s">
        <v>534</v>
      </c>
      <c r="G220">
        <v>1</v>
      </c>
      <c r="H220">
        <v>271.14999999999998</v>
      </c>
    </row>
    <row r="221" spans="1:8">
      <c r="A221" t="s">
        <v>773</v>
      </c>
      <c r="B221" t="s">
        <v>575</v>
      </c>
      <c r="C221" t="s">
        <v>464</v>
      </c>
      <c r="D221" t="s">
        <v>34</v>
      </c>
      <c r="E221" t="s">
        <v>521</v>
      </c>
      <c r="F221" t="s">
        <v>531</v>
      </c>
      <c r="G221">
        <v>8</v>
      </c>
      <c r="H221">
        <v>129.94</v>
      </c>
    </row>
    <row r="222" spans="1:8">
      <c r="A222" t="s">
        <v>774</v>
      </c>
      <c r="B222" t="s">
        <v>519</v>
      </c>
      <c r="C222" t="s">
        <v>536</v>
      </c>
      <c r="D222" t="s">
        <v>40</v>
      </c>
      <c r="E222" t="s">
        <v>556</v>
      </c>
      <c r="F222" t="s">
        <v>551</v>
      </c>
      <c r="G222">
        <v>7</v>
      </c>
      <c r="H222">
        <v>227.92</v>
      </c>
    </row>
    <row r="223" spans="1:8">
      <c r="A223" t="s">
        <v>775</v>
      </c>
      <c r="B223" t="s">
        <v>524</v>
      </c>
      <c r="C223" t="s">
        <v>520</v>
      </c>
      <c r="D223" t="s">
        <v>498</v>
      </c>
      <c r="E223" t="s">
        <v>572</v>
      </c>
      <c r="F223" t="s">
        <v>541</v>
      </c>
      <c r="G223">
        <v>2</v>
      </c>
      <c r="H223">
        <v>250.5</v>
      </c>
    </row>
    <row r="224" spans="1:8">
      <c r="A224" t="s">
        <v>776</v>
      </c>
      <c r="B224" t="s">
        <v>533</v>
      </c>
      <c r="C224" t="s">
        <v>540</v>
      </c>
      <c r="D224" t="s">
        <v>40</v>
      </c>
      <c r="E224" t="s">
        <v>537</v>
      </c>
      <c r="F224" t="s">
        <v>531</v>
      </c>
      <c r="G224">
        <v>4</v>
      </c>
      <c r="H224">
        <v>30.13</v>
      </c>
    </row>
    <row r="225" spans="1:8">
      <c r="A225" t="s">
        <v>777</v>
      </c>
      <c r="B225" t="s">
        <v>547</v>
      </c>
      <c r="C225" t="s">
        <v>464</v>
      </c>
      <c r="D225" t="s">
        <v>34</v>
      </c>
      <c r="E225" t="s">
        <v>525</v>
      </c>
      <c r="F225" t="s">
        <v>526</v>
      </c>
      <c r="G225">
        <v>7</v>
      </c>
      <c r="H225">
        <v>58.21</v>
      </c>
    </row>
    <row r="226" spans="1:8">
      <c r="A226" t="s">
        <v>778</v>
      </c>
      <c r="B226" t="s">
        <v>547</v>
      </c>
      <c r="C226" t="s">
        <v>410</v>
      </c>
      <c r="D226" t="s">
        <v>34</v>
      </c>
      <c r="E226" t="s">
        <v>548</v>
      </c>
      <c r="F226" t="s">
        <v>549</v>
      </c>
      <c r="G226">
        <v>5</v>
      </c>
      <c r="H226">
        <v>71.23</v>
      </c>
    </row>
    <row r="227" spans="1:8">
      <c r="A227" t="s">
        <v>779</v>
      </c>
      <c r="B227" t="s">
        <v>543</v>
      </c>
      <c r="C227" t="s">
        <v>536</v>
      </c>
      <c r="D227" t="s">
        <v>40</v>
      </c>
      <c r="E227" t="s">
        <v>572</v>
      </c>
      <c r="F227" t="s">
        <v>522</v>
      </c>
      <c r="G227">
        <v>1</v>
      </c>
      <c r="H227">
        <v>210.62</v>
      </c>
    </row>
    <row r="228" spans="1:8">
      <c r="A228" t="s">
        <v>780</v>
      </c>
      <c r="B228" t="s">
        <v>575</v>
      </c>
      <c r="C228" t="s">
        <v>540</v>
      </c>
      <c r="D228" t="s">
        <v>490</v>
      </c>
      <c r="E228" t="s">
        <v>521</v>
      </c>
      <c r="F228" t="s">
        <v>526</v>
      </c>
      <c r="G228">
        <v>5</v>
      </c>
      <c r="H228">
        <v>176.47</v>
      </c>
    </row>
    <row r="229" spans="1:8">
      <c r="A229" t="s">
        <v>781</v>
      </c>
      <c r="B229" t="s">
        <v>575</v>
      </c>
      <c r="C229" t="s">
        <v>540</v>
      </c>
      <c r="D229" t="s">
        <v>490</v>
      </c>
      <c r="E229" t="s">
        <v>556</v>
      </c>
      <c r="F229" t="s">
        <v>559</v>
      </c>
      <c r="G229">
        <v>5</v>
      </c>
      <c r="H229">
        <v>282.45999999999998</v>
      </c>
    </row>
    <row r="230" spans="1:8">
      <c r="A230" t="s">
        <v>782</v>
      </c>
      <c r="B230" t="s">
        <v>575</v>
      </c>
      <c r="C230" t="s">
        <v>585</v>
      </c>
      <c r="D230" t="s">
        <v>490</v>
      </c>
      <c r="E230" t="s">
        <v>554</v>
      </c>
      <c r="F230" t="s">
        <v>559</v>
      </c>
      <c r="G230">
        <v>9</v>
      </c>
      <c r="H230">
        <v>131.79</v>
      </c>
    </row>
    <row r="231" spans="1:8">
      <c r="A231" t="s">
        <v>783</v>
      </c>
      <c r="B231" t="s">
        <v>524</v>
      </c>
      <c r="C231" t="s">
        <v>529</v>
      </c>
      <c r="D231" t="s">
        <v>498</v>
      </c>
      <c r="E231" t="s">
        <v>554</v>
      </c>
      <c r="F231" t="s">
        <v>562</v>
      </c>
      <c r="G231">
        <v>6</v>
      </c>
      <c r="H231">
        <v>246.48</v>
      </c>
    </row>
    <row r="232" spans="1:8">
      <c r="A232" t="s">
        <v>784</v>
      </c>
      <c r="B232" t="s">
        <v>543</v>
      </c>
      <c r="C232" t="s">
        <v>568</v>
      </c>
      <c r="D232" t="s">
        <v>498</v>
      </c>
      <c r="E232" t="s">
        <v>556</v>
      </c>
      <c r="F232" t="s">
        <v>551</v>
      </c>
      <c r="G232">
        <v>5</v>
      </c>
      <c r="H232">
        <v>207.07</v>
      </c>
    </row>
    <row r="233" spans="1:8">
      <c r="A233" t="s">
        <v>785</v>
      </c>
      <c r="B233" t="s">
        <v>539</v>
      </c>
      <c r="C233" t="s">
        <v>529</v>
      </c>
      <c r="D233" t="s">
        <v>498</v>
      </c>
      <c r="E233" t="s">
        <v>572</v>
      </c>
      <c r="F233" t="s">
        <v>534</v>
      </c>
      <c r="G233">
        <v>3</v>
      </c>
      <c r="H233">
        <v>40.72</v>
      </c>
    </row>
    <row r="234" spans="1:8">
      <c r="A234" t="s">
        <v>786</v>
      </c>
      <c r="B234" t="s">
        <v>575</v>
      </c>
      <c r="C234" t="s">
        <v>540</v>
      </c>
      <c r="D234" t="s">
        <v>498</v>
      </c>
      <c r="E234" t="s">
        <v>548</v>
      </c>
      <c r="F234" t="s">
        <v>531</v>
      </c>
      <c r="G234">
        <v>7</v>
      </c>
      <c r="H234">
        <v>208.63</v>
      </c>
    </row>
    <row r="235" spans="1:8">
      <c r="A235" t="s">
        <v>787</v>
      </c>
      <c r="B235" t="s">
        <v>533</v>
      </c>
      <c r="C235" t="s">
        <v>463</v>
      </c>
      <c r="D235" t="s">
        <v>498</v>
      </c>
      <c r="E235" t="s">
        <v>548</v>
      </c>
      <c r="F235" t="s">
        <v>551</v>
      </c>
      <c r="G235">
        <v>2</v>
      </c>
      <c r="H235">
        <v>153.4</v>
      </c>
    </row>
    <row r="236" spans="1:8">
      <c r="A236" t="s">
        <v>788</v>
      </c>
      <c r="B236" t="s">
        <v>571</v>
      </c>
      <c r="C236" t="s">
        <v>585</v>
      </c>
      <c r="D236" t="s">
        <v>490</v>
      </c>
      <c r="E236" t="s">
        <v>525</v>
      </c>
      <c r="F236" t="s">
        <v>526</v>
      </c>
      <c r="G236">
        <v>5</v>
      </c>
      <c r="H236">
        <v>257.22000000000003</v>
      </c>
    </row>
    <row r="237" spans="1:8">
      <c r="A237" t="s">
        <v>789</v>
      </c>
      <c r="B237" t="s">
        <v>575</v>
      </c>
      <c r="C237" t="s">
        <v>540</v>
      </c>
      <c r="D237" t="s">
        <v>498</v>
      </c>
      <c r="E237" t="s">
        <v>572</v>
      </c>
      <c r="F237" t="s">
        <v>562</v>
      </c>
      <c r="G237">
        <v>4</v>
      </c>
      <c r="H237">
        <v>45.76</v>
      </c>
    </row>
    <row r="238" spans="1:8">
      <c r="A238" t="s">
        <v>790</v>
      </c>
      <c r="B238" t="s">
        <v>528</v>
      </c>
      <c r="C238" t="s">
        <v>410</v>
      </c>
      <c r="D238" t="s">
        <v>490</v>
      </c>
      <c r="E238" t="s">
        <v>569</v>
      </c>
      <c r="F238" t="s">
        <v>534</v>
      </c>
      <c r="G238">
        <v>5</v>
      </c>
      <c r="H238">
        <v>186</v>
      </c>
    </row>
    <row r="239" spans="1:8">
      <c r="A239" t="s">
        <v>791</v>
      </c>
      <c r="B239" t="s">
        <v>528</v>
      </c>
      <c r="C239" t="s">
        <v>520</v>
      </c>
      <c r="D239" t="s">
        <v>34</v>
      </c>
      <c r="E239" t="s">
        <v>530</v>
      </c>
      <c r="F239" t="s">
        <v>551</v>
      </c>
      <c r="G239">
        <v>2</v>
      </c>
      <c r="H239">
        <v>280.19</v>
      </c>
    </row>
    <row r="240" spans="1:8">
      <c r="A240" t="s">
        <v>792</v>
      </c>
      <c r="B240" t="s">
        <v>519</v>
      </c>
      <c r="C240" t="s">
        <v>520</v>
      </c>
      <c r="D240" t="s">
        <v>498</v>
      </c>
      <c r="E240" t="s">
        <v>525</v>
      </c>
      <c r="F240" t="s">
        <v>534</v>
      </c>
      <c r="G240">
        <v>6</v>
      </c>
      <c r="H240">
        <v>81.400000000000006</v>
      </c>
    </row>
    <row r="241" spans="1:8">
      <c r="A241" t="s">
        <v>793</v>
      </c>
      <c r="B241" t="s">
        <v>547</v>
      </c>
      <c r="C241" t="s">
        <v>536</v>
      </c>
      <c r="D241" t="s">
        <v>34</v>
      </c>
      <c r="E241" t="s">
        <v>561</v>
      </c>
      <c r="F241" t="s">
        <v>534</v>
      </c>
      <c r="G241">
        <v>7</v>
      </c>
      <c r="H241">
        <v>41.55</v>
      </c>
    </row>
    <row r="242" spans="1:8">
      <c r="A242" t="s">
        <v>794</v>
      </c>
      <c r="B242" t="s">
        <v>571</v>
      </c>
      <c r="C242" t="s">
        <v>585</v>
      </c>
      <c r="D242" t="s">
        <v>34</v>
      </c>
      <c r="E242" t="s">
        <v>521</v>
      </c>
      <c r="F242" t="s">
        <v>551</v>
      </c>
      <c r="G242">
        <v>7</v>
      </c>
      <c r="H242">
        <v>267.5</v>
      </c>
    </row>
    <row r="243" spans="1:8">
      <c r="A243" t="s">
        <v>795</v>
      </c>
      <c r="B243" t="s">
        <v>528</v>
      </c>
      <c r="C243" t="s">
        <v>520</v>
      </c>
      <c r="D243" t="s">
        <v>498</v>
      </c>
      <c r="E243" t="s">
        <v>556</v>
      </c>
      <c r="F243" t="s">
        <v>526</v>
      </c>
      <c r="G243">
        <v>5</v>
      </c>
      <c r="H243">
        <v>63.39</v>
      </c>
    </row>
    <row r="244" spans="1:8">
      <c r="A244" t="s">
        <v>796</v>
      </c>
      <c r="B244" t="s">
        <v>533</v>
      </c>
      <c r="C244" t="s">
        <v>410</v>
      </c>
      <c r="D244" t="s">
        <v>34</v>
      </c>
      <c r="E244" t="s">
        <v>556</v>
      </c>
      <c r="F244" t="s">
        <v>557</v>
      </c>
      <c r="G244">
        <v>1</v>
      </c>
      <c r="H244">
        <v>235.91</v>
      </c>
    </row>
    <row r="245" spans="1:8">
      <c r="A245" t="s">
        <v>797</v>
      </c>
      <c r="B245" t="s">
        <v>524</v>
      </c>
      <c r="C245" t="s">
        <v>545</v>
      </c>
      <c r="D245" t="s">
        <v>498</v>
      </c>
      <c r="E245" t="s">
        <v>569</v>
      </c>
      <c r="F245" t="s">
        <v>562</v>
      </c>
      <c r="G245">
        <v>1</v>
      </c>
      <c r="H245">
        <v>288.95</v>
      </c>
    </row>
    <row r="246" spans="1:8">
      <c r="A246" t="s">
        <v>798</v>
      </c>
      <c r="B246" t="s">
        <v>524</v>
      </c>
      <c r="C246" t="s">
        <v>540</v>
      </c>
      <c r="D246" t="s">
        <v>40</v>
      </c>
      <c r="E246" t="s">
        <v>569</v>
      </c>
      <c r="F246" t="s">
        <v>526</v>
      </c>
      <c r="G246">
        <v>3</v>
      </c>
      <c r="H246">
        <v>53.12</v>
      </c>
    </row>
    <row r="247" spans="1:8">
      <c r="A247" t="s">
        <v>799</v>
      </c>
      <c r="B247" t="s">
        <v>547</v>
      </c>
      <c r="C247" t="s">
        <v>536</v>
      </c>
      <c r="D247" t="s">
        <v>40</v>
      </c>
      <c r="E247" t="s">
        <v>561</v>
      </c>
      <c r="F247" t="s">
        <v>549</v>
      </c>
      <c r="G247">
        <v>2</v>
      </c>
      <c r="H247">
        <v>47.61</v>
      </c>
    </row>
    <row r="248" spans="1:8">
      <c r="A248" t="s">
        <v>800</v>
      </c>
      <c r="B248" t="s">
        <v>575</v>
      </c>
      <c r="C248" t="s">
        <v>593</v>
      </c>
      <c r="D248" t="s">
        <v>498</v>
      </c>
      <c r="E248" t="s">
        <v>569</v>
      </c>
      <c r="F248" t="s">
        <v>557</v>
      </c>
      <c r="G248">
        <v>5</v>
      </c>
      <c r="H248">
        <v>131.19</v>
      </c>
    </row>
    <row r="249" spans="1:8">
      <c r="A249" t="s">
        <v>801</v>
      </c>
      <c r="B249" t="s">
        <v>524</v>
      </c>
      <c r="C249" t="s">
        <v>585</v>
      </c>
      <c r="D249" t="s">
        <v>34</v>
      </c>
      <c r="E249" t="s">
        <v>572</v>
      </c>
      <c r="F249" t="s">
        <v>551</v>
      </c>
      <c r="G249">
        <v>2</v>
      </c>
      <c r="H249">
        <v>147.13999999999999</v>
      </c>
    </row>
    <row r="250" spans="1:8">
      <c r="A250" t="s">
        <v>802</v>
      </c>
      <c r="B250" t="s">
        <v>571</v>
      </c>
      <c r="C250" t="s">
        <v>410</v>
      </c>
      <c r="D250" t="s">
        <v>490</v>
      </c>
      <c r="E250" t="s">
        <v>530</v>
      </c>
      <c r="F250" t="s">
        <v>541</v>
      </c>
      <c r="G250">
        <v>5</v>
      </c>
      <c r="H250">
        <v>92.99</v>
      </c>
    </row>
    <row r="251" spans="1:8">
      <c r="A251" t="s">
        <v>803</v>
      </c>
      <c r="B251" t="s">
        <v>519</v>
      </c>
      <c r="C251" t="s">
        <v>593</v>
      </c>
      <c r="D251" t="s">
        <v>498</v>
      </c>
      <c r="E251" t="s">
        <v>537</v>
      </c>
      <c r="F251" t="s">
        <v>531</v>
      </c>
      <c r="G251">
        <v>4</v>
      </c>
      <c r="H251">
        <v>111.51</v>
      </c>
    </row>
    <row r="252" spans="1:8">
      <c r="A252" t="s">
        <v>804</v>
      </c>
      <c r="B252" t="s">
        <v>528</v>
      </c>
      <c r="C252" t="s">
        <v>540</v>
      </c>
      <c r="D252" t="s">
        <v>498</v>
      </c>
      <c r="E252" t="s">
        <v>569</v>
      </c>
      <c r="F252" t="s">
        <v>534</v>
      </c>
      <c r="G252">
        <v>10</v>
      </c>
      <c r="H252">
        <v>258.37</v>
      </c>
    </row>
    <row r="253" spans="1:8">
      <c r="A253" t="s">
        <v>805</v>
      </c>
      <c r="B253" t="s">
        <v>571</v>
      </c>
      <c r="C253" t="s">
        <v>540</v>
      </c>
      <c r="D253" t="s">
        <v>40</v>
      </c>
      <c r="E253" t="s">
        <v>548</v>
      </c>
      <c r="F253" t="s">
        <v>522</v>
      </c>
      <c r="G253">
        <v>3</v>
      </c>
      <c r="H253">
        <v>162.65</v>
      </c>
    </row>
    <row r="254" spans="1:8">
      <c r="A254" t="s">
        <v>806</v>
      </c>
      <c r="B254" t="s">
        <v>519</v>
      </c>
      <c r="C254" t="s">
        <v>593</v>
      </c>
      <c r="D254" t="s">
        <v>40</v>
      </c>
      <c r="E254" t="s">
        <v>569</v>
      </c>
      <c r="F254" t="s">
        <v>541</v>
      </c>
      <c r="G254">
        <v>7</v>
      </c>
      <c r="H254">
        <v>280.68</v>
      </c>
    </row>
    <row r="255" spans="1:8">
      <c r="A255" t="s">
        <v>807</v>
      </c>
      <c r="B255" t="s">
        <v>543</v>
      </c>
      <c r="C255" t="s">
        <v>593</v>
      </c>
      <c r="D255" t="s">
        <v>490</v>
      </c>
      <c r="E255" t="s">
        <v>521</v>
      </c>
      <c r="F255" t="s">
        <v>534</v>
      </c>
      <c r="G255">
        <v>2</v>
      </c>
      <c r="H255">
        <v>205.73</v>
      </c>
    </row>
    <row r="256" spans="1:8">
      <c r="A256" t="s">
        <v>808</v>
      </c>
      <c r="B256" t="s">
        <v>543</v>
      </c>
      <c r="C256" t="s">
        <v>545</v>
      </c>
      <c r="D256" t="s">
        <v>490</v>
      </c>
      <c r="E256" t="s">
        <v>554</v>
      </c>
      <c r="F256" t="s">
        <v>531</v>
      </c>
      <c r="G256">
        <v>10</v>
      </c>
      <c r="H256">
        <v>249.03</v>
      </c>
    </row>
    <row r="257" spans="1:8">
      <c r="A257" t="s">
        <v>809</v>
      </c>
      <c r="B257" t="s">
        <v>519</v>
      </c>
      <c r="C257" t="s">
        <v>585</v>
      </c>
      <c r="D257" t="s">
        <v>34</v>
      </c>
      <c r="E257" t="s">
        <v>569</v>
      </c>
      <c r="F257" t="s">
        <v>562</v>
      </c>
      <c r="G257">
        <v>5</v>
      </c>
      <c r="H257">
        <v>39.61</v>
      </c>
    </row>
    <row r="258" spans="1:8">
      <c r="A258" t="s">
        <v>810</v>
      </c>
      <c r="B258" t="s">
        <v>543</v>
      </c>
      <c r="C258" t="s">
        <v>585</v>
      </c>
      <c r="D258" t="s">
        <v>40</v>
      </c>
      <c r="E258" t="s">
        <v>548</v>
      </c>
      <c r="F258" t="s">
        <v>531</v>
      </c>
      <c r="G258">
        <v>7</v>
      </c>
      <c r="H258">
        <v>256.06</v>
      </c>
    </row>
    <row r="259" spans="1:8">
      <c r="A259" t="s">
        <v>811</v>
      </c>
      <c r="B259" t="s">
        <v>533</v>
      </c>
      <c r="C259" t="s">
        <v>463</v>
      </c>
      <c r="D259" t="s">
        <v>490</v>
      </c>
      <c r="E259" t="s">
        <v>554</v>
      </c>
      <c r="F259" t="s">
        <v>522</v>
      </c>
      <c r="G259">
        <v>8</v>
      </c>
      <c r="H259">
        <v>228.46</v>
      </c>
    </row>
    <row r="260" spans="1:8">
      <c r="A260" t="s">
        <v>812</v>
      </c>
      <c r="B260" t="s">
        <v>533</v>
      </c>
      <c r="C260" t="s">
        <v>529</v>
      </c>
      <c r="D260" t="s">
        <v>490</v>
      </c>
      <c r="E260" t="s">
        <v>548</v>
      </c>
      <c r="F260" t="s">
        <v>522</v>
      </c>
      <c r="G260">
        <v>5</v>
      </c>
      <c r="H260">
        <v>20.92</v>
      </c>
    </row>
    <row r="261" spans="1:8">
      <c r="A261" t="s">
        <v>813</v>
      </c>
      <c r="B261" t="s">
        <v>528</v>
      </c>
      <c r="C261" t="s">
        <v>585</v>
      </c>
      <c r="D261" t="s">
        <v>490</v>
      </c>
      <c r="E261" t="s">
        <v>530</v>
      </c>
      <c r="F261" t="s">
        <v>551</v>
      </c>
      <c r="G261">
        <v>6</v>
      </c>
      <c r="H261">
        <v>168.51</v>
      </c>
    </row>
    <row r="262" spans="1:8">
      <c r="A262" t="s">
        <v>814</v>
      </c>
      <c r="B262" t="s">
        <v>519</v>
      </c>
      <c r="C262" t="s">
        <v>585</v>
      </c>
      <c r="D262" t="s">
        <v>490</v>
      </c>
      <c r="E262" t="s">
        <v>554</v>
      </c>
      <c r="F262" t="s">
        <v>534</v>
      </c>
      <c r="G262">
        <v>5</v>
      </c>
      <c r="H262">
        <v>39.9</v>
      </c>
    </row>
    <row r="263" spans="1:8">
      <c r="A263" t="s">
        <v>815</v>
      </c>
      <c r="B263" t="s">
        <v>528</v>
      </c>
      <c r="C263" t="s">
        <v>410</v>
      </c>
      <c r="D263" t="s">
        <v>40</v>
      </c>
      <c r="E263" t="s">
        <v>572</v>
      </c>
      <c r="F263" t="s">
        <v>551</v>
      </c>
      <c r="G263">
        <v>4</v>
      </c>
      <c r="H263">
        <v>118.98</v>
      </c>
    </row>
    <row r="264" spans="1:8">
      <c r="A264" t="s">
        <v>816</v>
      </c>
      <c r="B264" t="s">
        <v>539</v>
      </c>
      <c r="C264" t="s">
        <v>463</v>
      </c>
      <c r="D264" t="s">
        <v>490</v>
      </c>
      <c r="E264" t="s">
        <v>556</v>
      </c>
      <c r="F264" t="s">
        <v>559</v>
      </c>
      <c r="G264">
        <v>2</v>
      </c>
      <c r="H264">
        <v>254.08</v>
      </c>
    </row>
    <row r="265" spans="1:8">
      <c r="A265" t="s">
        <v>817</v>
      </c>
      <c r="B265" t="s">
        <v>543</v>
      </c>
      <c r="C265" t="s">
        <v>520</v>
      </c>
      <c r="D265" t="s">
        <v>490</v>
      </c>
      <c r="E265" t="s">
        <v>572</v>
      </c>
      <c r="F265" t="s">
        <v>526</v>
      </c>
      <c r="G265">
        <v>1</v>
      </c>
      <c r="H265">
        <v>179.45</v>
      </c>
    </row>
    <row r="266" spans="1:8">
      <c r="A266" t="s">
        <v>818</v>
      </c>
      <c r="B266" t="s">
        <v>524</v>
      </c>
      <c r="C266" t="s">
        <v>464</v>
      </c>
      <c r="D266" t="s">
        <v>498</v>
      </c>
      <c r="E266" t="s">
        <v>554</v>
      </c>
      <c r="F266" t="s">
        <v>559</v>
      </c>
      <c r="G266">
        <v>8</v>
      </c>
      <c r="H266">
        <v>228.8</v>
      </c>
    </row>
    <row r="267" spans="1:8">
      <c r="A267" t="s">
        <v>819</v>
      </c>
      <c r="B267" t="s">
        <v>528</v>
      </c>
      <c r="C267" t="s">
        <v>410</v>
      </c>
      <c r="D267" t="s">
        <v>490</v>
      </c>
      <c r="E267" t="s">
        <v>525</v>
      </c>
      <c r="F267" t="s">
        <v>534</v>
      </c>
      <c r="G267">
        <v>5</v>
      </c>
      <c r="H267">
        <v>274.25</v>
      </c>
    </row>
    <row r="268" spans="1:8">
      <c r="A268" t="s">
        <v>820</v>
      </c>
      <c r="B268" t="s">
        <v>575</v>
      </c>
      <c r="C268" t="s">
        <v>593</v>
      </c>
      <c r="D268" t="s">
        <v>490</v>
      </c>
      <c r="E268" t="s">
        <v>569</v>
      </c>
      <c r="F268" t="s">
        <v>557</v>
      </c>
      <c r="G268">
        <v>8</v>
      </c>
      <c r="H268">
        <v>156.69999999999999</v>
      </c>
    </row>
    <row r="269" spans="1:8">
      <c r="A269" t="s">
        <v>821</v>
      </c>
      <c r="B269" t="s">
        <v>519</v>
      </c>
      <c r="C269" t="s">
        <v>593</v>
      </c>
      <c r="D269" t="s">
        <v>498</v>
      </c>
      <c r="E269" t="s">
        <v>556</v>
      </c>
      <c r="F269" t="s">
        <v>534</v>
      </c>
      <c r="G269">
        <v>4</v>
      </c>
      <c r="H269">
        <v>74.72</v>
      </c>
    </row>
    <row r="270" spans="1:8">
      <c r="A270" t="s">
        <v>822</v>
      </c>
      <c r="B270" t="s">
        <v>571</v>
      </c>
      <c r="C270" t="s">
        <v>463</v>
      </c>
      <c r="D270" t="s">
        <v>34</v>
      </c>
      <c r="E270" t="s">
        <v>537</v>
      </c>
      <c r="F270" t="s">
        <v>549</v>
      </c>
      <c r="G270">
        <v>8</v>
      </c>
      <c r="H270">
        <v>257.58</v>
      </c>
    </row>
    <row r="271" spans="1:8">
      <c r="A271" t="s">
        <v>823</v>
      </c>
      <c r="B271" t="s">
        <v>519</v>
      </c>
      <c r="C271" t="s">
        <v>464</v>
      </c>
      <c r="D271" t="s">
        <v>34</v>
      </c>
      <c r="E271" t="s">
        <v>561</v>
      </c>
      <c r="F271" t="s">
        <v>549</v>
      </c>
      <c r="G271">
        <v>9</v>
      </c>
      <c r="H271">
        <v>150.5</v>
      </c>
    </row>
    <row r="272" spans="1:8">
      <c r="A272" t="s">
        <v>824</v>
      </c>
      <c r="B272" t="s">
        <v>528</v>
      </c>
      <c r="C272" t="s">
        <v>585</v>
      </c>
      <c r="D272" t="s">
        <v>40</v>
      </c>
      <c r="E272" t="s">
        <v>530</v>
      </c>
      <c r="F272" t="s">
        <v>551</v>
      </c>
      <c r="G272">
        <v>6</v>
      </c>
      <c r="H272">
        <v>69.81</v>
      </c>
    </row>
    <row r="273" spans="1:8">
      <c r="A273" t="s">
        <v>825</v>
      </c>
      <c r="B273" t="s">
        <v>547</v>
      </c>
      <c r="C273" t="s">
        <v>410</v>
      </c>
      <c r="D273" t="s">
        <v>490</v>
      </c>
      <c r="E273" t="s">
        <v>561</v>
      </c>
      <c r="F273" t="s">
        <v>551</v>
      </c>
      <c r="G273">
        <v>1</v>
      </c>
      <c r="H273">
        <v>147.85</v>
      </c>
    </row>
    <row r="274" spans="1:8">
      <c r="A274" t="s">
        <v>826</v>
      </c>
      <c r="B274" t="s">
        <v>571</v>
      </c>
      <c r="C274" t="s">
        <v>464</v>
      </c>
      <c r="D274" t="s">
        <v>490</v>
      </c>
      <c r="E274" t="s">
        <v>561</v>
      </c>
      <c r="F274" t="s">
        <v>522</v>
      </c>
      <c r="G274">
        <v>10</v>
      </c>
      <c r="H274">
        <v>298.01</v>
      </c>
    </row>
    <row r="275" spans="1:8">
      <c r="A275" t="s">
        <v>827</v>
      </c>
      <c r="B275" t="s">
        <v>528</v>
      </c>
      <c r="C275" t="s">
        <v>463</v>
      </c>
      <c r="D275" t="s">
        <v>40</v>
      </c>
      <c r="E275" t="s">
        <v>554</v>
      </c>
      <c r="F275" t="s">
        <v>549</v>
      </c>
      <c r="G275">
        <v>2</v>
      </c>
      <c r="H275">
        <v>271.83</v>
      </c>
    </row>
    <row r="276" spans="1:8">
      <c r="A276" t="s">
        <v>828</v>
      </c>
      <c r="B276" t="s">
        <v>578</v>
      </c>
      <c r="C276" t="s">
        <v>536</v>
      </c>
      <c r="D276" t="s">
        <v>498</v>
      </c>
      <c r="E276" t="s">
        <v>521</v>
      </c>
      <c r="F276" t="s">
        <v>562</v>
      </c>
      <c r="G276">
        <v>3</v>
      </c>
      <c r="H276">
        <v>67.150000000000006</v>
      </c>
    </row>
    <row r="277" spans="1:8">
      <c r="A277" t="s">
        <v>829</v>
      </c>
      <c r="B277" t="s">
        <v>575</v>
      </c>
      <c r="C277" t="s">
        <v>463</v>
      </c>
      <c r="D277" t="s">
        <v>498</v>
      </c>
      <c r="E277" t="s">
        <v>548</v>
      </c>
      <c r="F277" t="s">
        <v>559</v>
      </c>
      <c r="G277">
        <v>10</v>
      </c>
      <c r="H277">
        <v>219.97</v>
      </c>
    </row>
    <row r="278" spans="1:8">
      <c r="A278" t="s">
        <v>830</v>
      </c>
      <c r="B278" t="s">
        <v>524</v>
      </c>
      <c r="C278" t="s">
        <v>529</v>
      </c>
      <c r="D278" t="s">
        <v>490</v>
      </c>
      <c r="E278" t="s">
        <v>521</v>
      </c>
      <c r="F278" t="s">
        <v>526</v>
      </c>
      <c r="G278">
        <v>1</v>
      </c>
      <c r="H278">
        <v>160.97999999999999</v>
      </c>
    </row>
    <row r="279" spans="1:8">
      <c r="A279" t="s">
        <v>831</v>
      </c>
      <c r="B279" t="s">
        <v>543</v>
      </c>
      <c r="C279" t="s">
        <v>540</v>
      </c>
      <c r="D279" t="s">
        <v>34</v>
      </c>
      <c r="E279" t="s">
        <v>556</v>
      </c>
      <c r="F279" t="s">
        <v>559</v>
      </c>
      <c r="G279">
        <v>7</v>
      </c>
      <c r="H279">
        <v>135.43</v>
      </c>
    </row>
    <row r="280" spans="1:8">
      <c r="A280" t="s">
        <v>832</v>
      </c>
      <c r="B280" t="s">
        <v>578</v>
      </c>
      <c r="C280" t="s">
        <v>540</v>
      </c>
      <c r="D280" t="s">
        <v>34</v>
      </c>
      <c r="E280" t="s">
        <v>561</v>
      </c>
      <c r="F280" t="s">
        <v>541</v>
      </c>
      <c r="G280">
        <v>4</v>
      </c>
      <c r="H280">
        <v>141.05000000000001</v>
      </c>
    </row>
    <row r="281" spans="1:8">
      <c r="A281" t="s">
        <v>833</v>
      </c>
      <c r="B281" t="s">
        <v>547</v>
      </c>
      <c r="C281" t="s">
        <v>463</v>
      </c>
      <c r="D281" t="s">
        <v>498</v>
      </c>
      <c r="E281" t="s">
        <v>556</v>
      </c>
      <c r="F281" t="s">
        <v>557</v>
      </c>
      <c r="G281">
        <v>9</v>
      </c>
      <c r="H281">
        <v>261.79000000000002</v>
      </c>
    </row>
    <row r="282" spans="1:8">
      <c r="A282" t="s">
        <v>834</v>
      </c>
      <c r="B282" t="s">
        <v>528</v>
      </c>
      <c r="C282" t="s">
        <v>545</v>
      </c>
      <c r="D282" t="s">
        <v>34</v>
      </c>
      <c r="E282" t="s">
        <v>556</v>
      </c>
      <c r="F282" t="s">
        <v>557</v>
      </c>
      <c r="G282">
        <v>2</v>
      </c>
      <c r="H282">
        <v>223.56</v>
      </c>
    </row>
    <row r="283" spans="1:8">
      <c r="A283" t="s">
        <v>835</v>
      </c>
      <c r="B283" t="s">
        <v>524</v>
      </c>
      <c r="C283" t="s">
        <v>458</v>
      </c>
      <c r="D283" t="s">
        <v>498</v>
      </c>
      <c r="E283" t="s">
        <v>548</v>
      </c>
      <c r="F283" t="s">
        <v>541</v>
      </c>
      <c r="G283">
        <v>4</v>
      </c>
      <c r="H283">
        <v>164.11</v>
      </c>
    </row>
    <row r="284" spans="1:8">
      <c r="A284" t="s">
        <v>836</v>
      </c>
      <c r="B284" t="s">
        <v>528</v>
      </c>
      <c r="C284" t="s">
        <v>593</v>
      </c>
      <c r="D284" t="s">
        <v>498</v>
      </c>
      <c r="E284" t="s">
        <v>556</v>
      </c>
      <c r="F284" t="s">
        <v>534</v>
      </c>
      <c r="G284">
        <v>10</v>
      </c>
      <c r="H284">
        <v>168.3</v>
      </c>
    </row>
    <row r="285" spans="1:8">
      <c r="A285" t="s">
        <v>837</v>
      </c>
      <c r="B285" t="s">
        <v>547</v>
      </c>
      <c r="C285" t="s">
        <v>585</v>
      </c>
      <c r="D285" t="s">
        <v>40</v>
      </c>
      <c r="E285" t="s">
        <v>521</v>
      </c>
      <c r="F285" t="s">
        <v>551</v>
      </c>
      <c r="G285">
        <v>8</v>
      </c>
      <c r="H285">
        <v>211.51</v>
      </c>
    </row>
    <row r="286" spans="1:8">
      <c r="A286" t="s">
        <v>838</v>
      </c>
      <c r="B286" t="s">
        <v>578</v>
      </c>
      <c r="C286" t="s">
        <v>464</v>
      </c>
      <c r="D286" t="s">
        <v>34</v>
      </c>
      <c r="E286" t="s">
        <v>530</v>
      </c>
      <c r="F286" t="s">
        <v>526</v>
      </c>
      <c r="G286">
        <v>7</v>
      </c>
      <c r="H286">
        <v>103.11</v>
      </c>
    </row>
    <row r="287" spans="1:8">
      <c r="A287" t="s">
        <v>839</v>
      </c>
      <c r="B287" t="s">
        <v>519</v>
      </c>
      <c r="C287" t="s">
        <v>463</v>
      </c>
      <c r="D287" t="s">
        <v>40</v>
      </c>
      <c r="E287" t="s">
        <v>572</v>
      </c>
      <c r="F287" t="s">
        <v>549</v>
      </c>
      <c r="G287">
        <v>2</v>
      </c>
      <c r="H287">
        <v>151.51</v>
      </c>
    </row>
    <row r="288" spans="1:8">
      <c r="A288" t="s">
        <v>840</v>
      </c>
      <c r="B288" t="s">
        <v>578</v>
      </c>
      <c r="C288" t="s">
        <v>529</v>
      </c>
      <c r="D288" t="s">
        <v>498</v>
      </c>
      <c r="E288" t="s">
        <v>525</v>
      </c>
      <c r="F288" t="s">
        <v>531</v>
      </c>
      <c r="G288">
        <v>8</v>
      </c>
      <c r="H288">
        <v>190.9</v>
      </c>
    </row>
    <row r="289" spans="1:8">
      <c r="A289" t="s">
        <v>841</v>
      </c>
      <c r="B289" t="s">
        <v>547</v>
      </c>
      <c r="C289" t="s">
        <v>536</v>
      </c>
      <c r="D289" t="s">
        <v>498</v>
      </c>
      <c r="E289" t="s">
        <v>537</v>
      </c>
      <c r="F289" t="s">
        <v>531</v>
      </c>
      <c r="G289">
        <v>3</v>
      </c>
      <c r="H289">
        <v>52.42</v>
      </c>
    </row>
    <row r="290" spans="1:8">
      <c r="A290" t="s">
        <v>842</v>
      </c>
      <c r="B290" t="s">
        <v>547</v>
      </c>
      <c r="C290" t="s">
        <v>540</v>
      </c>
      <c r="D290" t="s">
        <v>498</v>
      </c>
      <c r="E290" t="s">
        <v>556</v>
      </c>
      <c r="F290" t="s">
        <v>531</v>
      </c>
      <c r="G290">
        <v>1</v>
      </c>
      <c r="H290">
        <v>222.17</v>
      </c>
    </row>
    <row r="291" spans="1:8">
      <c r="A291" t="s">
        <v>843</v>
      </c>
      <c r="B291" t="s">
        <v>533</v>
      </c>
      <c r="C291" t="s">
        <v>464</v>
      </c>
      <c r="D291" t="s">
        <v>498</v>
      </c>
      <c r="E291" t="s">
        <v>521</v>
      </c>
      <c r="F291" t="s">
        <v>541</v>
      </c>
      <c r="G291">
        <v>6</v>
      </c>
      <c r="H291">
        <v>51.34</v>
      </c>
    </row>
    <row r="292" spans="1:8">
      <c r="A292" t="s">
        <v>844</v>
      </c>
      <c r="B292" t="s">
        <v>578</v>
      </c>
      <c r="C292" t="s">
        <v>529</v>
      </c>
      <c r="D292" t="s">
        <v>34</v>
      </c>
      <c r="E292" t="s">
        <v>556</v>
      </c>
      <c r="F292" t="s">
        <v>522</v>
      </c>
      <c r="G292">
        <v>2</v>
      </c>
      <c r="H292">
        <v>281.83</v>
      </c>
    </row>
    <row r="293" spans="1:8">
      <c r="A293" t="s">
        <v>845</v>
      </c>
      <c r="B293" t="s">
        <v>575</v>
      </c>
      <c r="C293" t="s">
        <v>458</v>
      </c>
      <c r="D293" t="s">
        <v>40</v>
      </c>
      <c r="E293" t="s">
        <v>525</v>
      </c>
      <c r="F293" t="s">
        <v>522</v>
      </c>
      <c r="G293">
        <v>1</v>
      </c>
      <c r="H293">
        <v>262.88</v>
      </c>
    </row>
    <row r="294" spans="1:8">
      <c r="A294" t="s">
        <v>846</v>
      </c>
      <c r="B294" t="s">
        <v>547</v>
      </c>
      <c r="C294" t="s">
        <v>536</v>
      </c>
      <c r="D294" t="s">
        <v>34</v>
      </c>
      <c r="E294" t="s">
        <v>556</v>
      </c>
      <c r="F294" t="s">
        <v>562</v>
      </c>
      <c r="G294">
        <v>9</v>
      </c>
      <c r="H294">
        <v>31.27</v>
      </c>
    </row>
    <row r="295" spans="1:8">
      <c r="A295" t="s">
        <v>847</v>
      </c>
      <c r="B295" t="s">
        <v>578</v>
      </c>
      <c r="C295" t="s">
        <v>540</v>
      </c>
      <c r="D295" t="s">
        <v>40</v>
      </c>
      <c r="E295" t="s">
        <v>548</v>
      </c>
      <c r="F295" t="s">
        <v>522</v>
      </c>
      <c r="G295">
        <v>1</v>
      </c>
      <c r="H295">
        <v>40.19</v>
      </c>
    </row>
    <row r="296" spans="1:8">
      <c r="A296" t="s">
        <v>848</v>
      </c>
      <c r="B296" t="s">
        <v>533</v>
      </c>
      <c r="C296" t="s">
        <v>568</v>
      </c>
      <c r="D296" t="s">
        <v>34</v>
      </c>
      <c r="E296" t="s">
        <v>525</v>
      </c>
      <c r="F296" t="s">
        <v>559</v>
      </c>
      <c r="G296">
        <v>6</v>
      </c>
      <c r="H296">
        <v>110.68</v>
      </c>
    </row>
    <row r="297" spans="1:8">
      <c r="A297" t="s">
        <v>849</v>
      </c>
      <c r="B297" t="s">
        <v>539</v>
      </c>
      <c r="C297" t="s">
        <v>568</v>
      </c>
      <c r="D297" t="s">
        <v>40</v>
      </c>
      <c r="E297" t="s">
        <v>537</v>
      </c>
      <c r="F297" t="s">
        <v>549</v>
      </c>
      <c r="G297">
        <v>10</v>
      </c>
      <c r="H297">
        <v>32.4</v>
      </c>
    </row>
    <row r="298" spans="1:8">
      <c r="A298" t="s">
        <v>850</v>
      </c>
      <c r="B298" t="s">
        <v>533</v>
      </c>
      <c r="C298" t="s">
        <v>536</v>
      </c>
      <c r="D298" t="s">
        <v>40</v>
      </c>
      <c r="E298" t="s">
        <v>556</v>
      </c>
      <c r="F298" t="s">
        <v>559</v>
      </c>
      <c r="G298">
        <v>5</v>
      </c>
      <c r="H298">
        <v>117.52</v>
      </c>
    </row>
    <row r="299" spans="1:8">
      <c r="A299" t="s">
        <v>851</v>
      </c>
      <c r="B299" t="s">
        <v>575</v>
      </c>
      <c r="C299" t="s">
        <v>585</v>
      </c>
      <c r="D299" t="s">
        <v>40</v>
      </c>
      <c r="E299" t="s">
        <v>530</v>
      </c>
      <c r="F299" t="s">
        <v>559</v>
      </c>
      <c r="G299">
        <v>4</v>
      </c>
      <c r="H299">
        <v>25.38</v>
      </c>
    </row>
    <row r="300" spans="1:8">
      <c r="A300" t="s">
        <v>852</v>
      </c>
      <c r="B300" t="s">
        <v>528</v>
      </c>
      <c r="C300" t="s">
        <v>536</v>
      </c>
      <c r="D300" t="s">
        <v>40</v>
      </c>
      <c r="E300" t="s">
        <v>530</v>
      </c>
      <c r="F300" t="s">
        <v>551</v>
      </c>
      <c r="G300">
        <v>10</v>
      </c>
      <c r="H300">
        <v>209.49</v>
      </c>
    </row>
    <row r="301" spans="1:8">
      <c r="A301" t="s">
        <v>853</v>
      </c>
      <c r="B301" t="s">
        <v>543</v>
      </c>
      <c r="C301" t="s">
        <v>529</v>
      </c>
      <c r="D301" t="s">
        <v>498</v>
      </c>
      <c r="E301" t="s">
        <v>569</v>
      </c>
      <c r="F301" t="s">
        <v>526</v>
      </c>
      <c r="G301">
        <v>1</v>
      </c>
      <c r="H301">
        <v>23.28</v>
      </c>
    </row>
    <row r="302" spans="1:8">
      <c r="A302" t="s">
        <v>854</v>
      </c>
      <c r="B302" t="s">
        <v>519</v>
      </c>
      <c r="C302" t="s">
        <v>520</v>
      </c>
      <c r="D302" t="s">
        <v>490</v>
      </c>
      <c r="E302" t="s">
        <v>521</v>
      </c>
      <c r="F302" t="s">
        <v>549</v>
      </c>
      <c r="G302">
        <v>10</v>
      </c>
      <c r="H302">
        <v>64.58</v>
      </c>
    </row>
    <row r="303" spans="1:8">
      <c r="A303" t="s">
        <v>855</v>
      </c>
      <c r="B303" t="s">
        <v>547</v>
      </c>
      <c r="C303" t="s">
        <v>464</v>
      </c>
      <c r="D303" t="s">
        <v>40</v>
      </c>
      <c r="E303" t="s">
        <v>554</v>
      </c>
      <c r="F303" t="s">
        <v>534</v>
      </c>
      <c r="G303">
        <v>2</v>
      </c>
      <c r="H303">
        <v>152.22999999999999</v>
      </c>
    </row>
    <row r="304" spans="1:8">
      <c r="A304" t="s">
        <v>856</v>
      </c>
      <c r="B304" t="s">
        <v>524</v>
      </c>
      <c r="C304" t="s">
        <v>540</v>
      </c>
      <c r="D304" t="s">
        <v>40</v>
      </c>
      <c r="E304" t="s">
        <v>525</v>
      </c>
      <c r="F304" t="s">
        <v>534</v>
      </c>
      <c r="G304">
        <v>1</v>
      </c>
      <c r="H304">
        <v>216.16</v>
      </c>
    </row>
    <row r="305" spans="1:8">
      <c r="A305" t="s">
        <v>857</v>
      </c>
      <c r="B305" t="s">
        <v>528</v>
      </c>
      <c r="C305" t="s">
        <v>529</v>
      </c>
      <c r="D305" t="s">
        <v>490</v>
      </c>
      <c r="E305" t="s">
        <v>530</v>
      </c>
      <c r="F305" t="s">
        <v>526</v>
      </c>
      <c r="G305">
        <v>7</v>
      </c>
      <c r="H305">
        <v>196.77</v>
      </c>
    </row>
    <row r="306" spans="1:8">
      <c r="A306" t="s">
        <v>858</v>
      </c>
      <c r="B306" t="s">
        <v>578</v>
      </c>
      <c r="C306" t="s">
        <v>545</v>
      </c>
      <c r="D306" t="s">
        <v>34</v>
      </c>
      <c r="E306" t="s">
        <v>572</v>
      </c>
      <c r="F306" t="s">
        <v>522</v>
      </c>
      <c r="G306">
        <v>7</v>
      </c>
      <c r="H306">
        <v>77.91</v>
      </c>
    </row>
    <row r="307" spans="1:8">
      <c r="A307" t="s">
        <v>859</v>
      </c>
      <c r="B307" t="s">
        <v>533</v>
      </c>
      <c r="C307" t="s">
        <v>463</v>
      </c>
      <c r="D307" t="s">
        <v>490</v>
      </c>
      <c r="E307" t="s">
        <v>554</v>
      </c>
      <c r="F307" t="s">
        <v>562</v>
      </c>
      <c r="G307">
        <v>6</v>
      </c>
      <c r="H307">
        <v>221.23</v>
      </c>
    </row>
    <row r="308" spans="1:8">
      <c r="A308" t="s">
        <v>860</v>
      </c>
      <c r="B308" t="s">
        <v>533</v>
      </c>
      <c r="C308" t="s">
        <v>593</v>
      </c>
      <c r="D308" t="s">
        <v>40</v>
      </c>
      <c r="E308" t="s">
        <v>561</v>
      </c>
      <c r="F308" t="s">
        <v>522</v>
      </c>
      <c r="G308">
        <v>2</v>
      </c>
      <c r="H308">
        <v>49.85</v>
      </c>
    </row>
    <row r="309" spans="1:8">
      <c r="A309" t="s">
        <v>861</v>
      </c>
      <c r="B309" t="s">
        <v>571</v>
      </c>
      <c r="C309" t="s">
        <v>410</v>
      </c>
      <c r="D309" t="s">
        <v>40</v>
      </c>
      <c r="E309" t="s">
        <v>561</v>
      </c>
      <c r="F309" t="s">
        <v>551</v>
      </c>
      <c r="G309">
        <v>9</v>
      </c>
      <c r="H309">
        <v>261.77</v>
      </c>
    </row>
    <row r="310" spans="1:8">
      <c r="A310" t="s">
        <v>862</v>
      </c>
      <c r="B310" t="s">
        <v>575</v>
      </c>
      <c r="C310" t="s">
        <v>520</v>
      </c>
      <c r="D310" t="s">
        <v>498</v>
      </c>
      <c r="E310" t="s">
        <v>561</v>
      </c>
      <c r="F310" t="s">
        <v>534</v>
      </c>
      <c r="G310">
        <v>5</v>
      </c>
      <c r="H310">
        <v>125.28</v>
      </c>
    </row>
    <row r="311" spans="1:8">
      <c r="A311" t="s">
        <v>863</v>
      </c>
      <c r="B311" t="s">
        <v>539</v>
      </c>
      <c r="C311" t="s">
        <v>529</v>
      </c>
      <c r="D311" t="s">
        <v>40</v>
      </c>
      <c r="E311" t="s">
        <v>569</v>
      </c>
      <c r="F311" t="s">
        <v>534</v>
      </c>
      <c r="G311">
        <v>6</v>
      </c>
      <c r="H311">
        <v>180.38</v>
      </c>
    </row>
    <row r="312" spans="1:8">
      <c r="A312" t="s">
        <v>864</v>
      </c>
      <c r="B312" t="s">
        <v>575</v>
      </c>
      <c r="C312" t="s">
        <v>520</v>
      </c>
      <c r="D312" t="s">
        <v>498</v>
      </c>
      <c r="E312" t="s">
        <v>521</v>
      </c>
      <c r="F312" t="s">
        <v>559</v>
      </c>
      <c r="G312">
        <v>8</v>
      </c>
      <c r="H312">
        <v>294.60000000000002</v>
      </c>
    </row>
    <row r="313" spans="1:8">
      <c r="A313" t="s">
        <v>865</v>
      </c>
      <c r="B313" t="s">
        <v>533</v>
      </c>
      <c r="C313" t="s">
        <v>585</v>
      </c>
      <c r="D313" t="s">
        <v>490</v>
      </c>
      <c r="E313" t="s">
        <v>530</v>
      </c>
      <c r="F313" t="s">
        <v>526</v>
      </c>
      <c r="G313">
        <v>6</v>
      </c>
      <c r="H313">
        <v>67.63</v>
      </c>
    </row>
    <row r="314" spans="1:8">
      <c r="A314" t="s">
        <v>866</v>
      </c>
      <c r="B314" t="s">
        <v>519</v>
      </c>
      <c r="C314" t="s">
        <v>536</v>
      </c>
      <c r="D314" t="s">
        <v>40</v>
      </c>
      <c r="E314" t="s">
        <v>548</v>
      </c>
      <c r="F314" t="s">
        <v>557</v>
      </c>
      <c r="G314">
        <v>10</v>
      </c>
      <c r="H314">
        <v>185.57</v>
      </c>
    </row>
    <row r="315" spans="1:8">
      <c r="A315" t="s">
        <v>867</v>
      </c>
      <c r="B315" t="s">
        <v>528</v>
      </c>
      <c r="C315" t="s">
        <v>545</v>
      </c>
      <c r="D315" t="s">
        <v>34</v>
      </c>
      <c r="E315" t="s">
        <v>556</v>
      </c>
      <c r="F315" t="s">
        <v>557</v>
      </c>
      <c r="G315">
        <v>1</v>
      </c>
      <c r="H315">
        <v>20.010000000000002</v>
      </c>
    </row>
    <row r="316" spans="1:8">
      <c r="A316" t="s">
        <v>868</v>
      </c>
      <c r="B316" t="s">
        <v>519</v>
      </c>
      <c r="C316" t="s">
        <v>568</v>
      </c>
      <c r="D316" t="s">
        <v>490</v>
      </c>
      <c r="E316" t="s">
        <v>556</v>
      </c>
      <c r="F316" t="s">
        <v>531</v>
      </c>
      <c r="G316">
        <v>10</v>
      </c>
      <c r="H316">
        <v>206.97</v>
      </c>
    </row>
    <row r="317" spans="1:8">
      <c r="A317" t="s">
        <v>869</v>
      </c>
      <c r="B317" t="s">
        <v>524</v>
      </c>
      <c r="C317" t="s">
        <v>568</v>
      </c>
      <c r="D317" t="s">
        <v>490</v>
      </c>
      <c r="E317" t="s">
        <v>521</v>
      </c>
      <c r="F317" t="s">
        <v>559</v>
      </c>
      <c r="G317">
        <v>8</v>
      </c>
      <c r="H317">
        <v>121.57</v>
      </c>
    </row>
    <row r="318" spans="1:8">
      <c r="A318" t="s">
        <v>870</v>
      </c>
      <c r="B318" t="s">
        <v>519</v>
      </c>
      <c r="C318" t="s">
        <v>540</v>
      </c>
      <c r="D318" t="s">
        <v>40</v>
      </c>
      <c r="E318" t="s">
        <v>525</v>
      </c>
      <c r="F318" t="s">
        <v>551</v>
      </c>
      <c r="G318">
        <v>8</v>
      </c>
      <c r="H318">
        <v>158.32</v>
      </c>
    </row>
    <row r="319" spans="1:8">
      <c r="A319" t="s">
        <v>871</v>
      </c>
      <c r="B319" t="s">
        <v>575</v>
      </c>
      <c r="C319" t="s">
        <v>410</v>
      </c>
      <c r="D319" t="s">
        <v>34</v>
      </c>
      <c r="E319" t="s">
        <v>569</v>
      </c>
      <c r="F319" t="s">
        <v>559</v>
      </c>
      <c r="G319">
        <v>3</v>
      </c>
      <c r="H319">
        <v>195.34</v>
      </c>
    </row>
    <row r="320" spans="1:8">
      <c r="A320" t="s">
        <v>872</v>
      </c>
      <c r="B320" t="s">
        <v>543</v>
      </c>
      <c r="C320" t="s">
        <v>464</v>
      </c>
      <c r="D320" t="s">
        <v>498</v>
      </c>
      <c r="E320" t="s">
        <v>537</v>
      </c>
      <c r="F320" t="s">
        <v>549</v>
      </c>
      <c r="G320">
        <v>8</v>
      </c>
      <c r="H320">
        <v>79.25</v>
      </c>
    </row>
    <row r="321" spans="1:8">
      <c r="A321" t="s">
        <v>873</v>
      </c>
      <c r="B321" t="s">
        <v>575</v>
      </c>
      <c r="C321" t="s">
        <v>464</v>
      </c>
      <c r="D321" t="s">
        <v>490</v>
      </c>
      <c r="E321" t="s">
        <v>561</v>
      </c>
      <c r="F321" t="s">
        <v>551</v>
      </c>
      <c r="G321">
        <v>2</v>
      </c>
      <c r="H321">
        <v>42.4</v>
      </c>
    </row>
    <row r="322" spans="1:8">
      <c r="A322" t="s">
        <v>874</v>
      </c>
      <c r="B322" t="s">
        <v>578</v>
      </c>
      <c r="C322" t="s">
        <v>536</v>
      </c>
      <c r="D322" t="s">
        <v>40</v>
      </c>
      <c r="E322" t="s">
        <v>572</v>
      </c>
      <c r="F322" t="s">
        <v>562</v>
      </c>
      <c r="G322">
        <v>4</v>
      </c>
      <c r="H322">
        <v>272.43</v>
      </c>
    </row>
    <row r="323" spans="1:8">
      <c r="A323" t="s">
        <v>875</v>
      </c>
      <c r="B323" t="s">
        <v>528</v>
      </c>
      <c r="C323" t="s">
        <v>536</v>
      </c>
      <c r="D323" t="s">
        <v>34</v>
      </c>
      <c r="E323" t="s">
        <v>521</v>
      </c>
      <c r="F323" t="s">
        <v>531</v>
      </c>
      <c r="G323">
        <v>10</v>
      </c>
      <c r="H323">
        <v>23.96</v>
      </c>
    </row>
    <row r="324" spans="1:8">
      <c r="A324" t="s">
        <v>876</v>
      </c>
      <c r="B324" t="s">
        <v>571</v>
      </c>
      <c r="C324" t="s">
        <v>536</v>
      </c>
      <c r="D324" t="s">
        <v>34</v>
      </c>
      <c r="E324" t="s">
        <v>561</v>
      </c>
      <c r="F324" t="s">
        <v>557</v>
      </c>
      <c r="G324">
        <v>6</v>
      </c>
      <c r="H324">
        <v>168.17</v>
      </c>
    </row>
    <row r="325" spans="1:8">
      <c r="A325" t="s">
        <v>877</v>
      </c>
      <c r="B325" t="s">
        <v>524</v>
      </c>
      <c r="C325" t="s">
        <v>529</v>
      </c>
      <c r="D325" t="s">
        <v>498</v>
      </c>
      <c r="E325" t="s">
        <v>554</v>
      </c>
      <c r="F325" t="s">
        <v>522</v>
      </c>
      <c r="G325">
        <v>1</v>
      </c>
      <c r="H325">
        <v>31.07</v>
      </c>
    </row>
    <row r="326" spans="1:8">
      <c r="A326" t="s">
        <v>878</v>
      </c>
      <c r="B326" t="s">
        <v>547</v>
      </c>
      <c r="C326" t="s">
        <v>463</v>
      </c>
      <c r="D326" t="s">
        <v>34</v>
      </c>
      <c r="E326" t="s">
        <v>537</v>
      </c>
      <c r="F326" t="s">
        <v>526</v>
      </c>
      <c r="G326">
        <v>1</v>
      </c>
      <c r="H326">
        <v>140.41</v>
      </c>
    </row>
    <row r="327" spans="1:8">
      <c r="A327" t="s">
        <v>879</v>
      </c>
      <c r="B327" t="s">
        <v>533</v>
      </c>
      <c r="C327" t="s">
        <v>540</v>
      </c>
      <c r="D327" t="s">
        <v>40</v>
      </c>
      <c r="E327" t="s">
        <v>548</v>
      </c>
      <c r="F327" t="s">
        <v>562</v>
      </c>
      <c r="G327">
        <v>8</v>
      </c>
      <c r="H327">
        <v>43.52</v>
      </c>
    </row>
    <row r="328" spans="1:8">
      <c r="A328" t="s">
        <v>880</v>
      </c>
      <c r="B328" t="s">
        <v>547</v>
      </c>
      <c r="C328" t="s">
        <v>410</v>
      </c>
      <c r="D328" t="s">
        <v>490</v>
      </c>
      <c r="E328" t="s">
        <v>556</v>
      </c>
      <c r="F328" t="s">
        <v>562</v>
      </c>
      <c r="G328">
        <v>4</v>
      </c>
      <c r="H328">
        <v>174.91</v>
      </c>
    </row>
    <row r="329" spans="1:8">
      <c r="A329" t="s">
        <v>881</v>
      </c>
      <c r="B329" t="s">
        <v>543</v>
      </c>
      <c r="C329" t="s">
        <v>520</v>
      </c>
      <c r="D329" t="s">
        <v>498</v>
      </c>
      <c r="E329" t="s">
        <v>569</v>
      </c>
      <c r="F329" t="s">
        <v>534</v>
      </c>
      <c r="G329">
        <v>6</v>
      </c>
      <c r="H329">
        <v>184.33</v>
      </c>
    </row>
    <row r="330" spans="1:8">
      <c r="A330" t="s">
        <v>882</v>
      </c>
      <c r="B330" t="s">
        <v>578</v>
      </c>
      <c r="C330" t="s">
        <v>463</v>
      </c>
      <c r="D330" t="s">
        <v>34</v>
      </c>
      <c r="E330" t="s">
        <v>521</v>
      </c>
      <c r="F330" t="s">
        <v>522</v>
      </c>
      <c r="G330">
        <v>10</v>
      </c>
      <c r="H330">
        <v>25.57</v>
      </c>
    </row>
    <row r="331" spans="1:8">
      <c r="A331" t="s">
        <v>883</v>
      </c>
      <c r="B331" t="s">
        <v>519</v>
      </c>
      <c r="C331" t="s">
        <v>463</v>
      </c>
      <c r="D331" t="s">
        <v>34</v>
      </c>
      <c r="E331" t="s">
        <v>572</v>
      </c>
      <c r="F331" t="s">
        <v>526</v>
      </c>
      <c r="G331">
        <v>4</v>
      </c>
      <c r="H331">
        <v>288.27</v>
      </c>
    </row>
    <row r="332" spans="1:8">
      <c r="A332" t="s">
        <v>884</v>
      </c>
      <c r="B332" t="s">
        <v>575</v>
      </c>
      <c r="C332" t="s">
        <v>520</v>
      </c>
      <c r="D332" t="s">
        <v>34</v>
      </c>
      <c r="E332" t="s">
        <v>525</v>
      </c>
      <c r="F332" t="s">
        <v>557</v>
      </c>
      <c r="G332">
        <v>3</v>
      </c>
      <c r="H332">
        <v>160.01</v>
      </c>
    </row>
    <row r="333" spans="1:8">
      <c r="A333" t="s">
        <v>885</v>
      </c>
      <c r="B333" t="s">
        <v>543</v>
      </c>
      <c r="C333" t="s">
        <v>410</v>
      </c>
      <c r="D333" t="s">
        <v>498</v>
      </c>
      <c r="E333" t="s">
        <v>561</v>
      </c>
      <c r="F333" t="s">
        <v>531</v>
      </c>
      <c r="G333">
        <v>9</v>
      </c>
      <c r="H333">
        <v>147.83000000000001</v>
      </c>
    </row>
    <row r="334" spans="1:8">
      <c r="A334" t="s">
        <v>886</v>
      </c>
      <c r="B334" t="s">
        <v>571</v>
      </c>
      <c r="C334" t="s">
        <v>593</v>
      </c>
      <c r="D334" t="s">
        <v>498</v>
      </c>
      <c r="E334" t="s">
        <v>530</v>
      </c>
      <c r="F334" t="s">
        <v>559</v>
      </c>
      <c r="G334">
        <v>2</v>
      </c>
      <c r="H334">
        <v>175.27</v>
      </c>
    </row>
    <row r="335" spans="1:8">
      <c r="A335" t="s">
        <v>887</v>
      </c>
      <c r="B335" t="s">
        <v>539</v>
      </c>
      <c r="C335" t="s">
        <v>520</v>
      </c>
      <c r="D335" t="s">
        <v>490</v>
      </c>
      <c r="E335" t="s">
        <v>548</v>
      </c>
      <c r="F335" t="s">
        <v>531</v>
      </c>
      <c r="G335">
        <v>4</v>
      </c>
      <c r="H335">
        <v>162.15</v>
      </c>
    </row>
    <row r="336" spans="1:8">
      <c r="A336" t="s">
        <v>888</v>
      </c>
      <c r="B336" t="s">
        <v>528</v>
      </c>
      <c r="C336" t="s">
        <v>568</v>
      </c>
      <c r="D336" t="s">
        <v>498</v>
      </c>
      <c r="E336" t="s">
        <v>525</v>
      </c>
      <c r="F336" t="s">
        <v>541</v>
      </c>
      <c r="G336">
        <v>7</v>
      </c>
      <c r="H336">
        <v>81.459999999999994</v>
      </c>
    </row>
    <row r="337" spans="1:8">
      <c r="A337" t="s">
        <v>889</v>
      </c>
      <c r="B337" t="s">
        <v>575</v>
      </c>
      <c r="C337" t="s">
        <v>536</v>
      </c>
      <c r="D337" t="s">
        <v>40</v>
      </c>
      <c r="E337" t="s">
        <v>548</v>
      </c>
      <c r="F337" t="s">
        <v>534</v>
      </c>
      <c r="G337">
        <v>3</v>
      </c>
      <c r="H337">
        <v>250.65</v>
      </c>
    </row>
    <row r="338" spans="1:8">
      <c r="A338" t="s">
        <v>890</v>
      </c>
      <c r="B338" t="s">
        <v>539</v>
      </c>
      <c r="C338" t="s">
        <v>464</v>
      </c>
      <c r="D338" t="s">
        <v>34</v>
      </c>
      <c r="E338" t="s">
        <v>572</v>
      </c>
      <c r="F338" t="s">
        <v>559</v>
      </c>
      <c r="G338">
        <v>8</v>
      </c>
      <c r="H338">
        <v>85.97</v>
      </c>
    </row>
    <row r="339" spans="1:8">
      <c r="A339" t="s">
        <v>891</v>
      </c>
      <c r="B339" t="s">
        <v>524</v>
      </c>
      <c r="C339" t="s">
        <v>540</v>
      </c>
      <c r="D339" t="s">
        <v>40</v>
      </c>
      <c r="E339" t="s">
        <v>537</v>
      </c>
      <c r="F339" t="s">
        <v>531</v>
      </c>
      <c r="G339">
        <v>10</v>
      </c>
      <c r="H339">
        <v>184.89</v>
      </c>
    </row>
    <row r="340" spans="1:8">
      <c r="A340" t="s">
        <v>892</v>
      </c>
      <c r="B340" t="s">
        <v>528</v>
      </c>
      <c r="C340" t="s">
        <v>568</v>
      </c>
      <c r="D340" t="s">
        <v>490</v>
      </c>
      <c r="E340" t="s">
        <v>561</v>
      </c>
      <c r="F340" t="s">
        <v>557</v>
      </c>
      <c r="G340">
        <v>6</v>
      </c>
      <c r="H340">
        <v>132.94</v>
      </c>
    </row>
    <row r="341" spans="1:8">
      <c r="A341" t="s">
        <v>893</v>
      </c>
      <c r="B341" t="s">
        <v>533</v>
      </c>
      <c r="C341" t="s">
        <v>458</v>
      </c>
      <c r="D341" t="s">
        <v>498</v>
      </c>
      <c r="E341" t="s">
        <v>521</v>
      </c>
      <c r="F341" t="s">
        <v>562</v>
      </c>
      <c r="G341">
        <v>7</v>
      </c>
      <c r="H341">
        <v>201.36</v>
      </c>
    </row>
    <row r="342" spans="1:8">
      <c r="A342" t="s">
        <v>894</v>
      </c>
      <c r="B342" t="s">
        <v>543</v>
      </c>
      <c r="C342" t="s">
        <v>458</v>
      </c>
      <c r="D342" t="s">
        <v>490</v>
      </c>
      <c r="E342" t="s">
        <v>525</v>
      </c>
      <c r="F342" t="s">
        <v>522</v>
      </c>
      <c r="G342">
        <v>9</v>
      </c>
      <c r="H342">
        <v>194.53</v>
      </c>
    </row>
    <row r="343" spans="1:8">
      <c r="A343" t="s">
        <v>895</v>
      </c>
      <c r="B343" t="s">
        <v>539</v>
      </c>
      <c r="C343" t="s">
        <v>545</v>
      </c>
      <c r="D343" t="s">
        <v>498</v>
      </c>
      <c r="E343" t="s">
        <v>548</v>
      </c>
      <c r="F343" t="s">
        <v>534</v>
      </c>
      <c r="G343">
        <v>2</v>
      </c>
      <c r="H343">
        <v>267.87</v>
      </c>
    </row>
    <row r="344" spans="1:8">
      <c r="A344" t="s">
        <v>896</v>
      </c>
      <c r="B344" t="s">
        <v>547</v>
      </c>
      <c r="C344" t="s">
        <v>536</v>
      </c>
      <c r="D344" t="s">
        <v>490</v>
      </c>
      <c r="E344" t="s">
        <v>556</v>
      </c>
      <c r="F344" t="s">
        <v>562</v>
      </c>
      <c r="G344">
        <v>5</v>
      </c>
      <c r="H344">
        <v>289.14</v>
      </c>
    </row>
    <row r="345" spans="1:8">
      <c r="A345" t="s">
        <v>897</v>
      </c>
      <c r="B345" t="s">
        <v>528</v>
      </c>
      <c r="C345" t="s">
        <v>464</v>
      </c>
      <c r="D345" t="s">
        <v>490</v>
      </c>
      <c r="E345" t="s">
        <v>525</v>
      </c>
      <c r="F345" t="s">
        <v>526</v>
      </c>
      <c r="G345">
        <v>7</v>
      </c>
      <c r="H345">
        <v>288.83999999999997</v>
      </c>
    </row>
    <row r="346" spans="1:8">
      <c r="A346" t="s">
        <v>898</v>
      </c>
      <c r="B346" t="s">
        <v>539</v>
      </c>
      <c r="C346" t="s">
        <v>585</v>
      </c>
      <c r="D346" t="s">
        <v>40</v>
      </c>
      <c r="E346" t="s">
        <v>556</v>
      </c>
      <c r="F346" t="s">
        <v>559</v>
      </c>
      <c r="G346">
        <v>10</v>
      </c>
      <c r="H346">
        <v>104.55</v>
      </c>
    </row>
    <row r="347" spans="1:8">
      <c r="A347" t="s">
        <v>899</v>
      </c>
      <c r="B347" t="s">
        <v>528</v>
      </c>
      <c r="C347" t="s">
        <v>585</v>
      </c>
      <c r="D347" t="s">
        <v>34</v>
      </c>
      <c r="E347" t="s">
        <v>525</v>
      </c>
      <c r="F347" t="s">
        <v>541</v>
      </c>
      <c r="G347">
        <v>7</v>
      </c>
      <c r="H347">
        <v>223.54</v>
      </c>
    </row>
    <row r="348" spans="1:8">
      <c r="A348" t="s">
        <v>900</v>
      </c>
      <c r="B348" t="s">
        <v>578</v>
      </c>
      <c r="C348" t="s">
        <v>463</v>
      </c>
      <c r="D348" t="s">
        <v>40</v>
      </c>
      <c r="E348" t="s">
        <v>569</v>
      </c>
      <c r="F348" t="s">
        <v>526</v>
      </c>
      <c r="G348">
        <v>1</v>
      </c>
      <c r="H348">
        <v>68.86</v>
      </c>
    </row>
    <row r="349" spans="1:8">
      <c r="A349" t="s">
        <v>901</v>
      </c>
      <c r="B349" t="s">
        <v>571</v>
      </c>
      <c r="C349" t="s">
        <v>520</v>
      </c>
      <c r="D349" t="s">
        <v>498</v>
      </c>
      <c r="E349" t="s">
        <v>525</v>
      </c>
      <c r="F349" t="s">
        <v>557</v>
      </c>
      <c r="G349">
        <v>10</v>
      </c>
      <c r="H349">
        <v>124.28</v>
      </c>
    </row>
    <row r="350" spans="1:8">
      <c r="A350" t="s">
        <v>902</v>
      </c>
      <c r="B350" t="s">
        <v>578</v>
      </c>
      <c r="C350" t="s">
        <v>545</v>
      </c>
      <c r="D350" t="s">
        <v>34</v>
      </c>
      <c r="E350" t="s">
        <v>572</v>
      </c>
      <c r="F350" t="s">
        <v>562</v>
      </c>
      <c r="G350">
        <v>6</v>
      </c>
      <c r="H350">
        <v>253.78</v>
      </c>
    </row>
    <row r="351" spans="1:8">
      <c r="A351" t="s">
        <v>903</v>
      </c>
      <c r="B351" t="s">
        <v>543</v>
      </c>
      <c r="C351" t="s">
        <v>463</v>
      </c>
      <c r="D351" t="s">
        <v>490</v>
      </c>
      <c r="E351" t="s">
        <v>561</v>
      </c>
      <c r="F351" t="s">
        <v>551</v>
      </c>
      <c r="G351">
        <v>9</v>
      </c>
      <c r="H351">
        <v>120.39</v>
      </c>
    </row>
    <row r="352" spans="1:8">
      <c r="A352" t="s">
        <v>904</v>
      </c>
      <c r="B352" t="s">
        <v>539</v>
      </c>
      <c r="C352" t="s">
        <v>520</v>
      </c>
      <c r="D352" t="s">
        <v>498</v>
      </c>
      <c r="E352" t="s">
        <v>561</v>
      </c>
      <c r="F352" t="s">
        <v>526</v>
      </c>
      <c r="G352">
        <v>4</v>
      </c>
      <c r="H352">
        <v>164.05</v>
      </c>
    </row>
    <row r="353" spans="1:8">
      <c r="A353" t="s">
        <v>905</v>
      </c>
      <c r="B353" t="s">
        <v>519</v>
      </c>
      <c r="C353" t="s">
        <v>536</v>
      </c>
      <c r="D353" t="s">
        <v>34</v>
      </c>
      <c r="E353" t="s">
        <v>521</v>
      </c>
      <c r="F353" t="s">
        <v>562</v>
      </c>
      <c r="G353">
        <v>7</v>
      </c>
      <c r="H353">
        <v>186.41</v>
      </c>
    </row>
    <row r="354" spans="1:8">
      <c r="A354" t="s">
        <v>906</v>
      </c>
      <c r="B354" t="s">
        <v>519</v>
      </c>
      <c r="C354" t="s">
        <v>410</v>
      </c>
      <c r="D354" t="s">
        <v>40</v>
      </c>
      <c r="E354" t="s">
        <v>556</v>
      </c>
      <c r="F354" t="s">
        <v>522</v>
      </c>
      <c r="G354">
        <v>2</v>
      </c>
      <c r="H354">
        <v>136.38999999999999</v>
      </c>
    </row>
    <row r="355" spans="1:8">
      <c r="A355" t="s">
        <v>907</v>
      </c>
      <c r="B355" t="s">
        <v>519</v>
      </c>
      <c r="C355" t="s">
        <v>410</v>
      </c>
      <c r="D355" t="s">
        <v>490</v>
      </c>
      <c r="E355" t="s">
        <v>569</v>
      </c>
      <c r="F355" t="s">
        <v>531</v>
      </c>
      <c r="G355">
        <v>8</v>
      </c>
      <c r="H355">
        <v>192.21</v>
      </c>
    </row>
    <row r="356" spans="1:8">
      <c r="A356" t="s">
        <v>908</v>
      </c>
      <c r="B356" t="s">
        <v>533</v>
      </c>
      <c r="C356" t="s">
        <v>568</v>
      </c>
      <c r="D356" t="s">
        <v>498</v>
      </c>
      <c r="E356" t="s">
        <v>554</v>
      </c>
      <c r="F356" t="s">
        <v>522</v>
      </c>
      <c r="G356">
        <v>10</v>
      </c>
      <c r="H356">
        <v>102.45</v>
      </c>
    </row>
    <row r="357" spans="1:8">
      <c r="A357" t="s">
        <v>909</v>
      </c>
      <c r="B357" t="s">
        <v>519</v>
      </c>
      <c r="C357" t="s">
        <v>540</v>
      </c>
      <c r="D357" t="s">
        <v>490</v>
      </c>
      <c r="E357" t="s">
        <v>572</v>
      </c>
      <c r="F357" t="s">
        <v>551</v>
      </c>
      <c r="G357">
        <v>4</v>
      </c>
      <c r="H357">
        <v>241.24</v>
      </c>
    </row>
    <row r="358" spans="1:8">
      <c r="A358" t="s">
        <v>910</v>
      </c>
      <c r="B358" t="s">
        <v>524</v>
      </c>
      <c r="C358" t="s">
        <v>585</v>
      </c>
      <c r="D358" t="s">
        <v>498</v>
      </c>
      <c r="E358" t="s">
        <v>537</v>
      </c>
      <c r="F358" t="s">
        <v>522</v>
      </c>
      <c r="G358">
        <v>4</v>
      </c>
      <c r="H358">
        <v>130.13</v>
      </c>
    </row>
    <row r="359" spans="1:8">
      <c r="A359" t="s">
        <v>911</v>
      </c>
      <c r="B359" t="s">
        <v>571</v>
      </c>
      <c r="C359" t="s">
        <v>545</v>
      </c>
      <c r="D359" t="s">
        <v>40</v>
      </c>
      <c r="E359" t="s">
        <v>530</v>
      </c>
      <c r="F359" t="s">
        <v>557</v>
      </c>
      <c r="G359">
        <v>7</v>
      </c>
      <c r="H359">
        <v>294.60000000000002</v>
      </c>
    </row>
    <row r="360" spans="1:8">
      <c r="A360" t="s">
        <v>912</v>
      </c>
      <c r="B360" t="s">
        <v>533</v>
      </c>
      <c r="C360" t="s">
        <v>464</v>
      </c>
      <c r="D360" t="s">
        <v>490</v>
      </c>
      <c r="E360" t="s">
        <v>554</v>
      </c>
      <c r="F360" t="s">
        <v>541</v>
      </c>
      <c r="G360">
        <v>7</v>
      </c>
      <c r="H360">
        <v>261.45</v>
      </c>
    </row>
    <row r="361" spans="1:8">
      <c r="A361" t="s">
        <v>913</v>
      </c>
      <c r="B361" t="s">
        <v>578</v>
      </c>
      <c r="C361" t="s">
        <v>593</v>
      </c>
      <c r="D361" t="s">
        <v>40</v>
      </c>
      <c r="E361" t="s">
        <v>556</v>
      </c>
      <c r="F361" t="s">
        <v>549</v>
      </c>
      <c r="G361">
        <v>5</v>
      </c>
      <c r="H361">
        <v>82.94</v>
      </c>
    </row>
    <row r="362" spans="1:8">
      <c r="A362" t="s">
        <v>914</v>
      </c>
      <c r="B362" t="s">
        <v>543</v>
      </c>
      <c r="C362" t="s">
        <v>536</v>
      </c>
      <c r="D362" t="s">
        <v>498</v>
      </c>
      <c r="E362" t="s">
        <v>569</v>
      </c>
      <c r="F362" t="s">
        <v>549</v>
      </c>
      <c r="G362">
        <v>9</v>
      </c>
      <c r="H362">
        <v>177.13</v>
      </c>
    </row>
    <row r="363" spans="1:8">
      <c r="A363" t="s">
        <v>915</v>
      </c>
      <c r="B363" t="s">
        <v>528</v>
      </c>
      <c r="C363" t="s">
        <v>520</v>
      </c>
      <c r="D363" t="s">
        <v>498</v>
      </c>
      <c r="E363" t="s">
        <v>525</v>
      </c>
      <c r="F363" t="s">
        <v>549</v>
      </c>
      <c r="G363">
        <v>4</v>
      </c>
      <c r="H363">
        <v>204.4</v>
      </c>
    </row>
    <row r="364" spans="1:8">
      <c r="A364" t="s">
        <v>916</v>
      </c>
      <c r="B364" t="s">
        <v>578</v>
      </c>
      <c r="C364" t="s">
        <v>568</v>
      </c>
      <c r="D364" t="s">
        <v>40</v>
      </c>
      <c r="E364" t="s">
        <v>521</v>
      </c>
      <c r="F364" t="s">
        <v>531</v>
      </c>
      <c r="G364">
        <v>10</v>
      </c>
      <c r="H364">
        <v>166.88</v>
      </c>
    </row>
    <row r="365" spans="1:8">
      <c r="A365" t="s">
        <v>917</v>
      </c>
      <c r="B365" t="s">
        <v>524</v>
      </c>
      <c r="C365" t="s">
        <v>545</v>
      </c>
      <c r="D365" t="s">
        <v>498</v>
      </c>
      <c r="E365" t="s">
        <v>572</v>
      </c>
      <c r="F365" t="s">
        <v>549</v>
      </c>
      <c r="G365">
        <v>2</v>
      </c>
      <c r="H365">
        <v>198.87</v>
      </c>
    </row>
    <row r="366" spans="1:8">
      <c r="A366" t="s">
        <v>918</v>
      </c>
      <c r="B366" t="s">
        <v>533</v>
      </c>
      <c r="C366" t="s">
        <v>585</v>
      </c>
      <c r="D366" t="s">
        <v>490</v>
      </c>
      <c r="E366" t="s">
        <v>530</v>
      </c>
      <c r="F366" t="s">
        <v>534</v>
      </c>
      <c r="G366">
        <v>4</v>
      </c>
      <c r="H366">
        <v>192.87</v>
      </c>
    </row>
    <row r="367" spans="1:8">
      <c r="A367" t="s">
        <v>919</v>
      </c>
      <c r="B367" t="s">
        <v>578</v>
      </c>
      <c r="C367" t="s">
        <v>458</v>
      </c>
      <c r="D367" t="s">
        <v>498</v>
      </c>
      <c r="E367" t="s">
        <v>569</v>
      </c>
      <c r="F367" t="s">
        <v>549</v>
      </c>
      <c r="G367">
        <v>7</v>
      </c>
      <c r="H367">
        <v>118.39</v>
      </c>
    </row>
    <row r="368" spans="1:8">
      <c r="A368" t="s">
        <v>920</v>
      </c>
      <c r="B368" t="s">
        <v>547</v>
      </c>
      <c r="C368" t="s">
        <v>568</v>
      </c>
      <c r="D368" t="s">
        <v>490</v>
      </c>
      <c r="E368" t="s">
        <v>548</v>
      </c>
      <c r="F368" t="s">
        <v>562</v>
      </c>
      <c r="G368">
        <v>6</v>
      </c>
      <c r="H368">
        <v>273.19</v>
      </c>
    </row>
    <row r="369" spans="1:8">
      <c r="A369" t="s">
        <v>921</v>
      </c>
      <c r="B369" t="s">
        <v>528</v>
      </c>
      <c r="C369" t="s">
        <v>568</v>
      </c>
      <c r="D369" t="s">
        <v>498</v>
      </c>
      <c r="E369" t="s">
        <v>530</v>
      </c>
      <c r="F369" t="s">
        <v>531</v>
      </c>
      <c r="G369">
        <v>5</v>
      </c>
      <c r="H369">
        <v>285.95999999999998</v>
      </c>
    </row>
    <row r="370" spans="1:8">
      <c r="A370" t="s">
        <v>922</v>
      </c>
      <c r="B370" t="s">
        <v>519</v>
      </c>
      <c r="C370" t="s">
        <v>545</v>
      </c>
      <c r="D370" t="s">
        <v>40</v>
      </c>
      <c r="E370" t="s">
        <v>569</v>
      </c>
      <c r="F370" t="s">
        <v>522</v>
      </c>
      <c r="G370">
        <v>8</v>
      </c>
      <c r="H370">
        <v>248.65</v>
      </c>
    </row>
    <row r="371" spans="1:8">
      <c r="A371" t="s">
        <v>923</v>
      </c>
      <c r="B371" t="s">
        <v>543</v>
      </c>
      <c r="C371" t="s">
        <v>458</v>
      </c>
      <c r="D371" t="s">
        <v>498</v>
      </c>
      <c r="E371" t="s">
        <v>537</v>
      </c>
      <c r="F371" t="s">
        <v>531</v>
      </c>
      <c r="G371">
        <v>2</v>
      </c>
      <c r="H371">
        <v>248.63</v>
      </c>
    </row>
    <row r="372" spans="1:8">
      <c r="A372" t="s">
        <v>924</v>
      </c>
      <c r="B372" t="s">
        <v>578</v>
      </c>
      <c r="C372" t="s">
        <v>593</v>
      </c>
      <c r="D372" t="s">
        <v>34</v>
      </c>
      <c r="E372" t="s">
        <v>554</v>
      </c>
      <c r="F372" t="s">
        <v>549</v>
      </c>
      <c r="G372">
        <v>1</v>
      </c>
      <c r="H372">
        <v>265.95</v>
      </c>
    </row>
    <row r="373" spans="1:8">
      <c r="A373" t="s">
        <v>925</v>
      </c>
      <c r="B373" t="s">
        <v>578</v>
      </c>
      <c r="C373" t="s">
        <v>529</v>
      </c>
      <c r="D373" t="s">
        <v>40</v>
      </c>
      <c r="E373" t="s">
        <v>572</v>
      </c>
      <c r="F373" t="s">
        <v>534</v>
      </c>
      <c r="G373">
        <v>5</v>
      </c>
      <c r="H373">
        <v>169.92</v>
      </c>
    </row>
    <row r="374" spans="1:8">
      <c r="A374" t="s">
        <v>926</v>
      </c>
      <c r="B374" t="s">
        <v>539</v>
      </c>
      <c r="C374" t="s">
        <v>536</v>
      </c>
      <c r="D374" t="s">
        <v>490</v>
      </c>
      <c r="E374" t="s">
        <v>548</v>
      </c>
      <c r="F374" t="s">
        <v>522</v>
      </c>
      <c r="G374">
        <v>1</v>
      </c>
      <c r="H374">
        <v>183.38</v>
      </c>
    </row>
    <row r="375" spans="1:8">
      <c r="A375" t="s">
        <v>927</v>
      </c>
      <c r="B375" t="s">
        <v>578</v>
      </c>
      <c r="C375" t="s">
        <v>410</v>
      </c>
      <c r="D375" t="s">
        <v>498</v>
      </c>
      <c r="E375" t="s">
        <v>548</v>
      </c>
      <c r="F375" t="s">
        <v>551</v>
      </c>
      <c r="G375">
        <v>3</v>
      </c>
      <c r="H375">
        <v>40.94</v>
      </c>
    </row>
    <row r="376" spans="1:8">
      <c r="A376" t="s">
        <v>928</v>
      </c>
      <c r="B376" t="s">
        <v>575</v>
      </c>
      <c r="C376" t="s">
        <v>520</v>
      </c>
      <c r="D376" t="s">
        <v>498</v>
      </c>
      <c r="E376" t="s">
        <v>569</v>
      </c>
      <c r="F376" t="s">
        <v>551</v>
      </c>
      <c r="G376">
        <v>5</v>
      </c>
      <c r="H376">
        <v>239.67</v>
      </c>
    </row>
    <row r="377" spans="1:8">
      <c r="A377" t="s">
        <v>929</v>
      </c>
      <c r="B377" t="s">
        <v>528</v>
      </c>
      <c r="C377" t="s">
        <v>520</v>
      </c>
      <c r="D377" t="s">
        <v>490</v>
      </c>
      <c r="E377" t="s">
        <v>572</v>
      </c>
      <c r="F377" t="s">
        <v>522</v>
      </c>
      <c r="G377">
        <v>1</v>
      </c>
      <c r="H377">
        <v>105.88</v>
      </c>
    </row>
    <row r="378" spans="1:8">
      <c r="A378" t="s">
        <v>930</v>
      </c>
      <c r="B378" t="s">
        <v>524</v>
      </c>
      <c r="C378" t="s">
        <v>520</v>
      </c>
      <c r="D378" t="s">
        <v>34</v>
      </c>
      <c r="E378" t="s">
        <v>530</v>
      </c>
      <c r="F378" t="s">
        <v>551</v>
      </c>
      <c r="G378">
        <v>5</v>
      </c>
      <c r="H378">
        <v>144.86000000000001</v>
      </c>
    </row>
    <row r="379" spans="1:8">
      <c r="A379" t="s">
        <v>931</v>
      </c>
      <c r="B379" t="s">
        <v>571</v>
      </c>
      <c r="C379" t="s">
        <v>529</v>
      </c>
      <c r="D379" t="s">
        <v>34</v>
      </c>
      <c r="E379" t="s">
        <v>548</v>
      </c>
      <c r="F379" t="s">
        <v>531</v>
      </c>
      <c r="G379">
        <v>5</v>
      </c>
      <c r="H379">
        <v>47.19</v>
      </c>
    </row>
    <row r="380" spans="1:8">
      <c r="A380" t="s">
        <v>932</v>
      </c>
      <c r="B380" t="s">
        <v>528</v>
      </c>
      <c r="C380" t="s">
        <v>536</v>
      </c>
      <c r="D380" t="s">
        <v>498</v>
      </c>
      <c r="E380" t="s">
        <v>548</v>
      </c>
      <c r="F380" t="s">
        <v>541</v>
      </c>
      <c r="G380">
        <v>8</v>
      </c>
      <c r="H380">
        <v>177.89</v>
      </c>
    </row>
    <row r="381" spans="1:8">
      <c r="A381" t="s">
        <v>933</v>
      </c>
      <c r="B381" t="s">
        <v>578</v>
      </c>
      <c r="C381" t="s">
        <v>545</v>
      </c>
      <c r="D381" t="s">
        <v>34</v>
      </c>
      <c r="E381" t="s">
        <v>569</v>
      </c>
      <c r="F381" t="s">
        <v>549</v>
      </c>
      <c r="G381">
        <v>3</v>
      </c>
      <c r="H381">
        <v>149.97999999999999</v>
      </c>
    </row>
    <row r="382" spans="1:8">
      <c r="A382" t="s">
        <v>934</v>
      </c>
      <c r="B382" t="s">
        <v>524</v>
      </c>
      <c r="C382" t="s">
        <v>536</v>
      </c>
      <c r="D382" t="s">
        <v>40</v>
      </c>
      <c r="E382" t="s">
        <v>521</v>
      </c>
      <c r="F382" t="s">
        <v>562</v>
      </c>
      <c r="G382">
        <v>2</v>
      </c>
      <c r="H382">
        <v>65.63</v>
      </c>
    </row>
    <row r="383" spans="1:8">
      <c r="A383" t="s">
        <v>935</v>
      </c>
      <c r="B383" t="s">
        <v>571</v>
      </c>
      <c r="C383" t="s">
        <v>593</v>
      </c>
      <c r="D383" t="s">
        <v>34</v>
      </c>
      <c r="E383" t="s">
        <v>561</v>
      </c>
      <c r="F383" t="s">
        <v>549</v>
      </c>
      <c r="G383">
        <v>1</v>
      </c>
      <c r="H383">
        <v>258.87</v>
      </c>
    </row>
    <row r="384" spans="1:8">
      <c r="A384" t="s">
        <v>936</v>
      </c>
      <c r="B384" t="s">
        <v>524</v>
      </c>
      <c r="C384" t="s">
        <v>593</v>
      </c>
      <c r="D384" t="s">
        <v>34</v>
      </c>
      <c r="E384" t="s">
        <v>530</v>
      </c>
      <c r="F384" t="s">
        <v>557</v>
      </c>
      <c r="G384">
        <v>10</v>
      </c>
      <c r="H384">
        <v>50.9</v>
      </c>
    </row>
    <row r="385" spans="1:8">
      <c r="A385" t="s">
        <v>937</v>
      </c>
      <c r="B385" t="s">
        <v>528</v>
      </c>
      <c r="C385" t="s">
        <v>568</v>
      </c>
      <c r="D385" t="s">
        <v>490</v>
      </c>
      <c r="E385" t="s">
        <v>521</v>
      </c>
      <c r="F385" t="s">
        <v>541</v>
      </c>
      <c r="G385">
        <v>4</v>
      </c>
      <c r="H385">
        <v>257.77999999999997</v>
      </c>
    </row>
    <row r="386" spans="1:8">
      <c r="A386" t="s">
        <v>938</v>
      </c>
      <c r="B386" t="s">
        <v>528</v>
      </c>
      <c r="C386" t="s">
        <v>520</v>
      </c>
      <c r="D386" t="s">
        <v>498</v>
      </c>
      <c r="E386" t="s">
        <v>530</v>
      </c>
      <c r="F386" t="s">
        <v>526</v>
      </c>
      <c r="G386">
        <v>10</v>
      </c>
      <c r="H386">
        <v>178.54</v>
      </c>
    </row>
    <row r="387" spans="1:8">
      <c r="A387" t="s">
        <v>939</v>
      </c>
      <c r="B387" t="s">
        <v>519</v>
      </c>
      <c r="C387" t="s">
        <v>410</v>
      </c>
      <c r="D387" t="s">
        <v>40</v>
      </c>
      <c r="E387" t="s">
        <v>556</v>
      </c>
      <c r="F387" t="s">
        <v>522</v>
      </c>
      <c r="G387">
        <v>6</v>
      </c>
      <c r="H387">
        <v>187.38</v>
      </c>
    </row>
    <row r="388" spans="1:8">
      <c r="A388" t="s">
        <v>940</v>
      </c>
      <c r="B388" t="s">
        <v>543</v>
      </c>
      <c r="C388" t="s">
        <v>463</v>
      </c>
      <c r="D388" t="s">
        <v>40</v>
      </c>
      <c r="E388" t="s">
        <v>521</v>
      </c>
      <c r="F388" t="s">
        <v>522</v>
      </c>
      <c r="G388">
        <v>10</v>
      </c>
      <c r="H388">
        <v>251.04</v>
      </c>
    </row>
    <row r="389" spans="1:8">
      <c r="A389" t="s">
        <v>941</v>
      </c>
      <c r="B389" t="s">
        <v>571</v>
      </c>
      <c r="C389" t="s">
        <v>585</v>
      </c>
      <c r="D389" t="s">
        <v>490</v>
      </c>
      <c r="E389" t="s">
        <v>572</v>
      </c>
      <c r="F389" t="s">
        <v>522</v>
      </c>
      <c r="G389">
        <v>2</v>
      </c>
      <c r="H389">
        <v>247.47</v>
      </c>
    </row>
    <row r="390" spans="1:8">
      <c r="A390" t="s">
        <v>942</v>
      </c>
      <c r="B390" t="s">
        <v>528</v>
      </c>
      <c r="C390" t="s">
        <v>593</v>
      </c>
      <c r="D390" t="s">
        <v>490</v>
      </c>
      <c r="E390" t="s">
        <v>548</v>
      </c>
      <c r="F390" t="s">
        <v>541</v>
      </c>
      <c r="G390">
        <v>1</v>
      </c>
      <c r="H390">
        <v>286.52999999999997</v>
      </c>
    </row>
    <row r="391" spans="1:8">
      <c r="A391" t="s">
        <v>943</v>
      </c>
      <c r="B391" t="s">
        <v>575</v>
      </c>
      <c r="C391" t="s">
        <v>464</v>
      </c>
      <c r="D391" t="s">
        <v>498</v>
      </c>
      <c r="E391" t="s">
        <v>530</v>
      </c>
      <c r="F391" t="s">
        <v>559</v>
      </c>
      <c r="G391">
        <v>2</v>
      </c>
      <c r="H391">
        <v>251.74</v>
      </c>
    </row>
    <row r="392" spans="1:8">
      <c r="A392" t="s">
        <v>944</v>
      </c>
      <c r="B392" t="s">
        <v>571</v>
      </c>
      <c r="C392" t="s">
        <v>463</v>
      </c>
      <c r="D392" t="s">
        <v>498</v>
      </c>
      <c r="E392" t="s">
        <v>525</v>
      </c>
      <c r="F392" t="s">
        <v>522</v>
      </c>
      <c r="G392">
        <v>10</v>
      </c>
      <c r="H392">
        <v>214.97</v>
      </c>
    </row>
    <row r="393" spans="1:8">
      <c r="A393" t="s">
        <v>945</v>
      </c>
      <c r="B393" t="s">
        <v>519</v>
      </c>
      <c r="C393" t="s">
        <v>410</v>
      </c>
      <c r="D393" t="s">
        <v>40</v>
      </c>
      <c r="E393" t="s">
        <v>530</v>
      </c>
      <c r="F393" t="s">
        <v>557</v>
      </c>
      <c r="G393">
        <v>4</v>
      </c>
      <c r="H393">
        <v>187.37</v>
      </c>
    </row>
    <row r="394" spans="1:8">
      <c r="A394" t="s">
        <v>946</v>
      </c>
      <c r="B394" t="s">
        <v>533</v>
      </c>
      <c r="C394" t="s">
        <v>545</v>
      </c>
      <c r="D394" t="s">
        <v>498</v>
      </c>
      <c r="E394" t="s">
        <v>537</v>
      </c>
      <c r="F394" t="s">
        <v>562</v>
      </c>
      <c r="G394">
        <v>5</v>
      </c>
      <c r="H394">
        <v>115.8</v>
      </c>
    </row>
    <row r="395" spans="1:8">
      <c r="A395" t="s">
        <v>947</v>
      </c>
      <c r="B395" t="s">
        <v>528</v>
      </c>
      <c r="C395" t="s">
        <v>540</v>
      </c>
      <c r="D395" t="s">
        <v>34</v>
      </c>
      <c r="E395" t="s">
        <v>556</v>
      </c>
      <c r="F395" t="s">
        <v>551</v>
      </c>
      <c r="G395">
        <v>10</v>
      </c>
      <c r="H395">
        <v>247.55</v>
      </c>
    </row>
    <row r="396" spans="1:8">
      <c r="A396" t="s">
        <v>948</v>
      </c>
      <c r="B396" t="s">
        <v>539</v>
      </c>
      <c r="C396" t="s">
        <v>464</v>
      </c>
      <c r="D396" t="s">
        <v>40</v>
      </c>
      <c r="E396" t="s">
        <v>521</v>
      </c>
      <c r="F396" t="s">
        <v>559</v>
      </c>
      <c r="G396">
        <v>8</v>
      </c>
      <c r="H396">
        <v>298.23</v>
      </c>
    </row>
    <row r="397" spans="1:8">
      <c r="A397" t="s">
        <v>949</v>
      </c>
      <c r="B397" t="s">
        <v>575</v>
      </c>
      <c r="C397" t="s">
        <v>536</v>
      </c>
      <c r="D397" t="s">
        <v>40</v>
      </c>
      <c r="E397" t="s">
        <v>530</v>
      </c>
      <c r="F397" t="s">
        <v>562</v>
      </c>
      <c r="G397">
        <v>10</v>
      </c>
      <c r="H397">
        <v>139.66999999999999</v>
      </c>
    </row>
    <row r="398" spans="1:8">
      <c r="A398" t="s">
        <v>950</v>
      </c>
      <c r="B398" t="s">
        <v>578</v>
      </c>
      <c r="C398" t="s">
        <v>458</v>
      </c>
      <c r="D398" t="s">
        <v>490</v>
      </c>
      <c r="E398" t="s">
        <v>525</v>
      </c>
      <c r="F398" t="s">
        <v>522</v>
      </c>
      <c r="G398">
        <v>9</v>
      </c>
      <c r="H398">
        <v>271.3</v>
      </c>
    </row>
    <row r="399" spans="1:8">
      <c r="A399" t="s">
        <v>951</v>
      </c>
      <c r="B399" t="s">
        <v>528</v>
      </c>
      <c r="C399" t="s">
        <v>585</v>
      </c>
      <c r="D399" t="s">
        <v>34</v>
      </c>
      <c r="E399" t="s">
        <v>556</v>
      </c>
      <c r="F399" t="s">
        <v>522</v>
      </c>
      <c r="G399">
        <v>3</v>
      </c>
      <c r="H399">
        <v>268</v>
      </c>
    </row>
    <row r="400" spans="1:8">
      <c r="A400" t="s">
        <v>952</v>
      </c>
      <c r="B400" t="s">
        <v>578</v>
      </c>
      <c r="C400" t="s">
        <v>529</v>
      </c>
      <c r="D400" t="s">
        <v>34</v>
      </c>
      <c r="E400" t="s">
        <v>521</v>
      </c>
      <c r="F400" t="s">
        <v>522</v>
      </c>
      <c r="G400">
        <v>9</v>
      </c>
      <c r="H400">
        <v>272.20999999999998</v>
      </c>
    </row>
    <row r="401" spans="1:8">
      <c r="A401" t="s">
        <v>953</v>
      </c>
      <c r="B401" t="s">
        <v>547</v>
      </c>
      <c r="C401" t="s">
        <v>536</v>
      </c>
      <c r="D401" t="s">
        <v>40</v>
      </c>
      <c r="E401" t="s">
        <v>525</v>
      </c>
      <c r="F401" t="s">
        <v>557</v>
      </c>
      <c r="G401">
        <v>9</v>
      </c>
      <c r="H401">
        <v>59.6</v>
      </c>
    </row>
    <row r="402" spans="1:8">
      <c r="A402" t="s">
        <v>954</v>
      </c>
      <c r="B402" t="s">
        <v>539</v>
      </c>
      <c r="C402" t="s">
        <v>585</v>
      </c>
      <c r="D402" t="s">
        <v>490</v>
      </c>
      <c r="E402" t="s">
        <v>561</v>
      </c>
      <c r="F402" t="s">
        <v>559</v>
      </c>
      <c r="G402">
        <v>2</v>
      </c>
      <c r="H402">
        <v>113.18</v>
      </c>
    </row>
    <row r="403" spans="1:8">
      <c r="A403" t="s">
        <v>955</v>
      </c>
      <c r="B403" t="s">
        <v>519</v>
      </c>
      <c r="C403" t="s">
        <v>540</v>
      </c>
      <c r="D403" t="s">
        <v>490</v>
      </c>
      <c r="E403" t="s">
        <v>572</v>
      </c>
      <c r="F403" t="s">
        <v>559</v>
      </c>
      <c r="G403">
        <v>5</v>
      </c>
      <c r="H403">
        <v>182.8</v>
      </c>
    </row>
    <row r="404" spans="1:8">
      <c r="A404" t="s">
        <v>956</v>
      </c>
      <c r="B404" t="s">
        <v>547</v>
      </c>
      <c r="C404" t="s">
        <v>464</v>
      </c>
      <c r="D404" t="s">
        <v>498</v>
      </c>
      <c r="E404" t="s">
        <v>521</v>
      </c>
      <c r="F404" t="s">
        <v>522</v>
      </c>
      <c r="G404">
        <v>5</v>
      </c>
      <c r="H404">
        <v>158.88</v>
      </c>
    </row>
    <row r="405" spans="1:8">
      <c r="A405" t="s">
        <v>957</v>
      </c>
      <c r="B405" t="s">
        <v>524</v>
      </c>
      <c r="C405" t="s">
        <v>463</v>
      </c>
      <c r="D405" t="s">
        <v>490</v>
      </c>
      <c r="E405" t="s">
        <v>525</v>
      </c>
      <c r="F405" t="s">
        <v>551</v>
      </c>
      <c r="G405">
        <v>2</v>
      </c>
      <c r="H405">
        <v>53.49</v>
      </c>
    </row>
    <row r="406" spans="1:8">
      <c r="A406" t="s">
        <v>958</v>
      </c>
      <c r="B406" t="s">
        <v>575</v>
      </c>
      <c r="C406" t="s">
        <v>545</v>
      </c>
      <c r="D406" t="s">
        <v>490</v>
      </c>
      <c r="E406" t="s">
        <v>554</v>
      </c>
      <c r="F406" t="s">
        <v>562</v>
      </c>
      <c r="G406">
        <v>3</v>
      </c>
      <c r="H406">
        <v>126.85</v>
      </c>
    </row>
    <row r="407" spans="1:8">
      <c r="A407" t="s">
        <v>959</v>
      </c>
      <c r="B407" t="s">
        <v>543</v>
      </c>
      <c r="C407" t="s">
        <v>464</v>
      </c>
      <c r="D407" t="s">
        <v>40</v>
      </c>
      <c r="E407" t="s">
        <v>556</v>
      </c>
      <c r="F407" t="s">
        <v>531</v>
      </c>
      <c r="G407">
        <v>1</v>
      </c>
      <c r="H407">
        <v>131.08000000000001</v>
      </c>
    </row>
    <row r="408" spans="1:8">
      <c r="A408" t="s">
        <v>960</v>
      </c>
      <c r="B408" t="s">
        <v>578</v>
      </c>
      <c r="C408" t="s">
        <v>545</v>
      </c>
      <c r="D408" t="s">
        <v>40</v>
      </c>
      <c r="E408" t="s">
        <v>525</v>
      </c>
      <c r="F408" t="s">
        <v>557</v>
      </c>
      <c r="G408">
        <v>4</v>
      </c>
      <c r="H408">
        <v>133.27000000000001</v>
      </c>
    </row>
    <row r="409" spans="1:8">
      <c r="A409" t="s">
        <v>961</v>
      </c>
      <c r="B409" t="s">
        <v>547</v>
      </c>
      <c r="C409" t="s">
        <v>536</v>
      </c>
      <c r="D409" t="s">
        <v>498</v>
      </c>
      <c r="E409" t="s">
        <v>569</v>
      </c>
      <c r="F409" t="s">
        <v>531</v>
      </c>
      <c r="G409">
        <v>2</v>
      </c>
      <c r="H409">
        <v>137.97</v>
      </c>
    </row>
    <row r="410" spans="1:8">
      <c r="A410" t="s">
        <v>962</v>
      </c>
      <c r="B410" t="s">
        <v>528</v>
      </c>
      <c r="C410" t="s">
        <v>593</v>
      </c>
      <c r="D410" t="s">
        <v>34</v>
      </c>
      <c r="E410" t="s">
        <v>525</v>
      </c>
      <c r="F410" t="s">
        <v>526</v>
      </c>
      <c r="G410">
        <v>4</v>
      </c>
      <c r="H410">
        <v>158.36000000000001</v>
      </c>
    </row>
    <row r="411" spans="1:8">
      <c r="A411" t="s">
        <v>963</v>
      </c>
      <c r="B411" t="s">
        <v>575</v>
      </c>
      <c r="C411" t="s">
        <v>568</v>
      </c>
      <c r="D411" t="s">
        <v>40</v>
      </c>
      <c r="E411" t="s">
        <v>548</v>
      </c>
      <c r="F411" t="s">
        <v>551</v>
      </c>
      <c r="G411">
        <v>10</v>
      </c>
      <c r="H411">
        <v>39.19</v>
      </c>
    </row>
    <row r="412" spans="1:8">
      <c r="A412" t="s">
        <v>964</v>
      </c>
      <c r="B412" t="s">
        <v>547</v>
      </c>
      <c r="C412" t="s">
        <v>568</v>
      </c>
      <c r="D412" t="s">
        <v>498</v>
      </c>
      <c r="E412" t="s">
        <v>530</v>
      </c>
      <c r="F412" t="s">
        <v>541</v>
      </c>
      <c r="G412">
        <v>4</v>
      </c>
      <c r="H412">
        <v>204.17</v>
      </c>
    </row>
    <row r="413" spans="1:8">
      <c r="A413" t="s">
        <v>965</v>
      </c>
      <c r="B413" t="s">
        <v>575</v>
      </c>
      <c r="C413" t="s">
        <v>464</v>
      </c>
      <c r="D413" t="s">
        <v>498</v>
      </c>
      <c r="E413" t="s">
        <v>521</v>
      </c>
      <c r="F413" t="s">
        <v>551</v>
      </c>
      <c r="G413">
        <v>3</v>
      </c>
      <c r="H413">
        <v>240.87</v>
      </c>
    </row>
    <row r="414" spans="1:8">
      <c r="A414" t="s">
        <v>966</v>
      </c>
      <c r="B414" t="s">
        <v>575</v>
      </c>
      <c r="C414" t="s">
        <v>585</v>
      </c>
      <c r="D414" t="s">
        <v>34</v>
      </c>
      <c r="E414" t="s">
        <v>521</v>
      </c>
      <c r="F414" t="s">
        <v>522</v>
      </c>
      <c r="G414">
        <v>10</v>
      </c>
      <c r="H414">
        <v>89.78</v>
      </c>
    </row>
    <row r="415" spans="1:8">
      <c r="A415" t="s">
        <v>967</v>
      </c>
      <c r="B415" t="s">
        <v>575</v>
      </c>
      <c r="C415" t="s">
        <v>410</v>
      </c>
      <c r="D415" t="s">
        <v>40</v>
      </c>
      <c r="E415" t="s">
        <v>530</v>
      </c>
      <c r="F415" t="s">
        <v>534</v>
      </c>
      <c r="G415">
        <v>2</v>
      </c>
      <c r="H415">
        <v>42.46</v>
      </c>
    </row>
    <row r="416" spans="1:8">
      <c r="A416" t="s">
        <v>968</v>
      </c>
      <c r="B416" t="s">
        <v>543</v>
      </c>
      <c r="C416" t="s">
        <v>463</v>
      </c>
      <c r="D416" t="s">
        <v>34</v>
      </c>
      <c r="E416" t="s">
        <v>561</v>
      </c>
      <c r="F416" t="s">
        <v>526</v>
      </c>
      <c r="G416">
        <v>1</v>
      </c>
      <c r="H416">
        <v>236.61</v>
      </c>
    </row>
    <row r="417" spans="1:8">
      <c r="A417" t="s">
        <v>969</v>
      </c>
      <c r="B417" t="s">
        <v>575</v>
      </c>
      <c r="C417" t="s">
        <v>593</v>
      </c>
      <c r="D417" t="s">
        <v>34</v>
      </c>
      <c r="E417" t="s">
        <v>572</v>
      </c>
      <c r="F417" t="s">
        <v>549</v>
      </c>
      <c r="G417">
        <v>6</v>
      </c>
      <c r="H417">
        <v>47.01</v>
      </c>
    </row>
    <row r="418" spans="1:8">
      <c r="A418" t="s">
        <v>970</v>
      </c>
      <c r="B418" t="s">
        <v>547</v>
      </c>
      <c r="C418" t="s">
        <v>463</v>
      </c>
      <c r="D418" t="s">
        <v>490</v>
      </c>
      <c r="E418" t="s">
        <v>572</v>
      </c>
      <c r="F418" t="s">
        <v>549</v>
      </c>
      <c r="G418">
        <v>1</v>
      </c>
      <c r="H418">
        <v>90.65</v>
      </c>
    </row>
    <row r="419" spans="1:8">
      <c r="A419" t="s">
        <v>971</v>
      </c>
      <c r="B419" t="s">
        <v>547</v>
      </c>
      <c r="C419" t="s">
        <v>463</v>
      </c>
      <c r="D419" t="s">
        <v>34</v>
      </c>
      <c r="E419" t="s">
        <v>525</v>
      </c>
      <c r="F419" t="s">
        <v>526</v>
      </c>
      <c r="G419">
        <v>6</v>
      </c>
      <c r="H419">
        <v>73.69</v>
      </c>
    </row>
    <row r="420" spans="1:8">
      <c r="A420" t="s">
        <v>972</v>
      </c>
      <c r="B420" t="s">
        <v>533</v>
      </c>
      <c r="C420" t="s">
        <v>585</v>
      </c>
      <c r="D420" t="s">
        <v>34</v>
      </c>
      <c r="E420" t="s">
        <v>537</v>
      </c>
      <c r="F420" t="s">
        <v>534</v>
      </c>
      <c r="G420">
        <v>3</v>
      </c>
      <c r="H420">
        <v>131.49</v>
      </c>
    </row>
    <row r="421" spans="1:8">
      <c r="A421" t="s">
        <v>973</v>
      </c>
      <c r="B421" t="s">
        <v>533</v>
      </c>
      <c r="C421" t="s">
        <v>458</v>
      </c>
      <c r="D421" t="s">
        <v>498</v>
      </c>
      <c r="E421" t="s">
        <v>521</v>
      </c>
      <c r="F421" t="s">
        <v>541</v>
      </c>
      <c r="G421">
        <v>5</v>
      </c>
      <c r="H421">
        <v>57.4</v>
      </c>
    </row>
    <row r="422" spans="1:8">
      <c r="A422" t="s">
        <v>974</v>
      </c>
      <c r="B422" t="s">
        <v>578</v>
      </c>
      <c r="C422" t="s">
        <v>463</v>
      </c>
      <c r="D422" t="s">
        <v>34</v>
      </c>
      <c r="E422" t="s">
        <v>569</v>
      </c>
      <c r="F422" t="s">
        <v>549</v>
      </c>
      <c r="G422">
        <v>7</v>
      </c>
      <c r="H422">
        <v>99.29</v>
      </c>
    </row>
    <row r="423" spans="1:8">
      <c r="A423" t="s">
        <v>975</v>
      </c>
      <c r="B423" t="s">
        <v>575</v>
      </c>
      <c r="C423" t="s">
        <v>464</v>
      </c>
      <c r="D423" t="s">
        <v>40</v>
      </c>
      <c r="E423" t="s">
        <v>572</v>
      </c>
      <c r="F423" t="s">
        <v>557</v>
      </c>
      <c r="G423">
        <v>8</v>
      </c>
      <c r="H423">
        <v>254.15</v>
      </c>
    </row>
    <row r="424" spans="1:8">
      <c r="A424" t="s">
        <v>976</v>
      </c>
      <c r="B424" t="s">
        <v>547</v>
      </c>
      <c r="C424" t="s">
        <v>568</v>
      </c>
      <c r="D424" t="s">
        <v>34</v>
      </c>
      <c r="E424" t="s">
        <v>556</v>
      </c>
      <c r="F424" t="s">
        <v>549</v>
      </c>
      <c r="G424">
        <v>2</v>
      </c>
      <c r="H424">
        <v>73.98</v>
      </c>
    </row>
    <row r="425" spans="1:8">
      <c r="A425" t="s">
        <v>977</v>
      </c>
      <c r="B425" t="s">
        <v>524</v>
      </c>
      <c r="C425" t="s">
        <v>568</v>
      </c>
      <c r="D425" t="s">
        <v>498</v>
      </c>
      <c r="E425" t="s">
        <v>530</v>
      </c>
      <c r="F425" t="s">
        <v>557</v>
      </c>
      <c r="G425">
        <v>7</v>
      </c>
      <c r="H425">
        <v>100.25</v>
      </c>
    </row>
    <row r="426" spans="1:8">
      <c r="A426" t="s">
        <v>978</v>
      </c>
      <c r="B426" t="s">
        <v>543</v>
      </c>
      <c r="C426" t="s">
        <v>545</v>
      </c>
      <c r="D426" t="s">
        <v>34</v>
      </c>
      <c r="E426" t="s">
        <v>556</v>
      </c>
      <c r="F426" t="s">
        <v>549</v>
      </c>
      <c r="G426">
        <v>4</v>
      </c>
      <c r="H426">
        <v>94.51</v>
      </c>
    </row>
    <row r="427" spans="1:8">
      <c r="A427" t="s">
        <v>979</v>
      </c>
      <c r="B427" t="s">
        <v>519</v>
      </c>
      <c r="C427" t="s">
        <v>458</v>
      </c>
      <c r="D427" t="s">
        <v>490</v>
      </c>
      <c r="E427" t="s">
        <v>561</v>
      </c>
      <c r="F427" t="s">
        <v>522</v>
      </c>
      <c r="G427">
        <v>6</v>
      </c>
      <c r="H427">
        <v>208.57</v>
      </c>
    </row>
    <row r="428" spans="1:8">
      <c r="A428" t="s">
        <v>980</v>
      </c>
      <c r="B428" t="s">
        <v>528</v>
      </c>
      <c r="C428" t="s">
        <v>540</v>
      </c>
      <c r="D428" t="s">
        <v>40</v>
      </c>
      <c r="E428" t="s">
        <v>530</v>
      </c>
      <c r="F428" t="s">
        <v>551</v>
      </c>
      <c r="G428">
        <v>8</v>
      </c>
      <c r="H428">
        <v>288.17</v>
      </c>
    </row>
    <row r="429" spans="1:8">
      <c r="A429" t="s">
        <v>981</v>
      </c>
      <c r="B429" t="s">
        <v>543</v>
      </c>
      <c r="C429" t="s">
        <v>463</v>
      </c>
      <c r="D429" t="s">
        <v>490</v>
      </c>
      <c r="E429" t="s">
        <v>554</v>
      </c>
      <c r="F429" t="s">
        <v>522</v>
      </c>
      <c r="G429">
        <v>9</v>
      </c>
      <c r="H429">
        <v>251.24</v>
      </c>
    </row>
    <row r="430" spans="1:8">
      <c r="A430" t="s">
        <v>982</v>
      </c>
      <c r="B430" t="s">
        <v>524</v>
      </c>
      <c r="C430" t="s">
        <v>593</v>
      </c>
      <c r="D430" t="s">
        <v>490</v>
      </c>
      <c r="E430" t="s">
        <v>548</v>
      </c>
      <c r="F430" t="s">
        <v>557</v>
      </c>
      <c r="G430">
        <v>9</v>
      </c>
      <c r="H430">
        <v>128.43</v>
      </c>
    </row>
    <row r="431" spans="1:8">
      <c r="A431" t="s">
        <v>983</v>
      </c>
      <c r="B431" t="s">
        <v>524</v>
      </c>
      <c r="C431" t="s">
        <v>585</v>
      </c>
      <c r="D431" t="s">
        <v>34</v>
      </c>
      <c r="E431" t="s">
        <v>537</v>
      </c>
      <c r="F431" t="s">
        <v>551</v>
      </c>
      <c r="G431">
        <v>1</v>
      </c>
      <c r="H431">
        <v>84.58</v>
      </c>
    </row>
    <row r="432" spans="1:8">
      <c r="A432" t="s">
        <v>984</v>
      </c>
      <c r="B432" t="s">
        <v>578</v>
      </c>
      <c r="C432" t="s">
        <v>529</v>
      </c>
      <c r="D432" t="s">
        <v>34</v>
      </c>
      <c r="E432" t="s">
        <v>572</v>
      </c>
      <c r="F432" t="s">
        <v>526</v>
      </c>
      <c r="G432">
        <v>6</v>
      </c>
      <c r="H432">
        <v>224.65</v>
      </c>
    </row>
    <row r="433" spans="1:8">
      <c r="A433" t="s">
        <v>985</v>
      </c>
      <c r="B433" t="s">
        <v>539</v>
      </c>
      <c r="C433" t="s">
        <v>585</v>
      </c>
      <c r="D433" t="s">
        <v>490</v>
      </c>
      <c r="E433" t="s">
        <v>556</v>
      </c>
      <c r="F433" t="s">
        <v>551</v>
      </c>
      <c r="G433">
        <v>5</v>
      </c>
      <c r="H433">
        <v>46.48</v>
      </c>
    </row>
    <row r="434" spans="1:8">
      <c r="A434" t="s">
        <v>986</v>
      </c>
      <c r="B434" t="s">
        <v>575</v>
      </c>
      <c r="C434" t="s">
        <v>410</v>
      </c>
      <c r="D434" t="s">
        <v>34</v>
      </c>
      <c r="E434" t="s">
        <v>530</v>
      </c>
      <c r="F434" t="s">
        <v>557</v>
      </c>
      <c r="G434">
        <v>4</v>
      </c>
      <c r="H434">
        <v>177.04</v>
      </c>
    </row>
    <row r="435" spans="1:8">
      <c r="A435" t="s">
        <v>987</v>
      </c>
      <c r="B435" t="s">
        <v>533</v>
      </c>
      <c r="C435" t="s">
        <v>585</v>
      </c>
      <c r="D435" t="s">
        <v>40</v>
      </c>
      <c r="E435" t="s">
        <v>561</v>
      </c>
      <c r="F435" t="s">
        <v>522</v>
      </c>
      <c r="G435">
        <v>2</v>
      </c>
      <c r="H435">
        <v>227.04</v>
      </c>
    </row>
    <row r="436" spans="1:8">
      <c r="A436" t="s">
        <v>988</v>
      </c>
      <c r="B436" t="s">
        <v>524</v>
      </c>
      <c r="C436" t="s">
        <v>568</v>
      </c>
      <c r="D436" t="s">
        <v>498</v>
      </c>
      <c r="E436" t="s">
        <v>521</v>
      </c>
      <c r="F436" t="s">
        <v>557</v>
      </c>
      <c r="G436">
        <v>4</v>
      </c>
      <c r="H436">
        <v>31.91</v>
      </c>
    </row>
    <row r="437" spans="1:8">
      <c r="A437" t="s">
        <v>989</v>
      </c>
      <c r="B437" t="s">
        <v>547</v>
      </c>
      <c r="C437" t="s">
        <v>520</v>
      </c>
      <c r="D437" t="s">
        <v>498</v>
      </c>
      <c r="E437" t="s">
        <v>569</v>
      </c>
      <c r="F437" t="s">
        <v>562</v>
      </c>
      <c r="G437">
        <v>8</v>
      </c>
      <c r="H437">
        <v>198.26</v>
      </c>
    </row>
    <row r="438" spans="1:8">
      <c r="A438" t="s">
        <v>990</v>
      </c>
      <c r="B438" t="s">
        <v>575</v>
      </c>
      <c r="C438" t="s">
        <v>536</v>
      </c>
      <c r="D438" t="s">
        <v>490</v>
      </c>
      <c r="E438" t="s">
        <v>561</v>
      </c>
      <c r="F438" t="s">
        <v>557</v>
      </c>
      <c r="G438">
        <v>6</v>
      </c>
      <c r="H438">
        <v>102.37</v>
      </c>
    </row>
    <row r="439" spans="1:8">
      <c r="A439" t="s">
        <v>991</v>
      </c>
      <c r="B439" t="s">
        <v>543</v>
      </c>
      <c r="C439" t="s">
        <v>545</v>
      </c>
      <c r="D439" t="s">
        <v>34</v>
      </c>
      <c r="E439" t="s">
        <v>572</v>
      </c>
      <c r="F439" t="s">
        <v>557</v>
      </c>
      <c r="G439">
        <v>10</v>
      </c>
      <c r="H439">
        <v>256.14</v>
      </c>
    </row>
    <row r="440" spans="1:8">
      <c r="A440" t="s">
        <v>992</v>
      </c>
      <c r="B440" t="s">
        <v>524</v>
      </c>
      <c r="C440" t="s">
        <v>529</v>
      </c>
      <c r="D440" t="s">
        <v>490</v>
      </c>
      <c r="E440" t="s">
        <v>556</v>
      </c>
      <c r="F440" t="s">
        <v>559</v>
      </c>
      <c r="G440">
        <v>3</v>
      </c>
      <c r="H440">
        <v>135.74</v>
      </c>
    </row>
    <row r="441" spans="1:8">
      <c r="A441" t="s">
        <v>993</v>
      </c>
      <c r="B441" t="s">
        <v>547</v>
      </c>
      <c r="C441" t="s">
        <v>593</v>
      </c>
      <c r="D441" t="s">
        <v>490</v>
      </c>
      <c r="E441" t="s">
        <v>548</v>
      </c>
      <c r="F441" t="s">
        <v>522</v>
      </c>
      <c r="G441">
        <v>3</v>
      </c>
      <c r="H441">
        <v>179.7</v>
      </c>
    </row>
    <row r="442" spans="1:8">
      <c r="A442" t="s">
        <v>994</v>
      </c>
      <c r="B442" t="s">
        <v>547</v>
      </c>
      <c r="C442" t="s">
        <v>464</v>
      </c>
      <c r="D442" t="s">
        <v>34</v>
      </c>
      <c r="E442" t="s">
        <v>561</v>
      </c>
      <c r="F442" t="s">
        <v>541</v>
      </c>
      <c r="G442">
        <v>9</v>
      </c>
      <c r="H442">
        <v>233.38</v>
      </c>
    </row>
    <row r="443" spans="1:8">
      <c r="A443" t="s">
        <v>995</v>
      </c>
      <c r="B443" t="s">
        <v>519</v>
      </c>
      <c r="C443" t="s">
        <v>463</v>
      </c>
      <c r="D443" t="s">
        <v>498</v>
      </c>
      <c r="E443" t="s">
        <v>521</v>
      </c>
      <c r="F443" t="s">
        <v>526</v>
      </c>
      <c r="G443">
        <v>7</v>
      </c>
      <c r="H443">
        <v>232.3</v>
      </c>
    </row>
    <row r="444" spans="1:8">
      <c r="A444" t="s">
        <v>996</v>
      </c>
      <c r="B444" t="s">
        <v>528</v>
      </c>
      <c r="C444" t="s">
        <v>540</v>
      </c>
      <c r="D444" t="s">
        <v>40</v>
      </c>
      <c r="E444" t="s">
        <v>525</v>
      </c>
      <c r="F444" t="s">
        <v>551</v>
      </c>
      <c r="G444">
        <v>8</v>
      </c>
      <c r="H444">
        <v>288.97000000000003</v>
      </c>
    </row>
    <row r="445" spans="1:8">
      <c r="A445" t="s">
        <v>997</v>
      </c>
      <c r="B445" t="s">
        <v>543</v>
      </c>
      <c r="C445" t="s">
        <v>585</v>
      </c>
      <c r="D445" t="s">
        <v>40</v>
      </c>
      <c r="E445" t="s">
        <v>572</v>
      </c>
      <c r="F445" t="s">
        <v>541</v>
      </c>
      <c r="G445">
        <v>2</v>
      </c>
      <c r="H445">
        <v>102.25</v>
      </c>
    </row>
    <row r="446" spans="1:8">
      <c r="A446" t="s">
        <v>998</v>
      </c>
      <c r="B446" t="s">
        <v>543</v>
      </c>
      <c r="C446" t="s">
        <v>585</v>
      </c>
      <c r="D446" t="s">
        <v>498</v>
      </c>
      <c r="E446" t="s">
        <v>548</v>
      </c>
      <c r="F446" t="s">
        <v>522</v>
      </c>
      <c r="G446">
        <v>9</v>
      </c>
      <c r="H446">
        <v>167.16</v>
      </c>
    </row>
    <row r="447" spans="1:8">
      <c r="A447" t="s">
        <v>999</v>
      </c>
      <c r="B447" t="s">
        <v>524</v>
      </c>
      <c r="C447" t="s">
        <v>520</v>
      </c>
      <c r="D447" t="s">
        <v>498</v>
      </c>
      <c r="E447" t="s">
        <v>556</v>
      </c>
      <c r="F447" t="s">
        <v>534</v>
      </c>
      <c r="G447">
        <v>10</v>
      </c>
      <c r="H447">
        <v>93.96</v>
      </c>
    </row>
    <row r="448" spans="1:8">
      <c r="A448" t="s">
        <v>1000</v>
      </c>
      <c r="B448" t="s">
        <v>533</v>
      </c>
      <c r="C448" t="s">
        <v>463</v>
      </c>
      <c r="D448" t="s">
        <v>490</v>
      </c>
      <c r="E448" t="s">
        <v>525</v>
      </c>
      <c r="F448" t="s">
        <v>549</v>
      </c>
      <c r="G448">
        <v>4</v>
      </c>
      <c r="H448">
        <v>139.27000000000001</v>
      </c>
    </row>
    <row r="449" spans="1:8">
      <c r="A449" t="s">
        <v>1001</v>
      </c>
      <c r="B449" t="s">
        <v>539</v>
      </c>
      <c r="C449" t="s">
        <v>458</v>
      </c>
      <c r="D449" t="s">
        <v>34</v>
      </c>
      <c r="E449" t="s">
        <v>530</v>
      </c>
      <c r="F449" t="s">
        <v>549</v>
      </c>
      <c r="G449">
        <v>5</v>
      </c>
      <c r="H449">
        <v>236.43</v>
      </c>
    </row>
    <row r="450" spans="1:8">
      <c r="A450" t="s">
        <v>1002</v>
      </c>
      <c r="B450" t="s">
        <v>575</v>
      </c>
      <c r="C450" t="s">
        <v>585</v>
      </c>
      <c r="D450" t="s">
        <v>490</v>
      </c>
      <c r="E450" t="s">
        <v>554</v>
      </c>
      <c r="F450" t="s">
        <v>526</v>
      </c>
      <c r="G450">
        <v>10</v>
      </c>
      <c r="H450">
        <v>128</v>
      </c>
    </row>
    <row r="451" spans="1:8">
      <c r="A451" t="s">
        <v>1003</v>
      </c>
      <c r="B451" t="s">
        <v>571</v>
      </c>
      <c r="C451" t="s">
        <v>520</v>
      </c>
      <c r="D451" t="s">
        <v>40</v>
      </c>
      <c r="E451" t="s">
        <v>530</v>
      </c>
      <c r="F451" t="s">
        <v>522</v>
      </c>
      <c r="G451">
        <v>8</v>
      </c>
      <c r="H451">
        <v>233.76</v>
      </c>
    </row>
    <row r="452" spans="1:8">
      <c r="A452" t="s">
        <v>1004</v>
      </c>
      <c r="B452" t="s">
        <v>543</v>
      </c>
      <c r="C452" t="s">
        <v>529</v>
      </c>
      <c r="D452" t="s">
        <v>34</v>
      </c>
      <c r="E452" t="s">
        <v>548</v>
      </c>
      <c r="F452" t="s">
        <v>534</v>
      </c>
      <c r="G452">
        <v>7</v>
      </c>
      <c r="H452">
        <v>285.56</v>
      </c>
    </row>
    <row r="453" spans="1:8">
      <c r="A453" t="s">
        <v>1005</v>
      </c>
      <c r="B453" t="s">
        <v>575</v>
      </c>
      <c r="C453" t="s">
        <v>529</v>
      </c>
      <c r="D453" t="s">
        <v>34</v>
      </c>
      <c r="E453" t="s">
        <v>561</v>
      </c>
      <c r="F453" t="s">
        <v>562</v>
      </c>
      <c r="G453">
        <v>4</v>
      </c>
      <c r="H453">
        <v>94.16</v>
      </c>
    </row>
    <row r="454" spans="1:8">
      <c r="A454" t="s">
        <v>1006</v>
      </c>
      <c r="B454" t="s">
        <v>519</v>
      </c>
      <c r="C454" t="s">
        <v>458</v>
      </c>
      <c r="D454" t="s">
        <v>498</v>
      </c>
      <c r="E454" t="s">
        <v>561</v>
      </c>
      <c r="F454" t="s">
        <v>549</v>
      </c>
      <c r="G454">
        <v>7</v>
      </c>
      <c r="H454">
        <v>124.67</v>
      </c>
    </row>
    <row r="455" spans="1:8">
      <c r="A455" t="s">
        <v>1007</v>
      </c>
      <c r="B455" t="s">
        <v>578</v>
      </c>
      <c r="C455" t="s">
        <v>540</v>
      </c>
      <c r="D455" t="s">
        <v>498</v>
      </c>
      <c r="E455" t="s">
        <v>569</v>
      </c>
      <c r="F455" t="s">
        <v>531</v>
      </c>
      <c r="G455">
        <v>5</v>
      </c>
      <c r="H455">
        <v>202.45</v>
      </c>
    </row>
    <row r="456" spans="1:8">
      <c r="A456" t="s">
        <v>1008</v>
      </c>
      <c r="B456" t="s">
        <v>578</v>
      </c>
      <c r="C456" t="s">
        <v>529</v>
      </c>
      <c r="D456" t="s">
        <v>498</v>
      </c>
      <c r="E456" t="s">
        <v>530</v>
      </c>
      <c r="F456" t="s">
        <v>559</v>
      </c>
      <c r="G456">
        <v>6</v>
      </c>
      <c r="H456">
        <v>233.53</v>
      </c>
    </row>
    <row r="457" spans="1:8">
      <c r="A457" t="s">
        <v>1009</v>
      </c>
      <c r="B457" t="s">
        <v>533</v>
      </c>
      <c r="C457" t="s">
        <v>585</v>
      </c>
      <c r="D457" t="s">
        <v>34</v>
      </c>
      <c r="E457" t="s">
        <v>525</v>
      </c>
      <c r="F457" t="s">
        <v>549</v>
      </c>
      <c r="G457">
        <v>6</v>
      </c>
      <c r="H457">
        <v>190.98</v>
      </c>
    </row>
    <row r="458" spans="1:8">
      <c r="A458" t="s">
        <v>1010</v>
      </c>
      <c r="B458" t="s">
        <v>528</v>
      </c>
      <c r="C458" t="s">
        <v>464</v>
      </c>
      <c r="D458" t="s">
        <v>498</v>
      </c>
      <c r="E458" t="s">
        <v>569</v>
      </c>
      <c r="F458" t="s">
        <v>526</v>
      </c>
      <c r="G458">
        <v>7</v>
      </c>
      <c r="H458">
        <v>153.13</v>
      </c>
    </row>
    <row r="459" spans="1:8">
      <c r="A459" t="s">
        <v>1011</v>
      </c>
      <c r="B459" t="s">
        <v>528</v>
      </c>
      <c r="C459" t="s">
        <v>463</v>
      </c>
      <c r="D459" t="s">
        <v>490</v>
      </c>
      <c r="E459" t="s">
        <v>525</v>
      </c>
      <c r="F459" t="s">
        <v>551</v>
      </c>
      <c r="G459">
        <v>1</v>
      </c>
      <c r="H459">
        <v>116.06</v>
      </c>
    </row>
    <row r="460" spans="1:8">
      <c r="A460" t="s">
        <v>1012</v>
      </c>
      <c r="B460" t="s">
        <v>547</v>
      </c>
      <c r="C460" t="s">
        <v>458</v>
      </c>
      <c r="D460" t="s">
        <v>490</v>
      </c>
      <c r="E460" t="s">
        <v>572</v>
      </c>
      <c r="F460" t="s">
        <v>559</v>
      </c>
      <c r="G460">
        <v>2</v>
      </c>
      <c r="H460">
        <v>175.75</v>
      </c>
    </row>
    <row r="461" spans="1:8">
      <c r="A461" t="s">
        <v>1013</v>
      </c>
      <c r="B461" t="s">
        <v>519</v>
      </c>
      <c r="C461" t="s">
        <v>585</v>
      </c>
      <c r="D461" t="s">
        <v>498</v>
      </c>
      <c r="E461" t="s">
        <v>569</v>
      </c>
      <c r="F461" t="s">
        <v>531</v>
      </c>
      <c r="G461">
        <v>5</v>
      </c>
      <c r="H461">
        <v>110.69</v>
      </c>
    </row>
    <row r="462" spans="1:8">
      <c r="A462" t="s">
        <v>1014</v>
      </c>
      <c r="B462" t="s">
        <v>547</v>
      </c>
      <c r="C462" t="s">
        <v>568</v>
      </c>
      <c r="D462" t="s">
        <v>34</v>
      </c>
      <c r="E462" t="s">
        <v>521</v>
      </c>
      <c r="F462" t="s">
        <v>557</v>
      </c>
      <c r="G462">
        <v>7</v>
      </c>
      <c r="H462">
        <v>43.19</v>
      </c>
    </row>
    <row r="463" spans="1:8">
      <c r="A463" t="s">
        <v>1015</v>
      </c>
      <c r="B463" t="s">
        <v>543</v>
      </c>
      <c r="C463" t="s">
        <v>593</v>
      </c>
      <c r="D463" t="s">
        <v>34</v>
      </c>
      <c r="E463" t="s">
        <v>525</v>
      </c>
      <c r="F463" t="s">
        <v>549</v>
      </c>
      <c r="G463">
        <v>9</v>
      </c>
      <c r="H463">
        <v>225.27</v>
      </c>
    </row>
    <row r="464" spans="1:8">
      <c r="A464" t="s">
        <v>1016</v>
      </c>
      <c r="B464" t="s">
        <v>547</v>
      </c>
      <c r="C464" t="s">
        <v>540</v>
      </c>
      <c r="D464" t="s">
        <v>40</v>
      </c>
      <c r="E464" t="s">
        <v>530</v>
      </c>
      <c r="F464" t="s">
        <v>522</v>
      </c>
      <c r="G464">
        <v>5</v>
      </c>
      <c r="H464">
        <v>180.71</v>
      </c>
    </row>
    <row r="465" spans="1:8">
      <c r="A465" t="s">
        <v>1017</v>
      </c>
      <c r="B465" t="s">
        <v>547</v>
      </c>
      <c r="C465" t="s">
        <v>529</v>
      </c>
      <c r="D465" t="s">
        <v>498</v>
      </c>
      <c r="E465" t="s">
        <v>569</v>
      </c>
      <c r="F465" t="s">
        <v>562</v>
      </c>
      <c r="G465">
        <v>4</v>
      </c>
      <c r="H465">
        <v>95.36</v>
      </c>
    </row>
    <row r="466" spans="1:8">
      <c r="A466" t="s">
        <v>1018</v>
      </c>
      <c r="B466" t="s">
        <v>571</v>
      </c>
      <c r="C466" t="s">
        <v>540</v>
      </c>
      <c r="D466" t="s">
        <v>40</v>
      </c>
      <c r="E466" t="s">
        <v>572</v>
      </c>
      <c r="F466" t="s">
        <v>557</v>
      </c>
      <c r="G466">
        <v>4</v>
      </c>
      <c r="H466">
        <v>30.99</v>
      </c>
    </row>
    <row r="467" spans="1:8">
      <c r="A467" t="s">
        <v>1019</v>
      </c>
      <c r="B467" t="s">
        <v>547</v>
      </c>
      <c r="C467" t="s">
        <v>529</v>
      </c>
      <c r="D467" t="s">
        <v>40</v>
      </c>
      <c r="E467" t="s">
        <v>537</v>
      </c>
      <c r="F467" t="s">
        <v>522</v>
      </c>
      <c r="G467">
        <v>10</v>
      </c>
      <c r="H467">
        <v>128.46</v>
      </c>
    </row>
    <row r="468" spans="1:8">
      <c r="A468" t="s">
        <v>1020</v>
      </c>
      <c r="B468" t="s">
        <v>571</v>
      </c>
      <c r="C468" t="s">
        <v>585</v>
      </c>
      <c r="D468" t="s">
        <v>498</v>
      </c>
      <c r="E468" t="s">
        <v>548</v>
      </c>
      <c r="F468" t="s">
        <v>551</v>
      </c>
      <c r="G468">
        <v>8</v>
      </c>
      <c r="H468">
        <v>232.61</v>
      </c>
    </row>
    <row r="469" spans="1:8">
      <c r="A469" t="s">
        <v>1021</v>
      </c>
      <c r="B469" t="s">
        <v>547</v>
      </c>
      <c r="C469" t="s">
        <v>520</v>
      </c>
      <c r="D469" t="s">
        <v>40</v>
      </c>
      <c r="E469" t="s">
        <v>572</v>
      </c>
      <c r="F469" t="s">
        <v>534</v>
      </c>
      <c r="G469">
        <v>1</v>
      </c>
      <c r="H469">
        <v>164.62</v>
      </c>
    </row>
    <row r="470" spans="1:8">
      <c r="A470" t="s">
        <v>1022</v>
      </c>
      <c r="B470" t="s">
        <v>519</v>
      </c>
      <c r="C470" t="s">
        <v>585</v>
      </c>
      <c r="D470" t="s">
        <v>498</v>
      </c>
      <c r="E470" t="s">
        <v>525</v>
      </c>
      <c r="F470" t="s">
        <v>531</v>
      </c>
      <c r="G470">
        <v>4</v>
      </c>
      <c r="H470">
        <v>241.46</v>
      </c>
    </row>
    <row r="471" spans="1:8">
      <c r="A471" t="s">
        <v>1023</v>
      </c>
      <c r="B471" t="s">
        <v>524</v>
      </c>
      <c r="C471" t="s">
        <v>536</v>
      </c>
      <c r="D471" t="s">
        <v>490</v>
      </c>
      <c r="E471" t="s">
        <v>556</v>
      </c>
      <c r="F471" t="s">
        <v>522</v>
      </c>
      <c r="G471">
        <v>10</v>
      </c>
      <c r="H471">
        <v>187.96</v>
      </c>
    </row>
    <row r="472" spans="1:8">
      <c r="A472" t="s">
        <v>1024</v>
      </c>
      <c r="B472" t="s">
        <v>547</v>
      </c>
      <c r="C472" t="s">
        <v>593</v>
      </c>
      <c r="D472" t="s">
        <v>40</v>
      </c>
      <c r="E472" t="s">
        <v>569</v>
      </c>
      <c r="F472" t="s">
        <v>531</v>
      </c>
      <c r="G472">
        <v>9</v>
      </c>
      <c r="H472">
        <v>288.22000000000003</v>
      </c>
    </row>
    <row r="473" spans="1:8">
      <c r="A473" t="s">
        <v>1025</v>
      </c>
      <c r="B473" t="s">
        <v>543</v>
      </c>
      <c r="C473" t="s">
        <v>593</v>
      </c>
      <c r="D473" t="s">
        <v>34</v>
      </c>
      <c r="E473" t="s">
        <v>521</v>
      </c>
      <c r="F473" t="s">
        <v>557</v>
      </c>
      <c r="G473">
        <v>10</v>
      </c>
      <c r="H473">
        <v>287.98</v>
      </c>
    </row>
    <row r="474" spans="1:8">
      <c r="A474" t="s">
        <v>1026</v>
      </c>
      <c r="B474" t="s">
        <v>543</v>
      </c>
      <c r="C474" t="s">
        <v>410</v>
      </c>
      <c r="D474" t="s">
        <v>498</v>
      </c>
      <c r="E474" t="s">
        <v>556</v>
      </c>
      <c r="F474" t="s">
        <v>557</v>
      </c>
      <c r="G474">
        <v>5</v>
      </c>
      <c r="H474">
        <v>42.03</v>
      </c>
    </row>
    <row r="475" spans="1:8">
      <c r="A475" t="s">
        <v>1027</v>
      </c>
      <c r="B475" t="s">
        <v>571</v>
      </c>
      <c r="C475" t="s">
        <v>585</v>
      </c>
      <c r="D475" t="s">
        <v>490</v>
      </c>
      <c r="E475" t="s">
        <v>569</v>
      </c>
      <c r="F475" t="s">
        <v>541</v>
      </c>
      <c r="G475">
        <v>2</v>
      </c>
      <c r="H475">
        <v>87.04</v>
      </c>
    </row>
    <row r="476" spans="1:8">
      <c r="A476" t="s">
        <v>1028</v>
      </c>
      <c r="B476" t="s">
        <v>547</v>
      </c>
      <c r="C476" t="s">
        <v>545</v>
      </c>
      <c r="D476" t="s">
        <v>490</v>
      </c>
      <c r="E476" t="s">
        <v>537</v>
      </c>
      <c r="F476" t="s">
        <v>541</v>
      </c>
      <c r="G476">
        <v>7</v>
      </c>
      <c r="H476">
        <v>189.31</v>
      </c>
    </row>
    <row r="477" spans="1:8">
      <c r="A477" t="s">
        <v>1029</v>
      </c>
      <c r="B477" t="s">
        <v>533</v>
      </c>
      <c r="C477" t="s">
        <v>540</v>
      </c>
      <c r="D477" t="s">
        <v>34</v>
      </c>
      <c r="E477" t="s">
        <v>556</v>
      </c>
      <c r="F477" t="s">
        <v>534</v>
      </c>
      <c r="G477">
        <v>7</v>
      </c>
      <c r="H477">
        <v>229.77</v>
      </c>
    </row>
    <row r="478" spans="1:8">
      <c r="A478" t="s">
        <v>1030</v>
      </c>
      <c r="B478" t="s">
        <v>547</v>
      </c>
      <c r="C478" t="s">
        <v>536</v>
      </c>
      <c r="D478" t="s">
        <v>498</v>
      </c>
      <c r="E478" t="s">
        <v>572</v>
      </c>
      <c r="F478" t="s">
        <v>534</v>
      </c>
      <c r="G478">
        <v>2</v>
      </c>
      <c r="H478">
        <v>83.34</v>
      </c>
    </row>
    <row r="479" spans="1:8">
      <c r="A479" t="s">
        <v>1031</v>
      </c>
      <c r="B479" t="s">
        <v>543</v>
      </c>
      <c r="C479" t="s">
        <v>568</v>
      </c>
      <c r="D479" t="s">
        <v>498</v>
      </c>
      <c r="E479" t="s">
        <v>554</v>
      </c>
      <c r="F479" t="s">
        <v>534</v>
      </c>
      <c r="G479">
        <v>7</v>
      </c>
      <c r="H479">
        <v>111.97</v>
      </c>
    </row>
    <row r="480" spans="1:8">
      <c r="A480" t="s">
        <v>1032</v>
      </c>
      <c r="B480" t="s">
        <v>533</v>
      </c>
      <c r="C480" t="s">
        <v>593</v>
      </c>
      <c r="D480" t="s">
        <v>490</v>
      </c>
      <c r="E480" t="s">
        <v>554</v>
      </c>
      <c r="F480" t="s">
        <v>522</v>
      </c>
      <c r="G480">
        <v>1</v>
      </c>
      <c r="H480">
        <v>44.62</v>
      </c>
    </row>
    <row r="481" spans="1:8">
      <c r="A481" t="s">
        <v>1033</v>
      </c>
      <c r="B481" t="s">
        <v>575</v>
      </c>
      <c r="C481" t="s">
        <v>410</v>
      </c>
      <c r="D481" t="s">
        <v>34</v>
      </c>
      <c r="E481" t="s">
        <v>521</v>
      </c>
      <c r="F481" t="s">
        <v>534</v>
      </c>
      <c r="G481">
        <v>6</v>
      </c>
      <c r="H481">
        <v>185.13</v>
      </c>
    </row>
    <row r="482" spans="1:8">
      <c r="A482" t="s">
        <v>1034</v>
      </c>
      <c r="B482" t="s">
        <v>524</v>
      </c>
      <c r="C482" t="s">
        <v>520</v>
      </c>
      <c r="D482" t="s">
        <v>34</v>
      </c>
      <c r="E482" t="s">
        <v>521</v>
      </c>
      <c r="F482" t="s">
        <v>549</v>
      </c>
      <c r="G482">
        <v>6</v>
      </c>
      <c r="H482">
        <v>276.26</v>
      </c>
    </row>
    <row r="483" spans="1:8">
      <c r="A483" t="s">
        <v>1035</v>
      </c>
      <c r="B483" t="s">
        <v>519</v>
      </c>
      <c r="C483" t="s">
        <v>463</v>
      </c>
      <c r="D483" t="s">
        <v>498</v>
      </c>
      <c r="E483" t="s">
        <v>525</v>
      </c>
      <c r="F483" t="s">
        <v>562</v>
      </c>
      <c r="G483">
        <v>5</v>
      </c>
      <c r="H483">
        <v>176.5</v>
      </c>
    </row>
    <row r="484" spans="1:8">
      <c r="A484" t="s">
        <v>1036</v>
      </c>
      <c r="B484" t="s">
        <v>519</v>
      </c>
      <c r="C484" t="s">
        <v>410</v>
      </c>
      <c r="D484" t="s">
        <v>498</v>
      </c>
      <c r="E484" t="s">
        <v>537</v>
      </c>
      <c r="F484" t="s">
        <v>522</v>
      </c>
      <c r="G484">
        <v>4</v>
      </c>
      <c r="H484">
        <v>234.54</v>
      </c>
    </row>
    <row r="485" spans="1:8">
      <c r="A485" t="s">
        <v>1037</v>
      </c>
      <c r="B485" t="s">
        <v>575</v>
      </c>
      <c r="C485" t="s">
        <v>536</v>
      </c>
      <c r="D485" t="s">
        <v>498</v>
      </c>
      <c r="E485" t="s">
        <v>554</v>
      </c>
      <c r="F485" t="s">
        <v>551</v>
      </c>
      <c r="G485">
        <v>2</v>
      </c>
      <c r="H485">
        <v>236.71</v>
      </c>
    </row>
    <row r="486" spans="1:8">
      <c r="A486" t="s">
        <v>1038</v>
      </c>
      <c r="B486" t="s">
        <v>524</v>
      </c>
      <c r="C486" t="s">
        <v>520</v>
      </c>
      <c r="D486" t="s">
        <v>40</v>
      </c>
      <c r="E486" t="s">
        <v>569</v>
      </c>
      <c r="F486" t="s">
        <v>562</v>
      </c>
      <c r="G486">
        <v>4</v>
      </c>
      <c r="H486">
        <v>64.150000000000006</v>
      </c>
    </row>
    <row r="487" spans="1:8">
      <c r="A487" t="s">
        <v>1039</v>
      </c>
      <c r="B487" t="s">
        <v>528</v>
      </c>
      <c r="C487" t="s">
        <v>520</v>
      </c>
      <c r="D487" t="s">
        <v>490</v>
      </c>
      <c r="E487" t="s">
        <v>572</v>
      </c>
      <c r="F487" t="s">
        <v>549</v>
      </c>
      <c r="G487">
        <v>5</v>
      </c>
      <c r="H487">
        <v>276.37</v>
      </c>
    </row>
    <row r="488" spans="1:8">
      <c r="A488" t="s">
        <v>1040</v>
      </c>
      <c r="B488" t="s">
        <v>524</v>
      </c>
      <c r="C488" t="s">
        <v>529</v>
      </c>
      <c r="D488" t="s">
        <v>490</v>
      </c>
      <c r="E488" t="s">
        <v>530</v>
      </c>
      <c r="F488" t="s">
        <v>557</v>
      </c>
      <c r="G488">
        <v>2</v>
      </c>
      <c r="H488">
        <v>98.02</v>
      </c>
    </row>
    <row r="489" spans="1:8">
      <c r="A489" t="s">
        <v>1041</v>
      </c>
      <c r="B489" t="s">
        <v>575</v>
      </c>
      <c r="C489" t="s">
        <v>529</v>
      </c>
      <c r="D489" t="s">
        <v>34</v>
      </c>
      <c r="E489" t="s">
        <v>548</v>
      </c>
      <c r="F489" t="s">
        <v>541</v>
      </c>
      <c r="G489">
        <v>9</v>
      </c>
      <c r="H489">
        <v>99.39</v>
      </c>
    </row>
    <row r="490" spans="1:8">
      <c r="A490" t="s">
        <v>1042</v>
      </c>
      <c r="B490" t="s">
        <v>578</v>
      </c>
      <c r="C490" t="s">
        <v>464</v>
      </c>
      <c r="D490" t="s">
        <v>490</v>
      </c>
      <c r="E490" t="s">
        <v>554</v>
      </c>
      <c r="F490" t="s">
        <v>551</v>
      </c>
      <c r="G490">
        <v>5</v>
      </c>
      <c r="H490">
        <v>178.91</v>
      </c>
    </row>
    <row r="491" spans="1:8">
      <c r="A491" t="s">
        <v>1043</v>
      </c>
      <c r="B491" t="s">
        <v>539</v>
      </c>
      <c r="C491" t="s">
        <v>568</v>
      </c>
      <c r="D491" t="s">
        <v>490</v>
      </c>
      <c r="E491" t="s">
        <v>554</v>
      </c>
      <c r="F491" t="s">
        <v>526</v>
      </c>
      <c r="G491">
        <v>8</v>
      </c>
      <c r="H491">
        <v>108.14</v>
      </c>
    </row>
    <row r="492" spans="1:8">
      <c r="A492" t="s">
        <v>1044</v>
      </c>
      <c r="B492" t="s">
        <v>524</v>
      </c>
      <c r="C492" t="s">
        <v>458</v>
      </c>
      <c r="D492" t="s">
        <v>34</v>
      </c>
      <c r="E492" t="s">
        <v>556</v>
      </c>
      <c r="F492" t="s">
        <v>526</v>
      </c>
      <c r="G492">
        <v>10</v>
      </c>
      <c r="H492">
        <v>198.55</v>
      </c>
    </row>
    <row r="493" spans="1:8">
      <c r="A493" t="s">
        <v>1045</v>
      </c>
      <c r="B493" t="s">
        <v>524</v>
      </c>
      <c r="C493" t="s">
        <v>529</v>
      </c>
      <c r="D493" t="s">
        <v>34</v>
      </c>
      <c r="E493" t="s">
        <v>556</v>
      </c>
      <c r="F493" t="s">
        <v>534</v>
      </c>
      <c r="G493">
        <v>1</v>
      </c>
      <c r="H493">
        <v>188.06</v>
      </c>
    </row>
    <row r="494" spans="1:8">
      <c r="A494" t="s">
        <v>1046</v>
      </c>
      <c r="B494" t="s">
        <v>524</v>
      </c>
      <c r="C494" t="s">
        <v>536</v>
      </c>
      <c r="D494" t="s">
        <v>498</v>
      </c>
      <c r="E494" t="s">
        <v>572</v>
      </c>
      <c r="F494" t="s">
        <v>559</v>
      </c>
      <c r="G494">
        <v>8</v>
      </c>
      <c r="H494">
        <v>299.29000000000002</v>
      </c>
    </row>
    <row r="495" spans="1:8">
      <c r="A495" t="s">
        <v>1047</v>
      </c>
      <c r="B495" t="s">
        <v>533</v>
      </c>
      <c r="C495" t="s">
        <v>410</v>
      </c>
      <c r="D495" t="s">
        <v>34</v>
      </c>
      <c r="E495" t="s">
        <v>572</v>
      </c>
      <c r="F495" t="s">
        <v>522</v>
      </c>
      <c r="G495">
        <v>10</v>
      </c>
      <c r="H495">
        <v>279.77</v>
      </c>
    </row>
    <row r="496" spans="1:8">
      <c r="A496" t="s">
        <v>1048</v>
      </c>
      <c r="B496" t="s">
        <v>539</v>
      </c>
      <c r="C496" t="s">
        <v>529</v>
      </c>
      <c r="D496" t="s">
        <v>490</v>
      </c>
      <c r="E496" t="s">
        <v>556</v>
      </c>
      <c r="F496" t="s">
        <v>526</v>
      </c>
      <c r="G496">
        <v>10</v>
      </c>
      <c r="H496">
        <v>184.73</v>
      </c>
    </row>
    <row r="497" spans="1:8">
      <c r="A497" t="s">
        <v>1049</v>
      </c>
      <c r="B497" t="s">
        <v>578</v>
      </c>
      <c r="C497" t="s">
        <v>529</v>
      </c>
      <c r="D497" t="s">
        <v>498</v>
      </c>
      <c r="E497" t="s">
        <v>556</v>
      </c>
      <c r="F497" t="s">
        <v>541</v>
      </c>
      <c r="G497">
        <v>7</v>
      </c>
      <c r="H497">
        <v>173.74</v>
      </c>
    </row>
    <row r="498" spans="1:8">
      <c r="A498" t="s">
        <v>1050</v>
      </c>
      <c r="B498" t="s">
        <v>528</v>
      </c>
      <c r="C498" t="s">
        <v>464</v>
      </c>
      <c r="D498" t="s">
        <v>490</v>
      </c>
      <c r="E498" t="s">
        <v>521</v>
      </c>
      <c r="F498" t="s">
        <v>531</v>
      </c>
      <c r="G498">
        <v>7</v>
      </c>
      <c r="H498">
        <v>149.65</v>
      </c>
    </row>
    <row r="499" spans="1:8">
      <c r="A499" t="s">
        <v>1051</v>
      </c>
      <c r="B499" t="s">
        <v>571</v>
      </c>
      <c r="C499" t="s">
        <v>545</v>
      </c>
      <c r="D499" t="s">
        <v>34</v>
      </c>
      <c r="E499" t="s">
        <v>556</v>
      </c>
      <c r="F499" t="s">
        <v>557</v>
      </c>
      <c r="G499">
        <v>2</v>
      </c>
      <c r="H499">
        <v>145.93</v>
      </c>
    </row>
    <row r="500" spans="1:8">
      <c r="A500" t="s">
        <v>1052</v>
      </c>
      <c r="B500" t="s">
        <v>528</v>
      </c>
      <c r="C500" t="s">
        <v>463</v>
      </c>
      <c r="D500" t="s">
        <v>34</v>
      </c>
      <c r="E500" t="s">
        <v>548</v>
      </c>
      <c r="F500" t="s">
        <v>549</v>
      </c>
      <c r="G500">
        <v>10</v>
      </c>
      <c r="H500">
        <v>232.94</v>
      </c>
    </row>
    <row r="501" spans="1:8">
      <c r="A501" t="s">
        <v>1053</v>
      </c>
      <c r="B501" t="s">
        <v>539</v>
      </c>
      <c r="C501" t="s">
        <v>585</v>
      </c>
      <c r="D501" t="s">
        <v>34</v>
      </c>
      <c r="E501" t="s">
        <v>561</v>
      </c>
      <c r="F501" t="s">
        <v>522</v>
      </c>
      <c r="G501">
        <v>8</v>
      </c>
      <c r="H501">
        <v>285.13</v>
      </c>
    </row>
    <row r="502" spans="1:8">
      <c r="A502" t="s">
        <v>1054</v>
      </c>
      <c r="B502" t="s">
        <v>575</v>
      </c>
      <c r="C502" t="s">
        <v>536</v>
      </c>
      <c r="D502" t="s">
        <v>34</v>
      </c>
      <c r="E502" t="s">
        <v>569</v>
      </c>
      <c r="F502" t="s">
        <v>559</v>
      </c>
      <c r="G502">
        <v>5</v>
      </c>
      <c r="H502">
        <v>220.67</v>
      </c>
    </row>
    <row r="503" spans="1:8">
      <c r="A503" t="s">
        <v>1055</v>
      </c>
      <c r="B503" t="s">
        <v>533</v>
      </c>
      <c r="C503" t="s">
        <v>463</v>
      </c>
      <c r="D503" t="s">
        <v>490</v>
      </c>
      <c r="E503" t="s">
        <v>525</v>
      </c>
      <c r="F503" t="s">
        <v>541</v>
      </c>
      <c r="G503">
        <v>2</v>
      </c>
      <c r="H503">
        <v>214.69</v>
      </c>
    </row>
  </sheetData>
  <autoFilter ref="A3:H503" xr:uid="{8BB165BB-3974-4B61-A7B6-F3FE829251A2}"/>
  <mergeCells count="2">
    <mergeCell ref="A1:G1"/>
    <mergeCell ref="R5:V5"/>
  </mergeCells>
  <phoneticPr fontId="12" type="noConversion"/>
  <dataValidations count="2">
    <dataValidation type="list" allowBlank="1" showInputMessage="1" showErrorMessage="1" sqref="M9:M10" xr:uid="{AE27089A-BFE1-48E8-86EF-09648214AA43}">
      <formula1>$M$16:$M$27</formula1>
    </dataValidation>
    <dataValidation type="list" allowBlank="1" showInputMessage="1" showErrorMessage="1" sqref="N7:O8" xr:uid="{7DF585C9-9E93-4769-BC16-9E8E164EA7E2}">
      <formula1>$N$15:$W$15</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3194-B741-4F50-A780-4921373B5CF2}">
  <sheetPr codeName="Sheet10"/>
  <dimension ref="A1:I22"/>
  <sheetViews>
    <sheetView workbookViewId="0">
      <selection activeCell="I23" sqref="I23"/>
    </sheetView>
  </sheetViews>
  <sheetFormatPr defaultRowHeight="14.4"/>
  <cols>
    <col min="1" max="1" width="27.5546875" bestFit="1" customWidth="1"/>
    <col min="2" max="2" width="8.33203125" bestFit="1" customWidth="1"/>
    <col min="3" max="3" width="14" bestFit="1" customWidth="1"/>
    <col min="4" max="4" width="10" bestFit="1" customWidth="1"/>
    <col min="5" max="5" width="8.77734375" bestFit="1" customWidth="1"/>
    <col min="6" max="6" width="8.6640625" bestFit="1" customWidth="1"/>
    <col min="7" max="7" width="16.88671875" bestFit="1" customWidth="1"/>
    <col min="8" max="8" width="11.88671875" bestFit="1" customWidth="1"/>
    <col min="9" max="9" width="18.21875" bestFit="1" customWidth="1"/>
  </cols>
  <sheetData>
    <row r="1" spans="1:9">
      <c r="A1" s="39" t="s">
        <v>1062</v>
      </c>
      <c r="B1" s="39" t="s">
        <v>1063</v>
      </c>
      <c r="C1" s="39" t="s">
        <v>1064</v>
      </c>
      <c r="D1" s="39" t="s">
        <v>1065</v>
      </c>
      <c r="E1" s="39" t="s">
        <v>1066</v>
      </c>
      <c r="F1" s="39" t="s">
        <v>1067</v>
      </c>
      <c r="G1" s="39" t="s">
        <v>1068</v>
      </c>
      <c r="H1" s="39" t="s">
        <v>1069</v>
      </c>
      <c r="I1" s="39" t="s">
        <v>1070</v>
      </c>
    </row>
    <row r="2" spans="1:9">
      <c r="A2" s="40" t="s">
        <v>1071</v>
      </c>
      <c r="B2" s="41" t="s">
        <v>1072</v>
      </c>
      <c r="C2" s="41" t="s">
        <v>1073</v>
      </c>
      <c r="D2" s="41" t="s">
        <v>1074</v>
      </c>
      <c r="E2" s="41" t="s">
        <v>1074</v>
      </c>
      <c r="F2" s="41" t="s">
        <v>1074</v>
      </c>
      <c r="G2" s="41" t="s">
        <v>1074</v>
      </c>
      <c r="H2" s="41" t="s">
        <v>1074</v>
      </c>
      <c r="I2" s="41" t="s">
        <v>1075</v>
      </c>
    </row>
    <row r="3" spans="1:9">
      <c r="A3" s="40" t="s">
        <v>1076</v>
      </c>
      <c r="B3" s="41" t="s">
        <v>1077</v>
      </c>
      <c r="C3" s="41" t="s">
        <v>1078</v>
      </c>
      <c r="D3" s="41" t="s">
        <v>1074</v>
      </c>
      <c r="E3" s="41" t="s">
        <v>1074</v>
      </c>
      <c r="F3" s="41" t="s">
        <v>1074</v>
      </c>
      <c r="G3" s="41" t="s">
        <v>1074</v>
      </c>
      <c r="H3" s="41" t="s">
        <v>1074</v>
      </c>
      <c r="I3" s="41" t="s">
        <v>1079</v>
      </c>
    </row>
    <row r="4" spans="1:9">
      <c r="A4" s="40" t="s">
        <v>1080</v>
      </c>
      <c r="B4" s="41" t="s">
        <v>1081</v>
      </c>
      <c r="C4" s="41" t="s">
        <v>1082</v>
      </c>
      <c r="D4" s="41" t="s">
        <v>1074</v>
      </c>
      <c r="E4" s="41" t="s">
        <v>1074</v>
      </c>
      <c r="F4" s="41" t="s">
        <v>1074</v>
      </c>
      <c r="G4" s="41" t="s">
        <v>1083</v>
      </c>
      <c r="H4" s="41" t="s">
        <v>1074</v>
      </c>
      <c r="I4" s="41" t="s">
        <v>1084</v>
      </c>
    </row>
    <row r="5" spans="1:9">
      <c r="A5" s="40" t="s">
        <v>1085</v>
      </c>
      <c r="B5" s="41" t="s">
        <v>1086</v>
      </c>
      <c r="C5" s="41" t="s">
        <v>1087</v>
      </c>
      <c r="D5" s="41" t="s">
        <v>1088</v>
      </c>
      <c r="E5" s="41" t="s">
        <v>1074</v>
      </c>
      <c r="F5" s="41" t="s">
        <v>1074</v>
      </c>
      <c r="G5" s="41" t="s">
        <v>1074</v>
      </c>
      <c r="H5" s="41" t="s">
        <v>1074</v>
      </c>
      <c r="I5" s="41" t="s">
        <v>1089</v>
      </c>
    </row>
    <row r="6" spans="1:9">
      <c r="A6" s="40" t="s">
        <v>1090</v>
      </c>
      <c r="B6" s="41" t="s">
        <v>1074</v>
      </c>
      <c r="C6" s="41" t="s">
        <v>1091</v>
      </c>
      <c r="D6" s="41" t="s">
        <v>1074</v>
      </c>
      <c r="E6" s="41" t="s">
        <v>1074</v>
      </c>
      <c r="F6" s="41" t="s">
        <v>1092</v>
      </c>
      <c r="G6" s="41" t="s">
        <v>1074</v>
      </c>
      <c r="H6" s="41" t="s">
        <v>1093</v>
      </c>
      <c r="I6" s="41" t="s">
        <v>1094</v>
      </c>
    </row>
    <row r="7" spans="1:9">
      <c r="A7" s="40" t="s">
        <v>1095</v>
      </c>
      <c r="B7" s="41" t="s">
        <v>1074</v>
      </c>
      <c r="C7" s="41" t="s">
        <v>1096</v>
      </c>
      <c r="D7" s="41" t="s">
        <v>1074</v>
      </c>
      <c r="E7" s="41" t="s">
        <v>1074</v>
      </c>
      <c r="F7" s="41" t="s">
        <v>1074</v>
      </c>
      <c r="G7" s="41" t="s">
        <v>1097</v>
      </c>
      <c r="H7" s="41" t="s">
        <v>1074</v>
      </c>
      <c r="I7" s="41" t="s">
        <v>1098</v>
      </c>
    </row>
    <row r="8" spans="1:9">
      <c r="A8" s="40" t="s">
        <v>1099</v>
      </c>
      <c r="B8" s="41" t="s">
        <v>1100</v>
      </c>
      <c r="C8" s="41" t="s">
        <v>1101</v>
      </c>
      <c r="D8" s="41" t="s">
        <v>1074</v>
      </c>
      <c r="E8" s="41" t="s">
        <v>1074</v>
      </c>
      <c r="F8" s="41" t="s">
        <v>1074</v>
      </c>
      <c r="G8" s="41" t="s">
        <v>1074</v>
      </c>
      <c r="H8" s="41" t="s">
        <v>1102</v>
      </c>
      <c r="I8" s="41" t="s">
        <v>1103</v>
      </c>
    </row>
    <row r="9" spans="1:9">
      <c r="A9" s="40" t="s">
        <v>1104</v>
      </c>
      <c r="B9" s="41" t="s">
        <v>1105</v>
      </c>
      <c r="C9" s="41" t="s">
        <v>1106</v>
      </c>
      <c r="D9" s="41" t="s">
        <v>1074</v>
      </c>
      <c r="E9" s="41" t="s">
        <v>1074</v>
      </c>
      <c r="F9" s="41" t="s">
        <v>1074</v>
      </c>
      <c r="G9" s="41" t="s">
        <v>1074</v>
      </c>
      <c r="H9" s="41" t="s">
        <v>1074</v>
      </c>
      <c r="I9" s="41" t="s">
        <v>1107</v>
      </c>
    </row>
    <row r="10" spans="1:9">
      <c r="A10" s="40" t="s">
        <v>1108</v>
      </c>
      <c r="B10" s="41" t="s">
        <v>1109</v>
      </c>
      <c r="C10" s="41" t="s">
        <v>1110</v>
      </c>
      <c r="D10" s="41" t="s">
        <v>1074</v>
      </c>
      <c r="E10" s="41" t="s">
        <v>1074</v>
      </c>
      <c r="F10" s="41" t="s">
        <v>1074</v>
      </c>
      <c r="G10" s="41" t="s">
        <v>1074</v>
      </c>
      <c r="H10" s="41" t="s">
        <v>1074</v>
      </c>
      <c r="I10" s="41" t="s">
        <v>1111</v>
      </c>
    </row>
    <row r="11" spans="1:9">
      <c r="A11" s="40" t="s">
        <v>1112</v>
      </c>
      <c r="B11" s="41" t="s">
        <v>1113</v>
      </c>
      <c r="C11" s="41" t="s">
        <v>1114</v>
      </c>
      <c r="D11" s="41" t="s">
        <v>1074</v>
      </c>
      <c r="E11" s="41" t="s">
        <v>1074</v>
      </c>
      <c r="F11" s="41" t="s">
        <v>1074</v>
      </c>
      <c r="G11" s="41" t="s">
        <v>1074</v>
      </c>
      <c r="H11" s="41" t="s">
        <v>1074</v>
      </c>
      <c r="I11" s="41" t="s">
        <v>1115</v>
      </c>
    </row>
    <row r="12" spans="1:9">
      <c r="A12" s="40" t="s">
        <v>1116</v>
      </c>
      <c r="B12" s="41" t="s">
        <v>1117</v>
      </c>
      <c r="C12" s="41" t="s">
        <v>1118</v>
      </c>
      <c r="D12" s="41" t="s">
        <v>1074</v>
      </c>
      <c r="E12" s="41" t="s">
        <v>1074</v>
      </c>
      <c r="F12" s="41" t="s">
        <v>1074</v>
      </c>
      <c r="G12" s="41" t="s">
        <v>1074</v>
      </c>
      <c r="H12" s="41" t="s">
        <v>1074</v>
      </c>
      <c r="I12" s="41" t="s">
        <v>1119</v>
      </c>
    </row>
    <row r="13" spans="1:9">
      <c r="A13" s="40" t="s">
        <v>1120</v>
      </c>
      <c r="B13" s="41" t="s">
        <v>1121</v>
      </c>
      <c r="C13" s="41" t="s">
        <v>1114</v>
      </c>
      <c r="D13" s="41" t="s">
        <v>1074</v>
      </c>
      <c r="E13" s="41" t="s">
        <v>1122</v>
      </c>
      <c r="F13" s="41" t="s">
        <v>1073</v>
      </c>
      <c r="G13" s="41" t="s">
        <v>1123</v>
      </c>
      <c r="H13" s="41" t="s">
        <v>1074</v>
      </c>
      <c r="I13" s="41" t="s">
        <v>1124</v>
      </c>
    </row>
    <row r="14" spans="1:9">
      <c r="A14" s="40" t="s">
        <v>1125</v>
      </c>
      <c r="B14" s="41" t="s">
        <v>1126</v>
      </c>
      <c r="C14" s="41" t="s">
        <v>1127</v>
      </c>
      <c r="D14" s="41" t="s">
        <v>1074</v>
      </c>
      <c r="E14" s="41" t="s">
        <v>1128</v>
      </c>
      <c r="F14" s="41" t="s">
        <v>1074</v>
      </c>
      <c r="G14" s="41" t="s">
        <v>1074</v>
      </c>
      <c r="H14" s="41" t="s">
        <v>1074</v>
      </c>
      <c r="I14" s="41" t="s">
        <v>1129</v>
      </c>
    </row>
    <row r="15" spans="1:9">
      <c r="A15" s="40" t="s">
        <v>1130</v>
      </c>
      <c r="B15" s="41" t="s">
        <v>1131</v>
      </c>
      <c r="C15" s="41" t="s">
        <v>1132</v>
      </c>
      <c r="D15" s="41" t="s">
        <v>1074</v>
      </c>
      <c r="E15" s="41" t="s">
        <v>1074</v>
      </c>
      <c r="F15" s="41" t="s">
        <v>1074</v>
      </c>
      <c r="G15" s="41" t="s">
        <v>1074</v>
      </c>
      <c r="H15" s="41" t="s">
        <v>1074</v>
      </c>
      <c r="I15" s="41" t="s">
        <v>1133</v>
      </c>
    </row>
    <row r="16" spans="1:9">
      <c r="A16" s="40" t="s">
        <v>1134</v>
      </c>
      <c r="B16" s="41" t="s">
        <v>1135</v>
      </c>
      <c r="C16" s="41" t="s">
        <v>1082</v>
      </c>
      <c r="D16" s="41" t="s">
        <v>1074</v>
      </c>
      <c r="E16" s="41" t="s">
        <v>1074</v>
      </c>
      <c r="F16" s="41" t="s">
        <v>1074</v>
      </c>
      <c r="G16" s="41" t="s">
        <v>1136</v>
      </c>
      <c r="H16" s="41" t="s">
        <v>1074</v>
      </c>
      <c r="I16" s="41" t="s">
        <v>1137</v>
      </c>
    </row>
    <row r="17" spans="1:9">
      <c r="A17" s="40" t="s">
        <v>1138</v>
      </c>
      <c r="B17" s="41" t="s">
        <v>1139</v>
      </c>
      <c r="C17" s="41" t="s">
        <v>1140</v>
      </c>
      <c r="D17" s="41" t="s">
        <v>1141</v>
      </c>
      <c r="E17" s="41" t="s">
        <v>1074</v>
      </c>
      <c r="F17" s="41" t="s">
        <v>1074</v>
      </c>
      <c r="G17" s="41" t="s">
        <v>1074</v>
      </c>
      <c r="H17" s="41" t="s">
        <v>1074</v>
      </c>
      <c r="I17" s="41" t="s">
        <v>1142</v>
      </c>
    </row>
    <row r="18" spans="1:9">
      <c r="A18" s="40" t="s">
        <v>1143</v>
      </c>
      <c r="B18" s="41" t="s">
        <v>1144</v>
      </c>
      <c r="C18" s="41" t="s">
        <v>1145</v>
      </c>
      <c r="D18" s="41" t="s">
        <v>1074</v>
      </c>
      <c r="E18" s="41" t="s">
        <v>1074</v>
      </c>
      <c r="F18" s="41" t="s">
        <v>1074</v>
      </c>
      <c r="G18" s="41" t="s">
        <v>1074</v>
      </c>
      <c r="H18" s="41" t="s">
        <v>1074</v>
      </c>
      <c r="I18" s="41" t="s">
        <v>1146</v>
      </c>
    </row>
    <row r="19" spans="1:9">
      <c r="A19" s="40" t="s">
        <v>1147</v>
      </c>
      <c r="B19" s="41" t="s">
        <v>1148</v>
      </c>
      <c r="C19" s="41" t="s">
        <v>1101</v>
      </c>
      <c r="D19" s="41" t="s">
        <v>1074</v>
      </c>
      <c r="E19" s="41" t="s">
        <v>1074</v>
      </c>
      <c r="F19" s="41" t="s">
        <v>1074</v>
      </c>
      <c r="G19" s="41" t="s">
        <v>1074</v>
      </c>
      <c r="H19" s="41" t="s">
        <v>1074</v>
      </c>
      <c r="I19" s="41" t="s">
        <v>1149</v>
      </c>
    </row>
    <row r="20" spans="1:9">
      <c r="A20" s="40" t="s">
        <v>1150</v>
      </c>
      <c r="B20" s="41" t="s">
        <v>1151</v>
      </c>
      <c r="C20" s="41" t="s">
        <v>1152</v>
      </c>
      <c r="D20" s="41" t="s">
        <v>1074</v>
      </c>
      <c r="E20" s="41" t="s">
        <v>1153</v>
      </c>
      <c r="F20" s="41" t="s">
        <v>1154</v>
      </c>
      <c r="G20" s="41" t="s">
        <v>1074</v>
      </c>
      <c r="H20" s="41" t="s">
        <v>1074</v>
      </c>
      <c r="I20" s="41" t="s">
        <v>1155</v>
      </c>
    </row>
    <row r="21" spans="1:9">
      <c r="A21" s="40" t="s">
        <v>1156</v>
      </c>
      <c r="B21" s="41" t="s">
        <v>1157</v>
      </c>
      <c r="C21" s="41" t="s">
        <v>1158</v>
      </c>
      <c r="D21" s="41" t="s">
        <v>1074</v>
      </c>
      <c r="E21" s="41" t="s">
        <v>1074</v>
      </c>
      <c r="F21" s="41" t="s">
        <v>1074</v>
      </c>
      <c r="G21" s="41" t="s">
        <v>1159</v>
      </c>
      <c r="H21" s="41" t="s">
        <v>1074</v>
      </c>
      <c r="I21" s="41" t="s">
        <v>1160</v>
      </c>
    </row>
    <row r="22" spans="1:9">
      <c r="A22" s="40" t="s">
        <v>1161</v>
      </c>
      <c r="B22" s="41" t="s">
        <v>1162</v>
      </c>
      <c r="C22" s="41" t="s">
        <v>1163</v>
      </c>
      <c r="D22" s="41" t="s">
        <v>1074</v>
      </c>
      <c r="E22" s="41" t="s">
        <v>1074</v>
      </c>
      <c r="F22" s="41" t="s">
        <v>1074</v>
      </c>
      <c r="G22" s="41" t="s">
        <v>1074</v>
      </c>
      <c r="H22" s="41" t="s">
        <v>1074</v>
      </c>
      <c r="I22" s="41" t="s">
        <v>1164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Topics-to-cover</vt:lpstr>
      <vt:lpstr>chart-slicer-timeline</vt:lpstr>
      <vt:lpstr>grouping</vt:lpstr>
      <vt:lpstr>show-values-as</vt:lpstr>
      <vt:lpstr>calculated-field</vt:lpstr>
      <vt:lpstr>calculated-items</vt:lpstr>
      <vt:lpstr>raw_data</vt:lpstr>
      <vt:lpstr>dynamic-pivot-table</vt:lpstr>
      <vt:lpstr>GetPivotData-formula</vt:lpstr>
      <vt:lpstr>named_range</vt:lpstr>
      <vt:lpstr>Named_range_sheet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Rohit Singh</cp:lastModifiedBy>
  <dcterms:created xsi:type="dcterms:W3CDTF">2022-09-21T05:23:45Z</dcterms:created>
  <dcterms:modified xsi:type="dcterms:W3CDTF">2025-05-27T16:20:49Z</dcterms:modified>
</cp:coreProperties>
</file>