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Excel_Practice\All-about-PivotTable\"/>
    </mc:Choice>
  </mc:AlternateContent>
  <xr:revisionPtr revIDLastSave="0" documentId="13_ncr:1_{E7F5547D-CBC8-40D8-893B-B4E9A2866144}" xr6:coauthVersionLast="47" xr6:coauthVersionMax="47" xr10:uidLastSave="{00000000-0000-0000-0000-000000000000}"/>
  <bookViews>
    <workbookView xWindow="-108" yWindow="-108" windowWidth="23256" windowHeight="12456" activeTab="4" xr2:uid="{227FCAC1-362A-438F-AF3A-94EDB6940EC4}"/>
  </bookViews>
  <sheets>
    <sheet name="Break" sheetId="1" r:id="rId1"/>
    <sheet name="Efficiency" sheetId="2" r:id="rId2"/>
    <sheet name="Overall-performance" sheetId="3" r:id="rId3"/>
    <sheet name="summary-sheet" sheetId="4" r:id="rId4"/>
    <sheet name="Dashboard" sheetId="5" r:id="rId5"/>
  </sheets>
  <definedNames>
    <definedName name="_xlnm._FilterDatabase" localSheetId="3" hidden="1">'summary-sheet'!$A$1:$G$1</definedName>
    <definedName name="Break_data">Break!$A:$I</definedName>
    <definedName name="Efficiency_data">Efficiency!$A:$Q</definedName>
    <definedName name="Performance_data">'Overall-performance'!$A:$J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<sst xmlns="http://schemas.openxmlformats.org/spreadsheetml/2006/main" count="2446" uniqueCount="1013">
  <si>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</si>
  <si>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</si>
  <si>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</si>
  <si>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</si>
  <si>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</si>
  <si>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</si>
  <si>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</si>
  <si>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</si>
  <si>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</si>
  <si>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</si>
  <si>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</si>
  <si>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</si>
  <si>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</si>
  <si>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</si>
  <si>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</si>
  <si>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</si>
  <si>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</si>
  <si>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</si>
  <si>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</si>
  <si>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</si>
  <si>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</si>
  <si>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</si>
  <si>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</si>
  <si>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</si>
  <si>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</si>
  <si>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</si>
  <si>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</si>
  <si>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</si>
  <si>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</si>
  <si>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</si>
  <si>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</si>
  <si>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</si>
  <si>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</si>
  <si>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</si>
  <si>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</si>
  <si>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</si>
  <si>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</si>
  <si>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</si>
  <si>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</si>
  <si>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</si>
  <si>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</si>
  <si>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</si>
  <si>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</si>
  <si>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</si>
  <si>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</si>
  <si>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</si>
  <si>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</si>
  <si>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</si>
  <si>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</si>
  <si>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</si>
  <si>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</si>
  <si>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</si>
  <si>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</si>
  <si>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</si>
  <si>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</si>
  <si>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</si>
  <si>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</si>
  <si>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</si>
  <si>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</si>
  <si>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</si>
  <si>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</si>
  <si>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</si>
  <si>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</si>
  <si>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</si>
  <si>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</si>
  <si>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</si>
  <si>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</si>
  <si>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</si>
  <si>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</si>
  <si>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</si>
  <si>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</si>
  <si>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</si>
  <si>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</si>
  <si>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</si>
  <si>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</si>
  <si>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</si>
  <si>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</si>
  <si>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</si>
  <si>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</si>
  <si>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</si>
  <si>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</si>
  <si>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</si>
  <si>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</si>
  <si>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</si>
  <si>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</si>
  <si>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</si>
  <si>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</si>
  <si>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</si>
  <si>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</si>
  <si>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</si>
  <si>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</si>
  <si>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</si>
  <si>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</si>
  <si>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</si>
  <si>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</si>
  <si>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</si>
  <si>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</si>
  <si>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</si>
  <si>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</si>
  <si>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</si>
  <si>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</si>
  <si>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</si>
  <si>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</si>
  <si>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</si>
  <si>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</si>
  <si>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</si>
  <si>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</si>
  <si>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</si>
  <si>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</si>
  <si>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</si>
  <si>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</si>
  <si>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</si>
  <si>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</si>
  <si>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</si>
  <si>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</si>
  <si>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</si>
  <si>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</si>
  <si>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</si>
  <si>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</si>
  <si>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</si>
  <si>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</si>
  <si>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</si>
  <si>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</si>
  <si>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</si>
  <si>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</si>
  <si>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</si>
  <si>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</si>
  <si>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</si>
  <si>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</si>
  <si>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</si>
  <si>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</si>
  <si>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</si>
  <si>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</si>
  <si>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</si>
  <si>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</si>
  <si>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</si>
  <si>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</si>
  <si>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</si>
  <si>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</si>
  <si>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</si>
  <si>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</si>
  <si>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</si>
  <si>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</si>
  <si>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</si>
  <si>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</si>
  <si>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</si>
  <si>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</si>
  <si>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</si>
  <si>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</si>
  <si>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</si>
  <si>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</si>
  <si>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</si>
  <si>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</si>
  <si>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</si>
  <si>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</si>
  <si>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</si>
  <si>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</si>
  <si>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</si>
  <si>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</si>
  <si>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</si>
  <si>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</si>
  <si>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</si>
  <si>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</si>
  <si>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</si>
  <si>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</si>
  <si>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</si>
  <si>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</si>
  <si>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</si>
  <si>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</si>
  <si>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</si>
  <si>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</si>
  <si>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</si>
  <si>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</si>
  <si>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</si>
  <si>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</si>
  <si>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</si>
  <si>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</si>
  <si>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</si>
  <si>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</si>
  <si>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</si>
  <si>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</si>
  <si>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</si>
  <si>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</si>
  <si>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</si>
  <si>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</si>
  <si>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</si>
  <si>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</si>
  <si>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</si>
  <si>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</si>
  <si>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</si>
  <si>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</si>
  <si>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</si>
  <si>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</si>
  <si>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</si>
  <si>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</si>
  <si>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</si>
  <si>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</si>
  <si>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</si>
  <si>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</si>
  <si>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</si>
  <si>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</si>
  <si>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</si>
  <si>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</si>
  <si>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</si>
  <si>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</si>
  <si>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</si>
  <si>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</si>
  <si>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</si>
  <si>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</si>
  <si>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</si>
  <si>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</si>
  <si>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</si>
  <si>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</si>
  <si>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</si>
  <si>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</si>
  <si>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</si>
  <si>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</si>
  <si>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</si>
  <si>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</si>
  <si>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</si>
  <si>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</si>
  <si>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</si>
  <si>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</si>
  <si>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</si>
  <si>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</si>
  <si>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</si>
  <si>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</si>
  <si>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</si>
  <si>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</si>
  <si>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</si>
  <si>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</si>
  <si>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</si>
  <si>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</si>
  <si>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</si>
  <si>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</si>
  <si>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</si>
  <si>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</si>
  <si>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</si>
  <si>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</si>
  <si>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</si>
  <si>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</si>
  <si>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</si>
  <si>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</si>
  <si>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</si>
  <si>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</si>
  <si>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</si>
  <si>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</si>
  <si>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</si>
  <si>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</si>
  <si>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</si>
  <si>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</si>
  <si>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</si>
  <si>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</si>
  <si>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</si>
  <si>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</si>
  <si>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</si>
  <si>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</si>
  <si>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</si>
  <si>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</si>
  <si>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</si>
  <si>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</si>
  <si>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</si>
  <si>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</si>
  <si>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</si>
  <si>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</si>
  <si>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</si>
  <si>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</si>
  <si>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</si>
  <si>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</si>
  <si>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</si>
  <si>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</si>
  <si>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</si>
  <si>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</si>
  <si>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</si>
  <si>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</si>
  <si>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</si>
  <si>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</si>
  <si>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</si>
  <si>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</si>
  <si>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</si>
  <si>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</si>
  <si>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</si>
  <si>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</si>
  <si>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</si>
  <si>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</si>
  <si>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</si>
  <si>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</si>
  <si>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</si>
  <si>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</si>
  <si>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</si>
  <si>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</si>
  <si>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</si>
  <si>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</si>
  <si>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</si>
  <si>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</si>
  <si>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</si>
  <si>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</si>
  <si>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</si>
  <si>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</si>
  <si>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</si>
  <si>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</si>
  <si>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</si>
  <si>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</si>
  <si>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</si>
  <si>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</si>
  <si>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</si>
  <si>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</si>
  <si>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</si>
  <si>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</si>
  <si>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</si>
  <si>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</si>
  <si>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</si>
  <si>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</si>
  <si>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</si>
  <si>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</si>
  <si>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</si>
  <si>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</si>
  <si>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</si>
  <si>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</si>
  <si>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</si>
  <si>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</si>
  <si>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</si>
  <si>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</si>
  <si>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</si>
  <si>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</si>
  <si>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</si>
  <si>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</si>
  <si>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</si>
  <si>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</si>
  <si>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</si>
  <si>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</si>
  <si>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</si>
  <si>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</si>
  <si>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</si>
  <si>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</si>
  <si>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</si>
  <si>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</si>
  <si>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</si>
  <si>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</si>
  <si>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</si>
  <si>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</si>
  <si>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</si>
  <si>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</si>
  <si>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</si>
  <si>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</si>
  <si>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</si>
  <si>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</si>
  <si>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</si>
  <si>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</si>
  <si>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</si>
  <si>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</si>
  <si>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</si>
  <si>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</si>
  <si>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</si>
  <si>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</si>
  <si>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</si>
  <si>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</si>
  <si>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</si>
  <si>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</si>
  <si>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</si>
  <si>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</si>
  <si>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</si>
  <si>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</si>
  <si>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</si>
  <si>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</si>
  <si>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</si>
  <si>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</si>
  <si>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</si>
  <si>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</si>
  <si>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</si>
  <si>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</si>
  <si>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</si>
  <si>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</si>
  <si>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</si>
  <si>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</si>
  <si>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</si>
  <si>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</si>
  <si>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</si>
  <si>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</si>
  <si>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</si>
  <si>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</si>
  <si>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</si>
  <si>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</si>
  <si>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</si>
  <si>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</si>
  <si>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</si>
  <si>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</si>
  <si>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</si>
  <si>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</si>
  <si>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</si>
  <si>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</si>
  <si>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</si>
  <si>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</si>
  <si>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</si>
  <si>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</si>
  <si>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</si>
  <si>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</si>
  <si>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</si>
  <si>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</si>
  <si>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</si>
  <si>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</si>
  <si>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</si>
  <si>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</si>
  <si>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</si>
  <si>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</si>
  <si>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</si>
  <si>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</si>
  <si>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</si>
  <si>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</si>
  <si>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</si>
  <si>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</si>
  <si>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</si>
  <si>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</si>
  <si>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</si>
  <si>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</si>
  <si>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</si>
  <si>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</si>
  <si>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</si>
  <si>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</si>
  <si>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</si>
  <si>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</si>
  <si>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</si>
  <si>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</si>
  <si>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</si>
  <si>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</si>
  <si>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</si>
  <si>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</si>
  <si>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</si>
  <si>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</si>
  <si>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</si>
  <si>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</si>
  <si>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</si>
  <si>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</si>
  <si>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</si>
  <si>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</si>
  <si>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</si>
  <si>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</si>
  <si>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</si>
  <si>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</si>
  <si>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</si>
  <si>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</si>
  <si>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</si>
  <si>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</si>
  <si>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</si>
  <si>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</si>
  <si>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</si>
  <si>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Employee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</si>
  <si>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</si>
  <si>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</si>
  <si>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</si>
  <si>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</si>
  <si>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</si>
  <si>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</si>
  <si>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</si>
  <si>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</si>
  <si>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</si>
  <si>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</si>
  <si>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</si>
  <si>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</si>
  <si>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</si>
  <si>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</si>
  <si>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</si>
  <si>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</si>
  <si>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Mum_Abdul Hamid (1008512)</t>
  </si>
  <si>
    <t>08:15:43</t>
  </si>
  <si>
    <t>04:57:59</t>
  </si>
  <si>
    <t>Mum_Afzal Husain (1008513)</t>
  </si>
  <si>
    <t>08:15:36</t>
  </si>
  <si>
    <t>04:58:34</t>
  </si>
  <si>
    <t>Mum_Anamika Gupta (1008514)</t>
  </si>
  <si>
    <t>08:16:57</t>
  </si>
  <si>
    <t>04:49:35</t>
  </si>
  <si>
    <t>Mum_Anikuttan (1008515)</t>
  </si>
  <si>
    <t>08:09:56</t>
  </si>
  <si>
    <t>04:17:32</t>
  </si>
  <si>
    <t>Mum_Anil Kumar (1008516)</t>
  </si>
  <si>
    <t>07:20:41</t>
  </si>
  <si>
    <t>03:19:44</t>
  </si>
  <si>
    <t>Mum_Anita Dixit (1008517)</t>
  </si>
  <si>
    <t>05:00:09</t>
  </si>
  <si>
    <t>03:41:19</t>
  </si>
  <si>
    <t>Mum_Anita Ghore (1008518)</t>
  </si>
  <si>
    <t>08:16:38</t>
  </si>
  <si>
    <t>04:12:46</t>
  </si>
  <si>
    <t>Mum_Anjali Deoram (1008519)</t>
  </si>
  <si>
    <t>09:16:31</t>
  </si>
  <si>
    <t>05:52:08</t>
  </si>
  <si>
    <t>Mum_Anjali Sahay (1008520)</t>
  </si>
  <si>
    <t>08:13:18</t>
  </si>
  <si>
    <t>04:52:29</t>
  </si>
  <si>
    <t>Mum_Annu Latika (1008521)</t>
  </si>
  <si>
    <t>08:20:41</t>
  </si>
  <si>
    <t>04:58:07</t>
  </si>
  <si>
    <t>Mum_Anoop Narayan (1008522)</t>
  </si>
  <si>
    <t>08:10:35</t>
  </si>
  <si>
    <t>04:55:28</t>
  </si>
  <si>
    <t>Mum_Anoop Raj (1008523)</t>
  </si>
  <si>
    <t>08:04:10</t>
  </si>
  <si>
    <t>03:47:42</t>
  </si>
  <si>
    <t>Mum_Anubhuti Gupta (1008524)</t>
  </si>
  <si>
    <t>08:14:38</t>
  </si>
  <si>
    <t>04:43:40</t>
  </si>
  <si>
    <t>Mum_Arun Kumar (1008525)</t>
  </si>
  <si>
    <t>07:59:50</t>
  </si>
  <si>
    <t>04:40:27</t>
  </si>
  <si>
    <t>Mum_Ashish Kumar (1008526)</t>
  </si>
  <si>
    <t>08:16:59</t>
  </si>
  <si>
    <t>04:57:35</t>
  </si>
  <si>
    <t>Mum_Ashok Kumar (1008527)</t>
  </si>
  <si>
    <t>08:17:15</t>
  </si>
  <si>
    <t>04:10:25</t>
  </si>
  <si>
    <t>Hyd_Ashok Kumar (1008528)</t>
  </si>
  <si>
    <t>07:53:01</t>
  </si>
  <si>
    <t>04:44:12</t>
  </si>
  <si>
    <t>Hyd_Ashok Kumar (1008529)</t>
  </si>
  <si>
    <t>08:16:43</t>
  </si>
  <si>
    <t>Hyd_Ashok Kumar (1008530)</t>
  </si>
  <si>
    <t>08:21:16</t>
  </si>
  <si>
    <t>04:23:03</t>
  </si>
  <si>
    <t>Hyd_Ashok Mahto (1008531)</t>
  </si>
  <si>
    <t>08:17:52</t>
  </si>
  <si>
    <t>04:58:14</t>
  </si>
  <si>
    <t>Hyd_Atul Kumar (1008532)</t>
  </si>
  <si>
    <t>08:13:41</t>
  </si>
  <si>
    <t>04:53:40</t>
  </si>
  <si>
    <t>Hyd_Azam (1008533)</t>
  </si>
  <si>
    <t>08:17:34</t>
  </si>
  <si>
    <t>04:59:50</t>
  </si>
  <si>
    <t>Hyd_Bhagwat Singh (1008534)</t>
  </si>
  <si>
    <t>07:41:44</t>
  </si>
  <si>
    <t>04:08:57</t>
  </si>
  <si>
    <t>Hyd_Bindu Nair (1008535)</t>
  </si>
  <si>
    <t>08:10:04</t>
  </si>
  <si>
    <t>04:14:05</t>
  </si>
  <si>
    <t>Hyd_Daleep Singh (1008536)</t>
  </si>
  <si>
    <t>08:14:20</t>
  </si>
  <si>
    <t>05:26:56</t>
  </si>
  <si>
    <t>Hyd_Deepak Kumar (1008537)</t>
  </si>
  <si>
    <t>07:35:57</t>
  </si>
  <si>
    <t>05:05:16</t>
  </si>
  <si>
    <t>Hyd_Deepika Nigam (1008538)</t>
  </si>
  <si>
    <t>04:56:45</t>
  </si>
  <si>
    <t>Hyd_Dinesh Kumar (1008539)</t>
  </si>
  <si>
    <t>08:13:53</t>
  </si>
  <si>
    <t>05:06:20</t>
  </si>
  <si>
    <t>Hyd_Hari Kumar (1008540)</t>
  </si>
  <si>
    <t>08:15:11</t>
  </si>
  <si>
    <t>04:11:43</t>
  </si>
  <si>
    <t>Hyd_Heeramani Choudhary (1008541)</t>
  </si>
  <si>
    <t>07:27:24</t>
  </si>
  <si>
    <t>04:35:28</t>
  </si>
  <si>
    <t>Hyd_Indra Pal (1008542)</t>
  </si>
  <si>
    <t>07:59:57</t>
  </si>
  <si>
    <t>05:14:16</t>
  </si>
  <si>
    <t>Hyd_Indra Singh (1008543)</t>
  </si>
  <si>
    <t>08:17:44</t>
  </si>
  <si>
    <t>05:05:03</t>
  </si>
  <si>
    <t>Hyd_Jagdish Chandra (1008544)</t>
  </si>
  <si>
    <t>08:19:10</t>
  </si>
  <si>
    <t>04:59:15</t>
  </si>
  <si>
    <t>Hyd_Jairaj Vatham (1008545)</t>
  </si>
  <si>
    <t>08:16:23</t>
  </si>
  <si>
    <t>05:02:08</t>
  </si>
  <si>
    <t>Hyd_Janardan Mishra (1008546)</t>
  </si>
  <si>
    <t>07:39:42</t>
  </si>
  <si>
    <t>04:32:56</t>
  </si>
  <si>
    <t>Hyd_Jitendra Kumar (1008547)</t>
  </si>
  <si>
    <t>08:11:27</t>
  </si>
  <si>
    <t>04:07:41</t>
  </si>
  <si>
    <t>Hyd_John D'Costa (1008548)</t>
  </si>
  <si>
    <t>08:09:47</t>
  </si>
  <si>
    <t>04:51:30</t>
  </si>
  <si>
    <t>Hyd_Julie S (1008549)</t>
  </si>
  <si>
    <t>08:15:46</t>
  </si>
  <si>
    <t>04:56:12</t>
  </si>
  <si>
    <t>Hyd_Jyoti Tulsani (1008550)</t>
  </si>
  <si>
    <t>08:15:19</t>
  </si>
  <si>
    <t>04:56:56</t>
  </si>
  <si>
    <t>Hyd_Kahkasha Parveen (1008551)</t>
  </si>
  <si>
    <t>08:17:24</t>
  </si>
  <si>
    <t>05:25:18</t>
  </si>
  <si>
    <t>Hyd_Kailash Nath (1008552)</t>
  </si>
  <si>
    <t>08:16:01</t>
  </si>
  <si>
    <t>04:58:27</t>
  </si>
  <si>
    <t>Hyd_Kalpana Agrawal (1008553)</t>
  </si>
  <si>
    <t>08:00:08</t>
  </si>
  <si>
    <t>03:54:19</t>
  </si>
  <si>
    <t>Hyd_Kamini Kumar (1008554)</t>
  </si>
  <si>
    <t>05:01:37</t>
  </si>
  <si>
    <t>03:21:30</t>
  </si>
  <si>
    <t>Hyd_Kamini Tiwari (1008555)</t>
  </si>
  <si>
    <t>08:26:46</t>
  </si>
  <si>
    <t>05:18:49</t>
  </si>
  <si>
    <t>Hyd_Kavita Sharma (1008556)</t>
  </si>
  <si>
    <t>07:53:25</t>
  </si>
  <si>
    <t>05:26:19</t>
  </si>
  <si>
    <t>Hyd_Kiran Khubchandani (1008557)</t>
  </si>
  <si>
    <t>08:01:28</t>
  </si>
  <si>
    <t>04:13:15</t>
  </si>
  <si>
    <t>Hyd_Kisun Sah (1008558)</t>
  </si>
  <si>
    <t>08:21:34</t>
  </si>
  <si>
    <t>05:08:41</t>
  </si>
  <si>
    <t>Hyd_Krishana Kumar (1008559)</t>
  </si>
  <si>
    <t>08:15:28</t>
  </si>
  <si>
    <t>04:45:06</t>
  </si>
  <si>
    <t>Hyd_Kunj Bihari (1008560)</t>
  </si>
  <si>
    <t>07:59:19</t>
  </si>
  <si>
    <t>04:42:13</t>
  </si>
  <si>
    <t>Hyd_Leena George (1008561)</t>
  </si>
  <si>
    <t>04:56:13</t>
  </si>
  <si>
    <t>03:10:50</t>
  </si>
  <si>
    <t>Hyd_Lilly Lucy (1008562)</t>
  </si>
  <si>
    <t>07:45:23</t>
  </si>
  <si>
    <t>04:39:06</t>
  </si>
  <si>
    <t>Hyd_Mangal Singh (1008563)</t>
  </si>
  <si>
    <t>08:00:13</t>
  </si>
  <si>
    <t>04:46:25</t>
  </si>
  <si>
    <t>Hyd_Manisha Shrivastava (1008564)</t>
  </si>
  <si>
    <t>08:09:49</t>
  </si>
  <si>
    <t>04:51:12</t>
  </si>
  <si>
    <t>Hyd_Manjusha Sinha (1008565)</t>
  </si>
  <si>
    <t>08:14:05</t>
  </si>
  <si>
    <t>05:04:01</t>
  </si>
  <si>
    <t>Hyd_ManjuTiwari Lab (1008566)</t>
  </si>
  <si>
    <t>07:41:28</t>
  </si>
  <si>
    <t>04:26:11</t>
  </si>
  <si>
    <t>Hyd_Manoj Kumar (1008567)</t>
  </si>
  <si>
    <t>08:00:44</t>
  </si>
  <si>
    <t>04:28:58</t>
  </si>
  <si>
    <t>Hyd_Manoj Kumar (1008568)</t>
  </si>
  <si>
    <t>07:55:23</t>
  </si>
  <si>
    <t>04:29:51</t>
  </si>
  <si>
    <t>Hyd_Masroor Adil (1008569)</t>
  </si>
  <si>
    <t>05:04:35</t>
  </si>
  <si>
    <t>Hyd_Meena Zinjare (1008570)</t>
  </si>
  <si>
    <t>08:05:29</t>
  </si>
  <si>
    <t>03:09:32</t>
  </si>
  <si>
    <t>Hyd_Mehnaz Khan (1008571)</t>
  </si>
  <si>
    <t>08:14:51</t>
  </si>
  <si>
    <t>04:08:21</t>
  </si>
  <si>
    <t>Hyd_Mercy Thampi (1008572)</t>
  </si>
  <si>
    <t>05:15:35</t>
  </si>
  <si>
    <t>03:38:44</t>
  </si>
  <si>
    <t>Hyd_Miny Mole (1008573)</t>
  </si>
  <si>
    <t>08:12:10</t>
  </si>
  <si>
    <t>04:14:06</t>
  </si>
  <si>
    <t>Hyd_Mohd Rafi (1008574)</t>
  </si>
  <si>
    <t>08:00:32</t>
  </si>
  <si>
    <t>03:55:15</t>
  </si>
  <si>
    <t>Hyd_Mubeen Khan (1008575)</t>
  </si>
  <si>
    <t>07:55:35</t>
  </si>
  <si>
    <t>03:50:43</t>
  </si>
  <si>
    <t>Hyd_Mukesh Nagar (1008576)</t>
  </si>
  <si>
    <t>05:01:07</t>
  </si>
  <si>
    <t>03:13:40</t>
  </si>
  <si>
    <t>Hyd_Nandu Kumar (1008577)</t>
  </si>
  <si>
    <t>08:21:39</t>
  </si>
  <si>
    <t>04:43:39</t>
  </si>
  <si>
    <t>Hyd_Narayan Singh (1008578)</t>
  </si>
  <si>
    <t>08:19:29</t>
  </si>
  <si>
    <t>04:54:19</t>
  </si>
  <si>
    <t>Hyd_Neeraj Saxena (1008579)</t>
  </si>
  <si>
    <t>08:21:13</t>
  </si>
  <si>
    <t>04:36:09</t>
  </si>
  <si>
    <t>Hyd_Neeru Mehta (1008580)</t>
  </si>
  <si>
    <t>08:02:20</t>
  </si>
  <si>
    <t>04:44:15</t>
  </si>
  <si>
    <t>Hyd_Nikita Panwalkar (1008581)</t>
  </si>
  <si>
    <t>08:16:46</t>
  </si>
  <si>
    <t>04:58:45</t>
  </si>
  <si>
    <t>Hyd_Nitin Bhatia (1008582)</t>
  </si>
  <si>
    <t>08:00:37</t>
  </si>
  <si>
    <t>04:44:56</t>
  </si>
  <si>
    <t>Hyd_Om Prakash (1008583)</t>
  </si>
  <si>
    <t>07:55:44</t>
  </si>
  <si>
    <t>04:26:21</t>
  </si>
  <si>
    <t>Hyd_Omprakash O (1008584)</t>
  </si>
  <si>
    <t>08:09:43</t>
  </si>
  <si>
    <t>04:02:05</t>
  </si>
  <si>
    <t>Hyd_Owais Mohd (1008585)</t>
  </si>
  <si>
    <t>08:01:11</t>
  </si>
  <si>
    <t>04:02:50</t>
  </si>
  <si>
    <t>Hyd_Pankaj Shelkey (1008586)</t>
  </si>
  <si>
    <t>08:15:54</t>
  </si>
  <si>
    <t>04:26:54</t>
  </si>
  <si>
    <t>Hyd_Partha Sarathi (1008587)</t>
  </si>
  <si>
    <t>08:32:22</t>
  </si>
  <si>
    <t>05:11:39</t>
  </si>
  <si>
    <t>Hyd_Prabha Desikan (1008588)</t>
  </si>
  <si>
    <t>08:21:49</t>
  </si>
  <si>
    <t>03:03:51</t>
  </si>
  <si>
    <t>Hyd_Pramod Tiwari (1008589)</t>
  </si>
  <si>
    <t>08:25:20</t>
  </si>
  <si>
    <t>02:54:03</t>
  </si>
  <si>
    <t>Hyd_Prasannakumari S (1008590)</t>
  </si>
  <si>
    <t>08:08:02</t>
  </si>
  <si>
    <t>05:10:46</t>
  </si>
  <si>
    <t>Hyd_Praveen Kumar (1008591)</t>
  </si>
  <si>
    <t>08:19:20</t>
  </si>
  <si>
    <t>04:08:46</t>
  </si>
  <si>
    <t>Hyd_Rachel Mathew (1008592)</t>
  </si>
  <si>
    <t>08:25:36</t>
  </si>
  <si>
    <t>03:40:53</t>
  </si>
  <si>
    <t>Hyd_Rachita Anupam (1008593)</t>
  </si>
  <si>
    <t>08:16:26</t>
  </si>
  <si>
    <t>05:16:03</t>
  </si>
  <si>
    <t>Hyd_Rachna Chauhan (1008594)</t>
  </si>
  <si>
    <t>07:36:07</t>
  </si>
  <si>
    <t>05:07:23</t>
  </si>
  <si>
    <t>Hyd_Raj Kumar (1008595)</t>
  </si>
  <si>
    <t>08:09:57</t>
  </si>
  <si>
    <t>05:03:51</t>
  </si>
  <si>
    <t>Hyd_Rajeev Garg (1008596)</t>
  </si>
  <si>
    <t>08:04:00</t>
  </si>
  <si>
    <t>05:05:29</t>
  </si>
  <si>
    <t>Hyd_Rajeev Kumar (1008597)</t>
  </si>
  <si>
    <t>07:59:43</t>
  </si>
  <si>
    <t>04:28:51</t>
  </si>
  <si>
    <t>Hyd_Rajendra Gupta (1008598)</t>
  </si>
  <si>
    <t>08:25:57</t>
  </si>
  <si>
    <t>04:58:12</t>
  </si>
  <si>
    <t>Hyd_Rajendra Kumar (1008599)</t>
  </si>
  <si>
    <t>08:14:44</t>
  </si>
  <si>
    <t>03:55:22</t>
  </si>
  <si>
    <t>Hyd_Rajendra Prasad (1008600)</t>
  </si>
  <si>
    <t>08:22:34</t>
  </si>
  <si>
    <t>00:48:33</t>
  </si>
  <si>
    <t>Hyd_Rajesh Kumar (1008601)</t>
  </si>
  <si>
    <t>08:00:39</t>
  </si>
  <si>
    <t>05:11:50</t>
  </si>
  <si>
    <t>Hyd_Rajesh Kumar (1008602)</t>
  </si>
  <si>
    <t>08:17:39</t>
  </si>
  <si>
    <t>04:49:40</t>
  </si>
  <si>
    <t>Hyd_Rajesh Sharma (1008603)</t>
  </si>
  <si>
    <t>05:04:31</t>
  </si>
  <si>
    <t>03:24:21</t>
  </si>
  <si>
    <t>Hyd_Raji Abraham (1008604)</t>
  </si>
  <si>
    <t>08:10:41</t>
  </si>
  <si>
    <t>04:44:35</t>
  </si>
  <si>
    <t>Hyd_Rajshree Dhabekar (1008605)</t>
  </si>
  <si>
    <t>08:15:13</t>
  </si>
  <si>
    <t>0</t>
  </si>
  <si>
    <t>Hyd_Rakhi Jodhani (1008606)</t>
  </si>
  <si>
    <t>08:02:52</t>
  </si>
  <si>
    <t>01:13:06</t>
  </si>
  <si>
    <t>Hyd_Ramji Prasad (1008607)</t>
  </si>
  <si>
    <t>08:19:26</t>
  </si>
  <si>
    <t>04:53:04</t>
  </si>
  <si>
    <t>Del_Rashid (1008608)</t>
  </si>
  <si>
    <t>08:02:10</t>
  </si>
  <si>
    <t>01:36:08</t>
  </si>
  <si>
    <t>Del_Rashmi Gajbe (1008609)</t>
  </si>
  <si>
    <t>08:20:42</t>
  </si>
  <si>
    <t>04:16:57</t>
  </si>
  <si>
    <t>Del_Ravi Kumar (1008610)</t>
  </si>
  <si>
    <t>04:47:03</t>
  </si>
  <si>
    <t>Del_Ravinder Kaur (1008611)</t>
  </si>
  <si>
    <t>08:01:53</t>
  </si>
  <si>
    <t>04:38:57</t>
  </si>
  <si>
    <t>Del_Rekha Agarwal (1008612)</t>
  </si>
  <si>
    <t>05:53:52</t>
  </si>
  <si>
    <t>02:53:07</t>
  </si>
  <si>
    <t>Del_Rekha Gupta (1008613)</t>
  </si>
  <si>
    <t>08:16:02</t>
  </si>
  <si>
    <t>04:22:52</t>
  </si>
  <si>
    <t>Del_Rekha Jain  (1008614)</t>
  </si>
  <si>
    <t>08:15:42</t>
  </si>
  <si>
    <t>04:25:29</t>
  </si>
  <si>
    <t>Del_Renu Pratap (1008615)</t>
  </si>
  <si>
    <t>08:16:30</t>
  </si>
  <si>
    <t>02:30:29</t>
  </si>
  <si>
    <t>Del_Ritu Bhatnagar (1008616)</t>
  </si>
  <si>
    <t>08:01:48</t>
  </si>
  <si>
    <t>04:52:13</t>
  </si>
  <si>
    <t>Del_Rohit Nishchal (1008617)</t>
  </si>
  <si>
    <t>08:17:09</t>
  </si>
  <si>
    <t>Del_Roli Bhatnagar (1008618)</t>
  </si>
  <si>
    <t>04:08:30</t>
  </si>
  <si>
    <t>Del_Roma Rastogi (1008619)</t>
  </si>
  <si>
    <t>08:31:02</t>
  </si>
  <si>
    <t>05:35:38</t>
  </si>
  <si>
    <t>Del_Roohi Haider (1008620)</t>
  </si>
  <si>
    <t>08:00:11</t>
  </si>
  <si>
    <t>04:52:11</t>
  </si>
  <si>
    <t>Del_Sajid Naqvi (1008621)</t>
  </si>
  <si>
    <t>08:15:48</t>
  </si>
  <si>
    <t>05:00:37</t>
  </si>
  <si>
    <t>Del_Salim (1008622)</t>
  </si>
  <si>
    <t>08:15:56</t>
  </si>
  <si>
    <t>04:37:42</t>
  </si>
  <si>
    <t>Del_Sanjay Hire (1008623)</t>
  </si>
  <si>
    <t>08:15:52</t>
  </si>
  <si>
    <t>05:00:14</t>
  </si>
  <si>
    <t>Del_Sanjiv Subherwal (1008624)</t>
  </si>
  <si>
    <t>08:02:17</t>
  </si>
  <si>
    <t>05:06:07</t>
  </si>
  <si>
    <t>Del_Sanju Ramdas (1008625)</t>
  </si>
  <si>
    <t>08:15:58</t>
  </si>
  <si>
    <t>05:19:44</t>
  </si>
  <si>
    <t>Del_Santosh Kumar (1008626)</t>
  </si>
  <si>
    <t>05:03:10</t>
  </si>
  <si>
    <t>Del_Santosh Kumar (1008627)</t>
  </si>
  <si>
    <t>08:17:04</t>
  </si>
  <si>
    <t>05:09:57</t>
  </si>
  <si>
    <t>Del_Santosh Kumar (1008628)</t>
  </si>
  <si>
    <t>08:02:59</t>
  </si>
  <si>
    <t>04:44:19</t>
  </si>
  <si>
    <t>Del_Sapna Sharma (1008629)</t>
  </si>
  <si>
    <t>08:04:14</t>
  </si>
  <si>
    <t>04:33:29</t>
  </si>
  <si>
    <t>Del_Saroj Parita (1008630)</t>
  </si>
  <si>
    <t>08:01:59</t>
  </si>
  <si>
    <t>04:31:42</t>
  </si>
  <si>
    <t>Del_Shailaja Kamal (1008631)</t>
  </si>
  <si>
    <t>08:09:14</t>
  </si>
  <si>
    <t>04:51:46</t>
  </si>
  <si>
    <t>Del_Shailendra Barge (1008632)</t>
  </si>
  <si>
    <t>08:17:38</t>
  </si>
  <si>
    <t>03:26:09</t>
  </si>
  <si>
    <t>Del_Shankar Attendant (1008633)</t>
  </si>
  <si>
    <t>07:57:56</t>
  </si>
  <si>
    <t>03:27:15</t>
  </si>
  <si>
    <t>Del_Shashikant Tiwari (1008634)</t>
  </si>
  <si>
    <t>08:14:55</t>
  </si>
  <si>
    <t>05:19:10</t>
  </si>
  <si>
    <t>Del_Sheeba Joseph (1008635)</t>
  </si>
  <si>
    <t>08:30:57</t>
  </si>
  <si>
    <t>03:41:07</t>
  </si>
  <si>
    <t>Del_Sheena Joseph (1008636)</t>
  </si>
  <si>
    <t>08:49:34</t>
  </si>
  <si>
    <t>05:10:26</t>
  </si>
  <si>
    <t>Del_Shephali Jain (1008637)</t>
  </si>
  <si>
    <t>08:25:43</t>
  </si>
  <si>
    <t>03:41:29</t>
  </si>
  <si>
    <t>Del_Shivji Prasad (1008638)</t>
  </si>
  <si>
    <t>08:11:40</t>
  </si>
  <si>
    <t>04:12:39</t>
  </si>
  <si>
    <t>Del_Shubhanjali Joshi (1008639)</t>
  </si>
  <si>
    <t>08:17:17</t>
  </si>
  <si>
    <t>04:54:52</t>
  </si>
  <si>
    <t>Del_Shyamal Malakar (1008640)</t>
  </si>
  <si>
    <t>02:53:35</t>
  </si>
  <si>
    <t>Del_Sneh Khan (1008641)</t>
  </si>
  <si>
    <t>08:09:15</t>
  </si>
  <si>
    <t>05:06:25</t>
  </si>
  <si>
    <t>Del_Sonaram Munda (1008642)</t>
  </si>
  <si>
    <t>08:00:41</t>
  </si>
  <si>
    <t>04:11:10</t>
  </si>
  <si>
    <t>Del_Sudama Kumar (1008643)</t>
  </si>
  <si>
    <t>02:38:49</t>
  </si>
  <si>
    <t>Del_Sudhir Kumar (1008644)</t>
  </si>
  <si>
    <t>08:00:18</t>
  </si>
  <si>
    <t>04:35:36</t>
  </si>
  <si>
    <t>Del_Sunil Kumar (1008645)</t>
  </si>
  <si>
    <t>08:03:26</t>
  </si>
  <si>
    <t>02:58:37</t>
  </si>
  <si>
    <t>Del_Sunil Kumar (1008646)</t>
  </si>
  <si>
    <t>08:05:06</t>
  </si>
  <si>
    <t>04:05:03</t>
  </si>
  <si>
    <t>Del_Sunita Chawla (1008647)</t>
  </si>
  <si>
    <t>08:05:25</t>
  </si>
  <si>
    <t>04:31:57</t>
  </si>
  <si>
    <t>Del_Sunita Madnani (1008648)</t>
  </si>
  <si>
    <t>08:14:02</t>
  </si>
  <si>
    <t>05:19:12</t>
  </si>
  <si>
    <t>Del_Surendra Kumar (1008649)</t>
  </si>
  <si>
    <t>07:29:10</t>
  </si>
  <si>
    <t>02:54:25</t>
  </si>
  <si>
    <t>Del_Surendranath Thakur (1008650)</t>
  </si>
  <si>
    <t>08:33:53</t>
  </si>
  <si>
    <t>04:36:50</t>
  </si>
  <si>
    <t>Del_Sushma Khandelwal (1008651)</t>
  </si>
  <si>
    <t>08:15:15</t>
  </si>
  <si>
    <t>04:50:07</t>
  </si>
  <si>
    <t>Del_Swarnlata Borse (1008652)</t>
  </si>
  <si>
    <t>08:19:05</t>
  </si>
  <si>
    <t>02:59:39</t>
  </si>
  <si>
    <t>Del_Syed Naved (1008653)</t>
  </si>
  <si>
    <t>08:13:39</t>
  </si>
  <si>
    <t>05:24:05</t>
  </si>
  <si>
    <t>Del_Syed Saqib (1008654)</t>
  </si>
  <si>
    <t>08:24:48</t>
  </si>
  <si>
    <t>02:52:08</t>
  </si>
  <si>
    <t>Del_Syed Sohail (1008655)</t>
  </si>
  <si>
    <t>08:17:53</t>
  </si>
  <si>
    <t>04:51:52</t>
  </si>
  <si>
    <t>Del_System Operator (1008656)</t>
  </si>
  <si>
    <t>08:30:54</t>
  </si>
  <si>
    <t>05:15:36</t>
  </si>
  <si>
    <t>Del_Tahira Qureshi (1008657)</t>
  </si>
  <si>
    <t>08:46:13</t>
  </si>
  <si>
    <t>03:36:51</t>
  </si>
  <si>
    <t>Del_Tapas Chakraborty (1008658)</t>
  </si>
  <si>
    <t>08:14:56</t>
  </si>
  <si>
    <t>05:15:14</t>
  </si>
  <si>
    <t>Del_Tariq Akhlaq (1008659)</t>
  </si>
  <si>
    <t>04:59:55</t>
  </si>
  <si>
    <t>03:08:41</t>
  </si>
  <si>
    <t>Del_Tasneem Khan (1008660)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</si>
  <si>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</si>
  <si>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</si>
  <si>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</si>
  <si>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</si>
  <si>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</si>
  <si>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</si>
  <si>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</si>
  <si>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</si>
  <si>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</si>
  <si>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</si>
  <si>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</si>
  <si>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</si>
  <si>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</si>
  <si>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</si>
  <si>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</si>
  <si>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</si>
  <si>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</si>
  <si>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</si>
  <si>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</si>
  <si>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</si>
  <si>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</si>
  <si>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</si>
  <si>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</si>
  <si>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</si>
  <si>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</si>
  <si>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</si>
  <si>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</si>
  <si>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</si>
  <si>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</si>
  <si>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</si>
  <si>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</si>
  <si>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</si>
  <si>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</si>
  <si>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</si>
  <si>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</si>
  <si>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</si>
  <si>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</si>
  <si>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</si>
  <si>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</si>
  <si>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</si>
  <si>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</si>
  <si>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</si>
  <si>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</si>
  <si>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</si>
  <si>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</si>
  <si>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</si>
  <si>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</si>
  <si>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</si>
  <si>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</si>
  <si>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</si>
  <si>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</si>
  <si>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</si>
  <si>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</si>
  <si>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</si>
  <si>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</si>
  <si>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</si>
  <si>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</si>
  <si>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</si>
  <si>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</si>
  <si>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</si>
  <si>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</si>
  <si>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</si>
  <si>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</si>
  <si>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</si>
  <si>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</si>
  <si>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</si>
  <si>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</si>
  <si>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</si>
  <si>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</si>
  <si>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</si>
  <si>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</si>
  <si>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</si>
  <si>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</si>
  <si>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</si>
  <si>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</si>
  <si>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</si>
  <si>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</si>
  <si>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</si>
  <si>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</si>
  <si>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</si>
  <si>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</si>
  <si>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</si>
  <si>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</si>
  <si>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</si>
  <si>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</si>
  <si>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</si>
  <si>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</si>
  <si>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</si>
  <si>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</si>
  <si>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</si>
  <si>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</si>
  <si>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</si>
  <si>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</si>
  <si>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</si>
  <si>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</si>
  <si>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</si>
  <si>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</si>
  <si>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</si>
  <si>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</si>
  <si>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</si>
  <si>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</si>
  <si>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</si>
  <si>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</si>
  <si>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</si>
  <si>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Ashok Kumar</t>
  </si>
  <si>
    <t>Manoj Kumar</t>
  </si>
  <si>
    <t>Rajesh Kumar</t>
  </si>
  <si>
    <t>Santosh Kumar</t>
  </si>
  <si>
    <t>Sunil Kumar</t>
  </si>
  <si>
    <t>employee total working hours</t>
  </si>
  <si>
    <t>Report 1: Working Hours</t>
  </si>
  <si>
    <t>Employee name</t>
  </si>
  <si>
    <t>Active With Customer</t>
  </si>
  <si>
    <t>Report 2: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</si>
</sst>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hh\:mm\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12"/>
      <color theme="0"/>
      <name val="Verdan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49" fontId="5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49" fontId="3" fillId="3" borderId="3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9" fillId="0" borderId="0" xfId="0" applyFont="1"/>
    <xf numFmtId="10" fontId="0" fillId="0" borderId="0" xfId="0" applyNumberFormat="1"/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">
    <dxf>
      <numFmt numFmtId="14" formatCode="0.00%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[call-center-dashboard.xlsm]Dashboard!PivotTable1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330706519493902E-2"/>
          <c:y val="0.1179765689060622"/>
          <c:w val="0.93933858696101213"/>
          <c:h val="0.564815014561535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Dashboard!$A$7:$A$11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Rajesh Kumar</c:v>
                </c:pt>
                <c:pt idx="3">
                  <c:v>Sunil Kumar</c:v>
                </c:pt>
                <c:pt idx="4">
                  <c:v>Manoj Kumar</c:v>
                </c:pt>
              </c:strCache>
            </c:strRef>
          </c:cat>
          <c:val>
            <c:numRef>
              <c:f>Dashboard!$B$7:$B$11</c:f>
              <c:numCache>
                <c:formatCode>hh\:mm\:ss</c:formatCode>
                <c:ptCount val="5"/>
                <c:pt idx="0">
                  <c:v>1.3668402777777779</c:v>
                </c:pt>
                <c:pt idx="1">
                  <c:v>1.0142939814814815</c:v>
                </c:pt>
                <c:pt idx="2">
                  <c:v>0.67937500000000006</c:v>
                </c:pt>
                <c:pt idx="3">
                  <c:v>0.67259259259259263</c:v>
                </c:pt>
                <c:pt idx="4">
                  <c:v>0.66396990740740747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A-4A90-8347-3A7478FF54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96832"/>
        <c:axId val="93698272"/>
      </c:barChart>
      <c:catAx>
        <c:axId val="9369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98272"/>
        <c:crosses val="autoZero"/>
        <c:auto val="1"/>
        <c:lblAlgn val="ctr"/>
        <c:lblOffset val="100"/>
        <c:noMultiLvlLbl val="0"/>
      </c:catAx>
      <c:valAx>
        <c:axId val="93698272"/>
        <c:scaling>
          <c:orientation val="minMax"/>
        </c:scaling>
        <c:delete val="1"/>
        <c:axPos val="l"/>
        <c:numFmt formatCode="hh\:mm\:ss" sourceLinked="1"/>
        <c:majorTickMark val="none"/>
        <c:minorTickMark val="none"/>
        <c:tickLblPos val="nextTo"/>
        <c:crossAx val="936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[call-center-dashboard.xlsm]Dashboard!PivotTable2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4E2-48F3-B6F0-AF9EEF43DB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4E2-48F3-B6F0-AF9EEF43DB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4E2-48F3-B6F0-AF9EEF43DB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4E2-48F3-B6F0-AF9EEF43DB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4E2-48F3-B6F0-AF9EEF43DB3B}"/>
              </c:ext>
            </c:extLst>
          </c:dPt>
          <c:cat>
            <c:strRef>
              <c:f>Dashboard!$D$7:$D$11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Dashboard!$E$7:$E$11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F-4F9F-9CE9-04E5A1EE2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2" max="30000" min="1" page="10" val="5"/>
</file>

<file path=xl/ctrlProps/ctrlProp2.xml><?xml version="1.0" encoding="utf-8"?>
<formControlPr xmlns="http://schemas.microsoft.com/office/spreadsheetml/2009/9/main" objectType="Spin" dx="26" fmlaLink="$C$2" max="30000" min="1" page="10" val="5"/>
</file>

<file path=xl/ctrlProps/ctrlProp3.xml><?xml version="1.0" encoding="utf-8"?>
<formControlPr xmlns="http://schemas.microsoft.com/office/spreadsheetml/2009/9/main" objectType="Spin" dx="26" fmlaLink="$F$2" max="30000" min="1" page="10" val="5"/>
</file>

<file path=xl/ctrlProps/ctrlProp4.xml><?xml version="1.0" encoding="utf-8"?>
<formControlPr xmlns="http://schemas.microsoft.com/office/spreadsheetml/2009/9/main" objectType="Spin" dx="26" fmlaLink="$F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69979</xdr:colOff>
      <xdr:row>15</xdr:row>
      <xdr:rowOff>57825</xdr:rowOff>
    </xdr:from>
    <xdr:to>
      <xdr:col>2</xdr:col>
      <xdr:colOff>63787</xdr:colOff>
      <xdr:row>24</xdr:row>
      <xdr:rowOff>171061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A10CAC-A46A-7AB3-A09F-0A69B1719E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12878</xdr:colOff>
      <xdr:row>1</xdr:row>
      <xdr:rowOff>23627</xdr:rowOff>
    </xdr:from>
    <xdr:to>
      <xdr:col>0</xdr:col>
      <xdr:colOff>931333</xdr:colOff>
      <xdr:row>2</xdr:row>
      <xdr:rowOff>147674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2E08E2A4-6EDE-366A-5561-054AF193FE38}"/>
            </a:ext>
          </a:extLst>
        </xdr:cNvPr>
        <xdr:cNvSpPr/>
      </xdr:nvSpPr>
      <xdr:spPr>
        <a:xfrm>
          <a:off x="12878" y="23627"/>
          <a:ext cx="918455" cy="307491"/>
        </a:xfrm>
        <a:prstGeom prst="rightArrow">
          <a:avLst>
            <a:gd name="adj1" fmla="val 100000"/>
            <a:gd name="adj2" fmla="val 7610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 editAs="oneCell">
    <xdr:from>
      <xdr:col>0</xdr:col>
      <xdr:colOff>952500</xdr:colOff>
      <xdr:row>1</xdr:row>
      <xdr:rowOff>14110</xdr:rowOff>
    </xdr:from>
    <xdr:to>
      <xdr:col>1</xdr:col>
      <xdr:colOff>87159</xdr:colOff>
      <xdr:row>2</xdr:row>
      <xdr:rowOff>140664</xdr:rowOff>
    </xdr:to>
    <xdr:pic macro="[0]!Show_Chart1">
      <xdr:nvPicPr>
        <xdr:cNvPr id="5" name="Picture 4" hidden="1">
          <a:extLst>
            <a:ext uri="{FF2B5EF4-FFF2-40B4-BE49-F238E27FC236}">
              <a16:creationId xmlns:a16="http://schemas.microsoft.com/office/drawing/2014/main" id="{E4AF0695-2215-4B8A-A48C-23BFA8C202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14110"/>
          <a:ext cx="461103" cy="30999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949052</xdr:colOff>
      <xdr:row>1</xdr:row>
      <xdr:rowOff>13614</xdr:rowOff>
    </xdr:from>
    <xdr:to>
      <xdr:col>1</xdr:col>
      <xdr:colOff>83408</xdr:colOff>
      <xdr:row>2</xdr:row>
      <xdr:rowOff>139769</xdr:rowOff>
    </xdr:to>
    <xdr:pic macro="[0]!Hide_Chart1">
      <xdr:nvPicPr>
        <xdr:cNvPr id="4" name="Picture 3">
          <a:extLst>
            <a:ext uri="{FF2B5EF4-FFF2-40B4-BE49-F238E27FC236}">
              <a16:creationId xmlns:a16="http://schemas.microsoft.com/office/drawing/2014/main" id="{B7C9B6F2-28A1-4560-80A3-FE10C4805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052" y="13614"/>
          <a:ext cx="460800" cy="309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169334</xdr:colOff>
      <xdr:row>1</xdr:row>
      <xdr:rowOff>7059</xdr:rowOff>
    </xdr:from>
    <xdr:to>
      <xdr:col>1</xdr:col>
      <xdr:colOff>797278</xdr:colOff>
      <xdr:row>2</xdr:row>
      <xdr:rowOff>148169</xdr:rowOff>
    </xdr:to>
    <xdr:sp macro="" textlink="$C$2">
      <xdr:nvSpPr>
        <xdr:cNvPr id="6" name="Rectangle 5">
          <a:extLst>
            <a:ext uri="{FF2B5EF4-FFF2-40B4-BE49-F238E27FC236}">
              <a16:creationId xmlns:a16="http://schemas.microsoft.com/office/drawing/2014/main" id="{AE56CB0D-41F8-FFED-54F9-9D68D4A36B30}"/>
            </a:ext>
          </a:extLst>
        </xdr:cNvPr>
        <xdr:cNvSpPr/>
      </xdr:nvSpPr>
      <xdr:spPr>
        <a:xfrm>
          <a:off x="1495778" y="190503"/>
          <a:ext cx="627944" cy="32455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A2076148-3FC5-43EC-89FB-DE55004BDF56}" type="TxLink">
            <a:rPr lang="en-US" sz="1600" b="0" i="0" u="none" strike="noStrike">
              <a:solidFill>
                <a:srgbClr val="000000"/>
              </a:solidFill>
              <a:latin typeface="Arial Rounded MT Bold" panose="020F0704030504030204" pitchFamily="34" charset="0"/>
              <a:ea typeface="Calibri"/>
              <a:cs typeface="Calibri"/>
            </a:rPr>
            <a:pPr algn="r"/>
            <a:t>5</a:t>
          </a:fld>
          <a:endParaRPr lang="en-US" sz="2400">
            <a:latin typeface="Arial Rounded MT Bold" panose="020F07040305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</xdr:row>
          <xdr:rowOff>38100</xdr:rowOff>
        </xdr:from>
        <xdr:to>
          <xdr:col>1</xdr:col>
          <xdr:colOff>426720</xdr:colOff>
          <xdr:row>2</xdr:row>
          <xdr:rowOff>144780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846667</xdr:colOff>
      <xdr:row>1</xdr:row>
      <xdr:rowOff>21166</xdr:rowOff>
    </xdr:from>
    <xdr:to>
      <xdr:col>2</xdr:col>
      <xdr:colOff>21166</xdr:colOff>
      <xdr:row>2</xdr:row>
      <xdr:rowOff>155221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083F2CC3-7462-4CCD-97AF-137686D4B037}"/>
            </a:ext>
          </a:extLst>
        </xdr:cNvPr>
        <xdr:cNvSpPr/>
      </xdr:nvSpPr>
      <xdr:spPr>
        <a:xfrm>
          <a:off x="2173111" y="21166"/>
          <a:ext cx="994833" cy="317499"/>
        </a:xfrm>
        <a:prstGeom prst="leftArrow">
          <a:avLst>
            <a:gd name="adj1" fmla="val 99941"/>
            <a:gd name="adj2" fmla="val 6455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1409700</xdr:colOff>
          <xdr:row>15</xdr:row>
          <xdr:rowOff>106680</xdr:rowOff>
        </xdr:from>
        <xdr:to>
          <xdr:col>1</xdr:col>
          <xdr:colOff>1653540</xdr:colOff>
          <xdr:row>17</xdr:row>
          <xdr:rowOff>30480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12878</xdr:colOff>
      <xdr:row>1</xdr:row>
      <xdr:rowOff>23627</xdr:rowOff>
    </xdr:from>
    <xdr:to>
      <xdr:col>3</xdr:col>
      <xdr:colOff>931333</xdr:colOff>
      <xdr:row>2</xdr:row>
      <xdr:rowOff>147674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6C41823-398D-4E25-9442-A5924D74DAEB}"/>
            </a:ext>
          </a:extLst>
        </xdr:cNvPr>
        <xdr:cNvSpPr/>
      </xdr:nvSpPr>
      <xdr:spPr>
        <a:xfrm>
          <a:off x="12878" y="207071"/>
          <a:ext cx="918455" cy="307492"/>
        </a:xfrm>
        <a:prstGeom prst="rightArrow">
          <a:avLst>
            <a:gd name="adj1" fmla="val 100000"/>
            <a:gd name="adj2" fmla="val 7610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/>
            <a:t>CHART</a:t>
          </a:r>
        </a:p>
      </xdr:txBody>
    </xdr:sp>
    <xdr:clientData/>
  </xdr:twoCellAnchor>
  <xdr:oneCellAnchor>
    <xdr:from>
      <xdr:col>3</xdr:col>
      <xdr:colOff>971792</xdr:colOff>
      <xdr:row>1</xdr:row>
      <xdr:rowOff>14110</xdr:rowOff>
    </xdr:from>
    <xdr:ext cx="461103" cy="309999"/>
    <xdr:pic macro="[0]!Show_Chart12">
      <xdr:nvPicPr>
        <xdr:cNvPr id="9" name="Picture 8">
          <a:extLst>
            <a:ext uri="{FF2B5EF4-FFF2-40B4-BE49-F238E27FC236}">
              <a16:creationId xmlns:a16="http://schemas.microsoft.com/office/drawing/2014/main" id="{0DC3FFE2-09BC-46C2-BB76-D80283513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5691" y="197376"/>
          <a:ext cx="461103" cy="30999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977998</xdr:colOff>
      <xdr:row>1</xdr:row>
      <xdr:rowOff>11739</xdr:rowOff>
    </xdr:from>
    <xdr:ext cx="460800" cy="309600"/>
    <xdr:pic macro="[0]!Hide_Chart12">
      <xdr:nvPicPr>
        <xdr:cNvPr id="10" name="Picture 9">
          <a:extLst>
            <a:ext uri="{FF2B5EF4-FFF2-40B4-BE49-F238E27FC236}">
              <a16:creationId xmlns:a16="http://schemas.microsoft.com/office/drawing/2014/main" id="{7DAF8D3C-B015-4075-90D5-209E39204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6916" y="198351"/>
          <a:ext cx="460800" cy="309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211664</xdr:colOff>
      <xdr:row>1</xdr:row>
      <xdr:rowOff>7059</xdr:rowOff>
    </xdr:from>
    <xdr:to>
      <xdr:col>4</xdr:col>
      <xdr:colOff>825498</xdr:colOff>
      <xdr:row>2</xdr:row>
      <xdr:rowOff>148169</xdr:rowOff>
    </xdr:to>
    <xdr:sp macro="" textlink="$F$2">
      <xdr:nvSpPr>
        <xdr:cNvPr id="11" name="Rectangle 10">
          <a:extLst>
            <a:ext uri="{FF2B5EF4-FFF2-40B4-BE49-F238E27FC236}">
              <a16:creationId xmlns:a16="http://schemas.microsoft.com/office/drawing/2014/main" id="{7FFB5944-56D5-45A3-9AD9-6568D21C3611}"/>
            </a:ext>
          </a:extLst>
        </xdr:cNvPr>
        <xdr:cNvSpPr/>
      </xdr:nvSpPr>
      <xdr:spPr>
        <a:xfrm>
          <a:off x="5214053" y="190503"/>
          <a:ext cx="613834" cy="32455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fld id="{C602C5E7-CE2D-4232-A7BB-B8A46DDC6579}" type="TxLink">
            <a:rPr lang="en-US" sz="1600" b="0" i="0" u="none" strike="noStrike">
              <a:solidFill>
                <a:srgbClr val="000000"/>
              </a:solidFill>
              <a:latin typeface="Arial Rounded MT Bold" panose="020F0704030504030204" pitchFamily="34" charset="0"/>
              <a:ea typeface="Calibri"/>
              <a:cs typeface="Calibri"/>
            </a:rPr>
            <a:pPr marL="0" indent="0" algn="r"/>
            <a:t>5</a:t>
          </a:fld>
          <a:endParaRPr lang="en-US" sz="2400" b="0" i="0" u="none" strike="noStrike">
            <a:solidFill>
              <a:srgbClr val="000000"/>
            </a:solidFill>
            <a:latin typeface="Arial Rounded MT Bold" panose="020F0704030504030204" pitchFamily="34" charset="0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15240</xdr:rowOff>
        </xdr:from>
        <xdr:to>
          <xdr:col>4</xdr:col>
          <xdr:colOff>464820</xdr:colOff>
          <xdr:row>2</xdr:row>
          <xdr:rowOff>144780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874889</xdr:colOff>
      <xdr:row>1</xdr:row>
      <xdr:rowOff>21166</xdr:rowOff>
    </xdr:from>
    <xdr:to>
      <xdr:col>5</xdr:col>
      <xdr:colOff>21166</xdr:colOff>
      <xdr:row>2</xdr:row>
      <xdr:rowOff>155221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03043A0E-4AE5-4C9D-B9DB-EC91E5A05EEC}"/>
            </a:ext>
          </a:extLst>
        </xdr:cNvPr>
        <xdr:cNvSpPr/>
      </xdr:nvSpPr>
      <xdr:spPr>
        <a:xfrm>
          <a:off x="5877278" y="204610"/>
          <a:ext cx="1023055" cy="317500"/>
        </a:xfrm>
        <a:prstGeom prst="leftArrow">
          <a:avLst>
            <a:gd name="adj1" fmla="val 99941"/>
            <a:gd name="adj2" fmla="val 6455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/>
            <a:t>RECORDS</a:t>
          </a:r>
        </a:p>
      </xdr:txBody>
    </xdr:sp>
    <xdr:clientData/>
  </xdr:twoCellAnchor>
  <xdr:twoCellAnchor>
    <xdr:from>
      <xdr:col>2</xdr:col>
      <xdr:colOff>544216</xdr:colOff>
      <xdr:row>14</xdr:row>
      <xdr:rowOff>123818</xdr:rowOff>
    </xdr:from>
    <xdr:to>
      <xdr:col>5</xdr:col>
      <xdr:colOff>32687</xdr:colOff>
      <xdr:row>24</xdr:row>
      <xdr:rowOff>162131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8C006F1-45C7-E309-86EA-05570BC06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971792</xdr:colOff>
      <xdr:row>1</xdr:row>
      <xdr:rowOff>4455</xdr:rowOff>
    </xdr:from>
    <xdr:to>
      <xdr:col>4</xdr:col>
      <xdr:colOff>140086</xdr:colOff>
      <xdr:row>2</xdr:row>
      <xdr:rowOff>130789</xdr:rowOff>
    </xdr:to>
    <xdr:pic macro="[0]!Show_Chart12">
      <xdr:nvPicPr>
        <xdr:cNvPr id="14" name="Picture 13" hidden="1">
          <a:extLst>
            <a:ext uri="{FF2B5EF4-FFF2-40B4-BE49-F238E27FC236}">
              <a16:creationId xmlns:a16="http://schemas.microsoft.com/office/drawing/2014/main" id="{54B4E67D-78D0-4C4A-B5B3-567BB7D8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5691" y="187721"/>
          <a:ext cx="460800" cy="309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1539240</xdr:colOff>
          <xdr:row>14</xdr:row>
          <xdr:rowOff>182880</xdr:rowOff>
        </xdr:from>
        <xdr:to>
          <xdr:col>4</xdr:col>
          <xdr:colOff>1752600</xdr:colOff>
          <xdr:row>16</xdr:row>
          <xdr:rowOff>83820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8</xdr:col>
      <xdr:colOff>272053</xdr:colOff>
      <xdr:row>0</xdr:row>
      <xdr:rowOff>181875</xdr:rowOff>
    </xdr:from>
    <xdr:ext cx="6036597" cy="6269874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DF6DF713-DD15-F7C5-D935-C24D7336E8D8}"/>
            </a:ext>
          </a:extLst>
        </xdr:cNvPr>
        <xdr:cNvSpPr txBox="1"/>
      </xdr:nvSpPr>
      <xdr:spPr>
        <a:xfrm>
          <a:off x="8831262" y="181875"/>
          <a:ext cx="6036597" cy="626987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200" b="1" i="1" u="sng"/>
            <a:t>Developer</a:t>
          </a:r>
          <a:r>
            <a:rPr lang="en-IN" sz="1200" b="1" i="1" u="sng" baseline="0"/>
            <a:t> Option show in ribbon:</a:t>
          </a:r>
        </a:p>
        <a:p>
          <a:endParaRPr lang="en-IN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IN"/>
            <a:t>In the </a:t>
          </a:r>
          <a:r>
            <a:rPr lang="en-IN" b="1"/>
            <a:t>Excel Options</a:t>
          </a:r>
          <a:r>
            <a:rPr lang="en-IN"/>
            <a:t> window</a:t>
          </a:r>
          <a:r>
            <a:rPr lang="en-IN" baseline="0"/>
            <a:t> , </a:t>
          </a:r>
          <a:r>
            <a:rPr lang="en-IN"/>
            <a:t>On the right side, under </a:t>
          </a:r>
          <a:r>
            <a:rPr lang="en-IN" b="1"/>
            <a:t>Main Tabs</a:t>
          </a:r>
          <a:r>
            <a:rPr lang="en-IN"/>
            <a:t>, check the box next to </a:t>
          </a:r>
          <a:r>
            <a:rPr lang="en-IN" b="1"/>
            <a:t>Developer</a:t>
          </a:r>
          <a:endParaRPr lang="en-IN"/>
        </a:p>
        <a:p>
          <a:endParaRPr lang="en-IN" sz="1100"/>
        </a:p>
        <a:p>
          <a:pPr marL="0" indent="0"/>
          <a:r>
            <a:rPr lang="en-IN" sz="1200" b="1" i="1" u="sng">
              <a:solidFill>
                <a:schemeClr val="dk1"/>
              </a:solidFill>
              <a:latin typeface="+mn-lt"/>
              <a:ea typeface="+mn-ea"/>
              <a:cs typeface="+mn-cs"/>
            </a:rPr>
            <a:t>Insert spinner from Developer:</a:t>
          </a:r>
        </a:p>
        <a:p>
          <a:endParaRPr lang="en-IN" sz="1100" baseline="0"/>
        </a:p>
        <a:p>
          <a:r>
            <a:rPr lang="en-IN" b="1"/>
            <a:t>Step 1: Insert the Spinner</a:t>
          </a:r>
        </a:p>
        <a:p>
          <a:pPr lvl="1"/>
          <a:r>
            <a:rPr lang="en-IN" b="1"/>
            <a:t>a)</a:t>
          </a:r>
          <a:r>
            <a:rPr lang="en-IN"/>
            <a:t> Go to the </a:t>
          </a:r>
          <a:r>
            <a:rPr lang="en-IN" b="1"/>
            <a:t>Developer</a:t>
          </a:r>
          <a:r>
            <a:rPr lang="en-IN"/>
            <a:t> tab.</a:t>
          </a:r>
          <a:br>
            <a:rPr lang="en-IN"/>
          </a:br>
          <a:r>
            <a:rPr lang="en-IN" b="1"/>
            <a:t>b)</a:t>
          </a:r>
          <a:r>
            <a:rPr lang="en-IN"/>
            <a:t> Click </a:t>
          </a:r>
          <a:r>
            <a:rPr lang="en-IN" b="1"/>
            <a:t>Insert</a:t>
          </a:r>
          <a:r>
            <a:rPr lang="en-IN"/>
            <a:t> (in the Controls group).</a:t>
          </a:r>
          <a:br>
            <a:rPr lang="en-IN"/>
          </a:br>
          <a:r>
            <a:rPr lang="en-IN" b="1"/>
            <a:t>c)</a:t>
          </a:r>
          <a:r>
            <a:rPr lang="en-IN"/>
            <a:t> In the </a:t>
          </a:r>
          <a:r>
            <a:rPr lang="en-IN" b="1"/>
            <a:t>Form Controls</a:t>
          </a:r>
          <a:r>
            <a:rPr lang="en-IN"/>
            <a:t> section, click the </a:t>
          </a:r>
          <a:r>
            <a:rPr lang="en-IN" b="1"/>
            <a:t>Spin Button (Form Control)</a:t>
          </a:r>
          <a:r>
            <a:rPr lang="en-IN"/>
            <a:t> icon.</a:t>
          </a:r>
          <a:br>
            <a:rPr lang="en-IN"/>
          </a:br>
          <a:r>
            <a:rPr lang="en-IN" b="1"/>
            <a:t>d)</a:t>
          </a:r>
          <a:r>
            <a:rPr lang="en-IN"/>
            <a:t> Click and drag on your worksheet to </a:t>
          </a:r>
          <a:r>
            <a:rPr lang="en-IN" b="1"/>
            <a:t>draw the spinner</a:t>
          </a:r>
          <a:r>
            <a:rPr lang="en-IN"/>
            <a:t> wherever you want.</a:t>
          </a:r>
        </a:p>
        <a:p>
          <a:endParaRPr lang="en-IN" b="0"/>
        </a:p>
        <a:p>
          <a:r>
            <a:rPr lang="en-IN" b="1"/>
            <a:t>Step 2: Link the Spinner to a Cell (Format Control)</a:t>
          </a:r>
        </a:p>
        <a:p>
          <a:pPr lvl="1"/>
          <a:r>
            <a:rPr lang="en-IN" b="1"/>
            <a:t>a)</a:t>
          </a:r>
          <a:r>
            <a:rPr lang="en-IN"/>
            <a:t> </a:t>
          </a:r>
          <a:r>
            <a:rPr lang="en-IN" b="1"/>
            <a:t>Right-click</a:t>
          </a:r>
          <a:r>
            <a:rPr lang="en-IN"/>
            <a:t> the spinner you just drew.</a:t>
          </a:r>
          <a:br>
            <a:rPr lang="en-IN"/>
          </a:br>
          <a:r>
            <a:rPr lang="en-IN" b="1"/>
            <a:t>b)</a:t>
          </a:r>
          <a:r>
            <a:rPr lang="en-IN"/>
            <a:t> Choose </a:t>
          </a:r>
          <a:r>
            <a:rPr lang="en-IN" b="1"/>
            <a:t>Format Control</a:t>
          </a:r>
          <a:r>
            <a:rPr lang="en-IN"/>
            <a:t>.</a:t>
          </a:r>
          <a:br>
            <a:rPr lang="en-IN"/>
          </a:br>
          <a:r>
            <a:rPr lang="en-IN" b="1"/>
            <a:t>c)</a:t>
          </a:r>
          <a:r>
            <a:rPr lang="en-IN"/>
            <a:t> In the </a:t>
          </a:r>
          <a:r>
            <a:rPr lang="en-IN" b="1"/>
            <a:t>Format Control</a:t>
          </a:r>
          <a:r>
            <a:rPr lang="en-IN"/>
            <a:t> dialog box:</a:t>
          </a:r>
          <a:r>
            <a:rPr lang="en-IN" baseline="0"/>
            <a:t> set the </a:t>
          </a:r>
          <a:r>
            <a:rPr lang="en-IN" baseline="0">
              <a:solidFill>
                <a:srgbClr val="FF0000"/>
              </a:solidFill>
            </a:rPr>
            <a:t>cell link</a:t>
          </a:r>
        </a:p>
        <a:p>
          <a:pPr lvl="0"/>
          <a:endParaRPr lang="en-IN" baseline="0">
            <a:solidFill>
              <a:srgbClr val="FF0000"/>
            </a:solidFill>
          </a:endParaRPr>
        </a:p>
        <a:p>
          <a:pPr lvl="0"/>
          <a:r>
            <a:rPr lang="en-IN" sz="1200" b="1" i="1" u="sng" baseline="0">
              <a:solidFill>
                <a:schemeClr val="tx1"/>
              </a:solidFill>
            </a:rPr>
            <a:t>Record Macro and assign</a:t>
          </a:r>
        </a:p>
        <a:p>
          <a:pPr lvl="0"/>
          <a:endParaRPr lang="en-IN" sz="1200" b="1" i="1" u="sng" baseline="0">
            <a:solidFill>
              <a:schemeClr val="tx1"/>
            </a:solidFill>
          </a:endParaRPr>
        </a:p>
        <a:p>
          <a:pPr lvl="0"/>
          <a:r>
            <a:rPr lang="en-IN" sz="1100" b="1" i="1" u="sng" baseline="0">
              <a:solidFill>
                <a:schemeClr val="tx1"/>
              </a:solidFill>
            </a:rPr>
            <a:t>macro recording</a:t>
          </a:r>
        </a:p>
        <a:p>
          <a:pPr lvl="0"/>
          <a:r>
            <a:rPr lang="en-IN" sz="1200" b="0" i="0" u="none" baseline="0">
              <a:solidFill>
                <a:schemeClr val="tx1"/>
              </a:solidFill>
            </a:rPr>
            <a:t>developer tab -&gt; </a:t>
          </a:r>
          <a:r>
            <a:rPr lang="en-IN" sz="1200" b="0" i="0" u="none" baseline="0">
              <a:solidFill>
                <a:srgbClr val="FF0000"/>
              </a:solidFill>
            </a:rPr>
            <a:t>Record Macro </a:t>
          </a:r>
          <a:r>
            <a:rPr lang="en-IN" sz="1200" b="0" i="0" u="none" baseline="0">
              <a:solidFill>
                <a:schemeClr val="tx1"/>
              </a:solidFill>
            </a:rPr>
            <a:t>-&gt; set macro name and click ok -&gt; perform the actions you want to do ( for ex: clear filteiing in pivot table -&gt; value filters -&gt; top 10 ) --&gt; When done, go to developer tab and </a:t>
          </a:r>
          <a:r>
            <a:rPr lang="en-IN" sz="1200" b="0" i="0" u="none" baseline="0">
              <a:solidFill>
                <a:srgbClr val="FF0000"/>
              </a:solidFill>
            </a:rPr>
            <a:t>stop recording.</a:t>
          </a:r>
        </a:p>
        <a:p>
          <a:pPr lvl="0"/>
          <a:endParaRPr lang="en-IN" sz="1200" b="0" i="0" u="none" baseline="0">
            <a:solidFill>
              <a:srgbClr val="FF0000"/>
            </a:solidFill>
          </a:endParaRPr>
        </a:p>
        <a:p>
          <a:pPr lvl="0"/>
          <a:r>
            <a:rPr lang="en-IN" sz="1100" b="1" i="1" u="sng" baseline="0">
              <a:solidFill>
                <a:schemeClr val="tx1"/>
              </a:solidFill>
            </a:rPr>
            <a:t>assign macro to spinner</a:t>
          </a:r>
        </a:p>
        <a:p>
          <a:pPr lvl="0"/>
          <a:r>
            <a:rPr lang="en-IN" sz="1100" b="0" i="0" u="none" baseline="0">
              <a:solidFill>
                <a:schemeClr val="tx1"/>
              </a:solidFill>
            </a:rPr>
            <a:t>right-click the spinner you created -&gt; assign macro -&gt; select the recorded macro</a:t>
          </a:r>
          <a:r>
            <a:rPr lang="en-IN" sz="1200" b="1" i="1" u="none" baseline="0">
              <a:solidFill>
                <a:schemeClr val="tx1"/>
              </a:solidFill>
            </a:rPr>
            <a:t>.</a:t>
          </a:r>
        </a:p>
        <a:p>
          <a:pPr lvl="0"/>
          <a:r>
            <a:rPr lang="en-IN" sz="1200" b="1" i="1" u="none" baseline="0">
              <a:solidFill>
                <a:schemeClr val="tx1"/>
              </a:solidFill>
            </a:rPr>
            <a:t>to change anything in code: go to developer tab -&gt; visual basic -&gt; modules</a:t>
          </a:r>
        </a:p>
        <a:p>
          <a:pPr lvl="0"/>
          <a:endParaRPr lang="en-IN" sz="1100" b="0" i="0" u="none" baseline="0">
            <a:solidFill>
              <a:schemeClr val="tx1"/>
            </a:solidFill>
          </a:endParaRPr>
        </a:p>
        <a:p>
          <a:pPr lvl="0"/>
          <a:endParaRPr lang="en-IN" sz="1100" b="0" i="0" u="none" baseline="0">
            <a:solidFill>
              <a:schemeClr val="tx1"/>
            </a:solidFill>
          </a:endParaRPr>
        </a:p>
        <a:p>
          <a:pPr lvl="0"/>
          <a:r>
            <a:rPr lang="en-IN" sz="1400">
              <a:solidFill>
                <a:srgbClr val="FF0000"/>
              </a:solidFill>
            </a:rPr>
            <a:t>When you create or record macros in Excel, you should save your file in a </a:t>
          </a:r>
          <a:r>
            <a:rPr lang="en-IN" sz="1400" b="1">
              <a:solidFill>
                <a:srgbClr val="FF0000"/>
              </a:solidFill>
            </a:rPr>
            <a:t>macro-enabled format</a:t>
          </a:r>
          <a:r>
            <a:rPr lang="en-IN" sz="1400">
              <a:solidFill>
                <a:srgbClr val="FF0000"/>
              </a:solidFill>
            </a:rPr>
            <a:t>. </a:t>
          </a:r>
          <a:endParaRPr lang="en-IN" sz="1400" b="0" i="0" u="none" baseline="0">
            <a:solidFill>
              <a:srgbClr val="FF0000"/>
            </a:solidFill>
          </a:endParaRPr>
        </a:p>
        <a:p>
          <a:r>
            <a:rPr lang="en-IN"/>
            <a:t>why?</a:t>
          </a:r>
        </a:p>
        <a:p>
          <a:r>
            <a:rPr lang="en-IN"/>
            <a:t>.xlsm files </a:t>
          </a:r>
          <a:r>
            <a:rPr lang="en-IN" b="1"/>
            <a:t>support VBA macros</a:t>
          </a:r>
          <a:r>
            <a:rPr lang="en-IN"/>
            <a:t> (unlike the standard .xlsx files).</a:t>
          </a:r>
        </a:p>
        <a:p>
          <a:r>
            <a:rPr lang="en-IN"/>
            <a:t>.xlsx </a:t>
          </a:r>
          <a:r>
            <a:rPr lang="en-IN" b="1"/>
            <a:t>will strip out</a:t>
          </a:r>
          <a:r>
            <a:rPr lang="en-IN"/>
            <a:t> any macros when you save, so you’ll lose them.</a:t>
          </a:r>
        </a:p>
        <a:p>
          <a:pPr lvl="0"/>
          <a:endParaRPr lang="en-IN" sz="1100" b="0" i="0" u="none" baseline="0">
            <a:solidFill>
              <a:schemeClr val="tx1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hit Singh" refreshedDate="45804.560393518521" createdVersion="8" refreshedVersion="8" minRefreshableVersion="3" recordCount="149" xr:uid="{CDB46A83-DC88-420A-B02B-8FDAB485DD20}">
  <cacheSource type="worksheet">
    <worksheetSource ref="A1:G150" sheet="summary-sheet"/>
  </cacheSource>
  <cacheFields count="10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  <fieldGroup par="9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  <cacheField name="Seconds (Total Number of woking hours)" numFmtId="0" databaseField="0">
      <fieldGroup base="2">
        <rangePr groupBy="seconds" startDate="1899-12-30T04:56:13" endDate="1899-12-30T09:16:31"/>
        <groupItems count="62">
          <s v="&lt;00-01-1900"/>
          <s v=".00"/>
          <s v=".01"/>
          <s v=".02"/>
          <s v=".03"/>
          <s v=".04"/>
          <s v=".05"/>
          <s v=".06"/>
          <s v=".07"/>
          <s v=".08"/>
          <s v=".09"/>
          <s v=".10"/>
          <s v=".11"/>
          <s v=".12"/>
          <s v=".13"/>
          <s v=".14"/>
          <s v=".15"/>
          <s v=".16"/>
          <s v=".17"/>
          <s v=".18"/>
          <s v=".19"/>
          <s v=".20"/>
          <s v=".21"/>
          <s v=".22"/>
          <s v=".23"/>
          <s v=".24"/>
          <s v=".25"/>
          <s v=".26"/>
          <s v=".27"/>
          <s v=".28"/>
          <s v=".29"/>
          <s v=".30"/>
          <s v=".31"/>
          <s v=".32"/>
          <s v=".33"/>
          <s v=".34"/>
          <s v=".35"/>
          <s v=".36"/>
          <s v=".37"/>
          <s v=".38"/>
          <s v=".39"/>
          <s v=".40"/>
          <s v=".41"/>
          <s v=".42"/>
          <s v=".43"/>
          <s v=".44"/>
          <s v=".45"/>
          <s v=".46"/>
          <s v=".47"/>
          <s v=".48"/>
          <s v=".49"/>
          <s v=".50"/>
          <s v=".51"/>
          <s v=".52"/>
          <s v=".53"/>
          <s v=".54"/>
          <s v=".55"/>
          <s v=".56"/>
          <s v=".57"/>
          <s v=".58"/>
          <s v=".59"/>
          <s v="&gt;00-01-1900"/>
        </groupItems>
      </fieldGroup>
    </cacheField>
    <cacheField name="Minutes (Total Number of woking hours)" numFmtId="0" databaseField="0">
      <fieldGroup base="2">
        <rangePr groupBy="minutes" startDate="1899-12-30T04:56:13" endDate="1899-12-30T09:16:31"/>
        <groupItems count="62">
          <s v="&lt;00-01-1900"/>
          <s v=".00"/>
          <s v=".01"/>
          <s v=".02"/>
          <s v=".03"/>
          <s v=".04"/>
          <s v=".05"/>
          <s v=".06"/>
          <s v=".07"/>
          <s v=".08"/>
          <s v=".09"/>
          <s v=".10"/>
          <s v=".11"/>
          <s v=".12"/>
          <s v=".13"/>
          <s v=".14"/>
          <s v=".15"/>
          <s v=".16"/>
          <s v=".17"/>
          <s v=".18"/>
          <s v=".19"/>
          <s v=".20"/>
          <s v=".21"/>
          <s v=".22"/>
          <s v=".23"/>
          <s v=".24"/>
          <s v=".25"/>
          <s v=".26"/>
          <s v=".27"/>
          <s v=".28"/>
          <s v=".29"/>
          <s v=".30"/>
          <s v=".31"/>
          <s v=".32"/>
          <s v=".33"/>
          <s v=".34"/>
          <s v=".35"/>
          <s v=".36"/>
          <s v=".37"/>
          <s v=".38"/>
          <s v=".39"/>
          <s v=".40"/>
          <s v=".41"/>
          <s v=".42"/>
          <s v=".43"/>
          <s v=".44"/>
          <s v=".45"/>
          <s v=".46"/>
          <s v=".47"/>
          <s v=".48"/>
          <s v=".49"/>
          <s v=".50"/>
          <s v=".51"/>
          <s v=".52"/>
          <s v=".53"/>
          <s v=".54"/>
          <s v=".55"/>
          <s v=".56"/>
          <s v=".57"/>
          <s v=".58"/>
          <s v=".59"/>
          <s v="&gt;00-01-1900"/>
        </groupItems>
      </fieldGroup>
    </cacheField>
    <cacheField name="Hours (Total Number of woking hours)" numFmtId="0" databaseField="0">
      <fieldGroup base="2">
        <rangePr groupBy="hours" startDate="1899-12-30T04:56:13" endDate="1899-12-30T09:16:31"/>
        <groupItems count="26">
          <s v="&lt;00-01-19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00-01-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x v="0"/>
    <d v="1899-12-30T04:57:59"/>
    <d v="1899-12-30T01:08:42"/>
    <n v="98"/>
    <n v="0.55697138822580095"/>
  </r>
  <r>
    <x v="1"/>
    <x v="1"/>
    <x v="1"/>
    <d v="1899-12-30T04:58:34"/>
    <d v="1899-12-30T01:09:59"/>
    <n v="23"/>
    <n v="0.58027306967984904"/>
  </r>
  <r>
    <x v="2"/>
    <x v="2"/>
    <x v="2"/>
    <d v="1899-12-30T04:49:35"/>
    <d v="1899-12-30T01:13:54"/>
    <n v="28"/>
    <n v="0.51708756749505302"/>
  </r>
  <r>
    <x v="3"/>
    <x v="3"/>
    <x v="3"/>
    <d v="1899-12-30T04:17:32"/>
    <d v="1899-12-30T02:19:02"/>
    <n v="29"/>
    <n v="0.47720778337188702"/>
  </r>
  <r>
    <x v="4"/>
    <x v="4"/>
    <x v="4"/>
    <d v="1899-12-30T03:19:44"/>
    <d v="1899-12-30T03:04:58"/>
    <n v="93"/>
    <n v="0.43288831738587802"/>
  </r>
  <r>
    <x v="5"/>
    <x v="5"/>
    <x v="5"/>
    <d v="1899-12-30T03:41:19"/>
    <d v="1899-12-30T00:27:07"/>
    <n v="92"/>
    <n v="0.65495030262646503"/>
  </r>
  <r>
    <x v="6"/>
    <x v="6"/>
    <x v="6"/>
    <d v="1899-12-30T04:12:46"/>
    <d v="1899-12-30T02:41:42"/>
    <n v="26"/>
    <n v="0.49476474931203401"/>
  </r>
  <r>
    <x v="7"/>
    <x v="7"/>
    <x v="7"/>
    <d v="1899-12-30T05:52:08"/>
    <d v="1899-12-30T01:13:10"/>
    <n v="90"/>
    <n v="0.55128627474469205"/>
  </r>
  <r>
    <x v="8"/>
    <x v="8"/>
    <x v="8"/>
    <d v="1899-12-30T04:52:29"/>
    <d v="1899-12-30T01:06:39"/>
    <n v="89"/>
    <n v="0.55206432867085597"/>
  </r>
  <r>
    <x v="9"/>
    <x v="9"/>
    <x v="9"/>
    <d v="1899-12-30T04:58:07"/>
    <d v="1899-12-30T01:09:57"/>
    <n v="54"/>
    <n v="0.56868945774108703"/>
  </r>
  <r>
    <x v="10"/>
    <x v="10"/>
    <x v="10"/>
    <d v="1899-12-30T04:55:28"/>
    <d v="1899-12-30T01:09:15"/>
    <n v="87"/>
    <n v="0.56035332087650802"/>
  </r>
  <r>
    <x v="11"/>
    <x v="11"/>
    <x v="11"/>
    <d v="1899-12-30T03:47:42"/>
    <d v="1899-12-30T03:01:18"/>
    <n v="65"/>
    <n v="0.41552495697073999"/>
  </r>
  <r>
    <x v="12"/>
    <x v="12"/>
    <x v="12"/>
    <d v="1899-12-30T04:43:40"/>
    <d v="1899-12-30T02:06:41"/>
    <n v="85"/>
    <n v="0.50026955994339195"/>
  </r>
  <r>
    <x v="13"/>
    <x v="13"/>
    <x v="13"/>
    <d v="1899-12-30T04:40:27"/>
    <d v="1899-12-30T01:10:34"/>
    <n v="65"/>
    <n v="0.51396318166029897"/>
  </r>
  <r>
    <x v="14"/>
    <x v="14"/>
    <x v="14"/>
    <d v="1899-12-30T04:57:35"/>
    <d v="1899-12-30T01:16:59"/>
    <n v="83"/>
    <n v="0.510580502364264"/>
  </r>
  <r>
    <x v="15"/>
    <x v="15"/>
    <x v="15"/>
    <d v="1899-12-30T04:10:25"/>
    <d v="1899-12-30T02:24:20"/>
    <n v="82"/>
    <n v="0.48292274174627098"/>
  </r>
  <r>
    <x v="16"/>
    <x v="15"/>
    <x v="16"/>
    <d v="1899-12-30T04:44:12"/>
    <d v="1899-12-30T00:56:29"/>
    <n v="81"/>
    <n v="0.57362319861879396"/>
  </r>
  <r>
    <x v="17"/>
    <x v="15"/>
    <x v="17"/>
    <d v="1899-12-30T04:58:07"/>
    <d v="1899-12-30T01:10:07"/>
    <n v="80"/>
    <n v="0.56430560681810604"/>
  </r>
  <r>
    <x v="18"/>
    <x v="15"/>
    <x v="18"/>
    <d v="1899-12-30T04:23:03"/>
    <d v="1899-12-30T02:40:10"/>
    <n v="79"/>
    <n v="0.46974331693044302"/>
  </r>
  <r>
    <x v="19"/>
    <x v="16"/>
    <x v="19"/>
    <d v="1899-12-30T04:58:14"/>
    <d v="1899-12-30T01:14:30"/>
    <n v="78"/>
    <n v="0.57495313336904097"/>
  </r>
  <r>
    <x v="20"/>
    <x v="17"/>
    <x v="20"/>
    <d v="1899-12-30T04:53:40"/>
    <d v="1899-12-30T01:06:59"/>
    <n v="77"/>
    <n v="0.57945376590932096"/>
  </r>
  <r>
    <x v="21"/>
    <x v="18"/>
    <x v="21"/>
    <d v="1899-12-30T04:59:50"/>
    <d v="1899-12-30T01:09:47"/>
    <n v="76"/>
    <n v="0.588296375695049"/>
  </r>
  <r>
    <x v="22"/>
    <x v="19"/>
    <x v="22"/>
    <d v="1899-12-30T04:08:57"/>
    <d v="1899-12-30T02:10:18"/>
    <n v="75"/>
    <n v="0.46267686976609901"/>
  </r>
  <r>
    <x v="23"/>
    <x v="20"/>
    <x v="23"/>
    <d v="1899-12-30T04:14:05"/>
    <d v="1899-12-30T02:11:17"/>
    <n v="74"/>
    <n v="0.478030199972793"/>
  </r>
  <r>
    <x v="24"/>
    <x v="21"/>
    <x v="24"/>
    <d v="1899-12-30T05:26:56"/>
    <d v="1899-12-30T01:12:54"/>
    <n v="73"/>
    <n v="0.59983142279163904"/>
  </r>
  <r>
    <x v="25"/>
    <x v="22"/>
    <x v="25"/>
    <d v="1899-12-30T05:05:16"/>
    <d v="1899-12-30T00:30:30"/>
    <n v="72"/>
    <n v="0.65029060203969702"/>
  </r>
  <r>
    <x v="26"/>
    <x v="23"/>
    <x v="14"/>
    <d v="1899-12-30T04:56:45"/>
    <d v="1899-12-30T01:11:40"/>
    <n v="71"/>
    <n v="0.55001844461584903"/>
  </r>
  <r>
    <x v="27"/>
    <x v="24"/>
    <x v="26"/>
    <d v="1899-12-30T05:06:20"/>
    <d v="1899-12-30T01:10:03"/>
    <n v="70"/>
    <n v="0.51334660682347399"/>
  </r>
  <r>
    <x v="28"/>
    <x v="25"/>
    <x v="27"/>
    <d v="1899-12-30T04:11:43"/>
    <d v="1899-12-30T02:44:52"/>
    <n v="69"/>
    <n v="0.43603379219817601"/>
  </r>
  <r>
    <x v="29"/>
    <x v="26"/>
    <x v="28"/>
    <d v="1899-12-30T04:35:28"/>
    <d v="1899-12-30T01:20:20"/>
    <n v="68"/>
    <n v="0.52954105200417201"/>
  </r>
  <r>
    <x v="30"/>
    <x v="27"/>
    <x v="29"/>
    <d v="1899-12-30T05:14:16"/>
    <d v="1899-12-30T01:09:15"/>
    <n v="67"/>
    <n v="0.56446852102649603"/>
  </r>
  <r>
    <x v="31"/>
    <x v="28"/>
    <x v="30"/>
    <d v="1899-12-30T05:05:03"/>
    <d v="1899-12-30T02:09:14"/>
    <n v="66"/>
    <n v="0.49789043664612898"/>
  </r>
  <r>
    <x v="32"/>
    <x v="29"/>
    <x v="31"/>
    <d v="1899-12-30T04:59:15"/>
    <d v="1899-12-30T01:09:03"/>
    <n v="65"/>
    <n v="0.56270450751252099"/>
  </r>
  <r>
    <x v="33"/>
    <x v="30"/>
    <x v="32"/>
    <d v="1899-12-30T05:02:08"/>
    <d v="1899-12-30T01:09:56"/>
    <n v="64"/>
    <n v="0.57680556021891705"/>
  </r>
  <r>
    <x v="34"/>
    <x v="31"/>
    <x v="33"/>
    <d v="1899-12-30T04:32:56"/>
    <d v="1899-12-30T01:28:09"/>
    <n v="63"/>
    <n v="0.55728373576970502"/>
  </r>
  <r>
    <x v="35"/>
    <x v="32"/>
    <x v="34"/>
    <d v="1899-12-30T04:07:41"/>
    <d v="1899-12-30T02:35:12"/>
    <n v="62"/>
    <n v="0.47590463594126198"/>
  </r>
  <r>
    <x v="36"/>
    <x v="33"/>
    <x v="35"/>
    <d v="1899-12-30T04:51:30"/>
    <d v="1899-12-30T01:09:36"/>
    <n v="61"/>
    <n v="0.55636846224520997"/>
  </r>
  <r>
    <x v="37"/>
    <x v="34"/>
    <x v="36"/>
    <d v="1899-12-30T04:56:12"/>
    <d v="1899-12-30T01:10:44"/>
    <n v="60"/>
    <n v="0.527970147246689"/>
  </r>
  <r>
    <x v="38"/>
    <x v="35"/>
    <x v="37"/>
    <d v="1899-12-30T04:56:56"/>
    <d v="1899-12-30T01:10:27"/>
    <n v="59"/>
    <n v="0.565025741108382"/>
  </r>
  <r>
    <x v="39"/>
    <x v="36"/>
    <x v="38"/>
    <d v="1899-12-30T05:25:18"/>
    <d v="1899-12-30T01:10:12"/>
    <n v="58"/>
    <n v="0.48579278917035301"/>
  </r>
  <r>
    <x v="40"/>
    <x v="37"/>
    <x v="39"/>
    <d v="1899-12-30T04:58:27"/>
    <d v="1899-12-30T01:07:40"/>
    <n v="57"/>
    <n v="0.572258996673499"/>
  </r>
  <r>
    <x v="41"/>
    <x v="38"/>
    <x v="40"/>
    <d v="1899-12-30T03:54:19"/>
    <d v="1899-12-30T02:24:54"/>
    <n v="56"/>
    <n v="0.46542627048042201"/>
  </r>
  <r>
    <x v="42"/>
    <x v="39"/>
    <x v="41"/>
    <d v="1899-12-30T03:21:30"/>
    <d v="1899-12-30T00:15:00"/>
    <n v="55"/>
    <n v="0.64380836602751801"/>
  </r>
  <r>
    <x v="43"/>
    <x v="40"/>
    <x v="42"/>
    <d v="1899-12-30T05:18:49"/>
    <d v="1899-12-30T01:09:45"/>
    <n v="54"/>
    <n v="0.57347234098533195"/>
  </r>
  <r>
    <x v="44"/>
    <x v="41"/>
    <x v="43"/>
    <d v="1899-12-30T05:26:19"/>
    <d v="1899-12-30T00:56:19"/>
    <n v="53"/>
    <n v="0.64717479317021698"/>
  </r>
  <r>
    <x v="45"/>
    <x v="42"/>
    <x v="44"/>
    <d v="1899-12-30T04:13:15"/>
    <d v="1899-12-30T02:10:24"/>
    <n v="52"/>
    <n v="0.50443090556632497"/>
  </r>
  <r>
    <x v="46"/>
    <x v="43"/>
    <x v="45"/>
    <d v="1899-12-30T05:08:41"/>
    <d v="1899-12-30T01:09:28"/>
    <n v="51"/>
    <n v="0.55280122283511701"/>
  </r>
  <r>
    <x v="47"/>
    <x v="44"/>
    <x v="46"/>
    <d v="1899-12-30T04:45:06"/>
    <d v="1899-12-30T01:09:45"/>
    <n v="50"/>
    <n v="0.55493137782561897"/>
  </r>
  <r>
    <x v="48"/>
    <x v="45"/>
    <x v="47"/>
    <d v="1899-12-30T04:42:13"/>
    <d v="1899-12-30T01:10:11"/>
    <n v="49"/>
    <n v="0.55217497131332804"/>
  </r>
  <r>
    <x v="49"/>
    <x v="46"/>
    <x v="48"/>
    <d v="1899-12-30T03:10:50"/>
    <d v="1899-12-30T00:18:10"/>
    <n v="48"/>
    <n v="0.58819557756147001"/>
  </r>
  <r>
    <x v="50"/>
    <x v="47"/>
    <x v="49"/>
    <d v="1899-12-30T04:39:06"/>
    <d v="1899-12-30T01:14:44"/>
    <n v="47"/>
    <n v="0.55534863732407003"/>
  </r>
  <r>
    <x v="51"/>
    <x v="48"/>
    <x v="50"/>
    <d v="1899-12-30T04:46:25"/>
    <d v="1899-12-30T01:10:04"/>
    <n v="46"/>
    <n v="0.55815083469267301"/>
  </r>
  <r>
    <x v="52"/>
    <x v="49"/>
    <x v="51"/>
    <d v="1899-12-30T04:51:12"/>
    <d v="1899-12-30T01:10:09"/>
    <n v="45"/>
    <n v="0.53002824185919895"/>
  </r>
  <r>
    <x v="53"/>
    <x v="50"/>
    <x v="52"/>
    <d v="1899-12-30T05:04:01"/>
    <d v="1899-12-30T01:10:39"/>
    <n v="44"/>
    <n v="0.54639905548996504"/>
  </r>
  <r>
    <x v="54"/>
    <x v="51"/>
    <x v="53"/>
    <d v="1899-12-30T04:26:11"/>
    <d v="1899-12-30T01:10:46"/>
    <n v="43"/>
    <n v="0.52849609939323905"/>
  </r>
  <r>
    <x v="55"/>
    <x v="52"/>
    <x v="54"/>
    <d v="1899-12-30T04:28:58"/>
    <d v="1899-12-30T01:09:53"/>
    <n v="42"/>
    <n v="0.53279711551795905"/>
  </r>
  <r>
    <x v="56"/>
    <x v="52"/>
    <x v="55"/>
    <d v="1899-12-30T04:29:51"/>
    <d v="1899-12-30T01:15:59"/>
    <n v="41"/>
    <n v="0.53150089401535605"/>
  </r>
  <r>
    <x v="57"/>
    <x v="53"/>
    <x v="23"/>
    <d v="1899-12-30T05:04:35"/>
    <d v="1899-12-30T01:11:39"/>
    <n v="40"/>
    <n v="0.58954564004897303"/>
  </r>
  <r>
    <x v="58"/>
    <x v="54"/>
    <x v="56"/>
    <d v="1899-12-30T03:09:32"/>
    <d v="1899-12-30T03:34:45"/>
    <n v="39"/>
    <n v="0.34903360911806097"/>
  </r>
  <r>
    <x v="59"/>
    <x v="55"/>
    <x v="57"/>
    <d v="1899-12-30T04:08:21"/>
    <d v="1899-12-30T02:12:24"/>
    <n v="38"/>
    <n v="0.47933717288067101"/>
  </r>
  <r>
    <x v="60"/>
    <x v="56"/>
    <x v="58"/>
    <d v="1899-12-30T03:38:44"/>
    <d v="1899-12-30T00:15:35"/>
    <n v="37"/>
    <n v="0.62762080802746201"/>
  </r>
  <r>
    <x v="61"/>
    <x v="57"/>
    <x v="59"/>
    <d v="1899-12-30T04:14:06"/>
    <d v="1899-12-30T02:13:07"/>
    <n v="36"/>
    <n v="0.47561801557737898"/>
  </r>
  <r>
    <x v="62"/>
    <x v="58"/>
    <x v="60"/>
    <d v="1899-12-30T03:55:15"/>
    <d v="1899-12-30T02:38:29"/>
    <n v="35"/>
    <n v="0.43635543840177599"/>
  </r>
  <r>
    <x v="63"/>
    <x v="59"/>
    <x v="61"/>
    <d v="1899-12-30T03:50:43"/>
    <d v="1899-12-30T02:24:38"/>
    <n v="34"/>
    <n v="0.451270369721395"/>
  </r>
  <r>
    <x v="64"/>
    <x v="60"/>
    <x v="62"/>
    <d v="1899-12-30T03:13:40"/>
    <d v="1899-12-30T00:29:34"/>
    <n v="33"/>
    <n v="0.61244257486024201"/>
  </r>
  <r>
    <x v="65"/>
    <x v="61"/>
    <x v="63"/>
    <d v="1899-12-30T04:43:39"/>
    <d v="1899-12-30T01:14:03"/>
    <n v="32"/>
    <n v="0.51755872288115901"/>
  </r>
  <r>
    <x v="66"/>
    <x v="62"/>
    <x v="64"/>
    <d v="1899-12-30T04:54:19"/>
    <d v="1899-12-30T01:08:27"/>
    <n v="31"/>
    <n v="0.55550735760285597"/>
  </r>
  <r>
    <x v="67"/>
    <x v="63"/>
    <x v="65"/>
    <d v="1899-12-30T04:36:09"/>
    <d v="1899-12-30T02:15:18"/>
    <n v="30"/>
    <n v="0.45535862734013899"/>
  </r>
  <r>
    <x v="68"/>
    <x v="64"/>
    <x v="66"/>
    <d v="1899-12-30T04:44:15"/>
    <d v="1899-12-30T01:10:03"/>
    <n v="29"/>
    <n v="0.53445058742225304"/>
  </r>
  <r>
    <x v="69"/>
    <x v="65"/>
    <x v="67"/>
    <d v="1899-12-30T04:58:45"/>
    <d v="1899-12-30T01:37:25"/>
    <n v="28"/>
    <n v="0.55914916459773201"/>
  </r>
  <r>
    <x v="70"/>
    <x v="66"/>
    <x v="68"/>
    <d v="1899-12-30T04:44:56"/>
    <d v="1899-12-30T01:09:53"/>
    <n v="29"/>
    <n v="0.56847106148351101"/>
  </r>
  <r>
    <x v="71"/>
    <x v="67"/>
    <x v="69"/>
    <d v="1899-12-30T04:26:21"/>
    <d v="1899-12-30T01:36:03"/>
    <n v="30"/>
    <n v="0.47509108744394601"/>
  </r>
  <r>
    <x v="72"/>
    <x v="68"/>
    <x v="70"/>
    <d v="1899-12-30T04:02:05"/>
    <d v="1899-12-30T02:11:54"/>
    <n v="31"/>
    <n v="0.47578531804104401"/>
  </r>
  <r>
    <x v="73"/>
    <x v="69"/>
    <x v="71"/>
    <d v="1899-12-30T04:02:50"/>
    <d v="1899-12-30T02:26:26"/>
    <n v="32"/>
    <n v="0.46898271622042897"/>
  </r>
  <r>
    <x v="74"/>
    <x v="70"/>
    <x v="72"/>
    <d v="1899-12-30T04:26:54"/>
    <d v="1899-12-30T01:55:26"/>
    <n v="33"/>
    <n v="0.51361161524500898"/>
  </r>
  <r>
    <x v="75"/>
    <x v="71"/>
    <x v="73"/>
    <d v="1899-12-30T05:11:39"/>
    <d v="1899-12-30T01:38:42"/>
    <n v="34"/>
    <n v="0.525112224318522"/>
  </r>
  <r>
    <x v="76"/>
    <x v="72"/>
    <x v="74"/>
    <d v="1899-12-30T03:03:51"/>
    <d v="1899-12-30T04:11:26"/>
    <n v="35"/>
    <n v="0.348600086352918"/>
  </r>
  <r>
    <x v="77"/>
    <x v="73"/>
    <x v="75"/>
    <d v="1899-12-30T02:54:03"/>
    <d v="1899-12-30T04:21:06"/>
    <n v="36"/>
    <n v="0.314709762532982"/>
  </r>
  <r>
    <x v="78"/>
    <x v="74"/>
    <x v="76"/>
    <d v="1899-12-30T05:10:46"/>
    <d v="1899-12-30T01:10:25"/>
    <n v="37"/>
    <n v="0.55600710333993597"/>
  </r>
  <r>
    <x v="79"/>
    <x v="75"/>
    <x v="77"/>
    <d v="1899-12-30T04:08:46"/>
    <d v="1899-12-30T02:37:28"/>
    <n v="38"/>
    <n v="0.46221628838451301"/>
  </r>
  <r>
    <x v="80"/>
    <x v="76"/>
    <x v="78"/>
    <d v="1899-12-30T03:40:53"/>
    <d v="1899-12-30T03:20:01"/>
    <n v="39"/>
    <n v="0.39075685654008402"/>
  </r>
  <r>
    <x v="81"/>
    <x v="77"/>
    <x v="79"/>
    <d v="1899-12-30T05:16:03"/>
    <d v="1899-12-30T01:08:32"/>
    <n v="40"/>
    <n v="0.54713623850130899"/>
  </r>
  <r>
    <x v="82"/>
    <x v="78"/>
    <x v="80"/>
    <d v="1899-12-30T05:07:23"/>
    <d v="1899-12-30T00:30:20"/>
    <n v="41"/>
    <n v="0.61457229509993805"/>
  </r>
  <r>
    <x v="83"/>
    <x v="79"/>
    <x v="81"/>
    <d v="1899-12-30T05:03:51"/>
    <d v="1899-12-30T01:08:44"/>
    <n v="42"/>
    <n v="0.55335578460387103"/>
  </r>
  <r>
    <x v="84"/>
    <x v="80"/>
    <x v="82"/>
    <d v="1899-12-30T05:05:29"/>
    <d v="1899-12-30T01:08:24"/>
    <n v="43"/>
    <n v="0.611363636363636"/>
  </r>
  <r>
    <x v="85"/>
    <x v="81"/>
    <x v="83"/>
    <d v="1899-12-30T04:28:51"/>
    <d v="1899-12-30T01:37:06"/>
    <n v="44"/>
    <n v="0.51217732689434703"/>
  </r>
  <r>
    <x v="86"/>
    <x v="82"/>
    <x v="84"/>
    <d v="1899-12-30T04:58:12"/>
    <d v="1899-12-30T01:19:08"/>
    <n v="45"/>
    <n v="0.56029910728991705"/>
  </r>
  <r>
    <x v="87"/>
    <x v="83"/>
    <x v="85"/>
    <d v="1899-12-30T03:55:22"/>
    <d v="1899-12-30T02:34:16"/>
    <n v="46"/>
    <n v="0.42891793558819602"/>
  </r>
  <r>
    <x v="88"/>
    <x v="84"/>
    <x v="86"/>
    <d v="1899-12-30T00:48:33"/>
    <d v="1899-12-30T07:08:19"/>
    <n v="47"/>
    <n v="9.4547987000066294E-2"/>
  </r>
  <r>
    <x v="89"/>
    <x v="85"/>
    <x v="87"/>
    <d v="1899-12-30T05:11:50"/>
    <d v="1899-12-30T01:12:04"/>
    <n v="48"/>
    <n v="0.61021533340268397"/>
  </r>
  <r>
    <x v="90"/>
    <x v="85"/>
    <x v="88"/>
    <d v="1899-12-30T04:49:40"/>
    <d v="1899-12-30T02:06:35"/>
    <n v="49"/>
    <n v="0.51260926353863201"/>
  </r>
  <r>
    <x v="91"/>
    <x v="86"/>
    <x v="89"/>
    <d v="1899-12-30T03:24:21"/>
    <d v="1899-12-30T00:24:27"/>
    <n v="50"/>
    <n v="0.62426796562859199"/>
  </r>
  <r>
    <x v="92"/>
    <x v="87"/>
    <x v="90"/>
    <d v="1899-12-30T04:44:35"/>
    <d v="1899-12-30T01:09:28"/>
    <n v="51"/>
    <n v="0.54373153085832704"/>
  </r>
  <r>
    <x v="93"/>
    <x v="88"/>
    <x v="91"/>
    <e v="#VALUE!"/>
    <d v="1899-12-30T08:15:09"/>
    <n v="52"/>
    <n v="0"/>
  </r>
  <r>
    <x v="94"/>
    <x v="89"/>
    <x v="92"/>
    <d v="1899-12-30T01:13:06"/>
    <d v="1899-12-30T06:39:44"/>
    <n v="53"/>
    <n v="0.14431174927516199"/>
  </r>
  <r>
    <x v="95"/>
    <x v="90"/>
    <x v="93"/>
    <d v="1899-12-30T04:53:04"/>
    <d v="1899-12-30T01:13:46"/>
    <n v="54"/>
    <n v="0.55259293866381898"/>
  </r>
  <r>
    <x v="96"/>
    <x v="91"/>
    <x v="94"/>
    <d v="1899-12-30T01:36:08"/>
    <d v="1899-12-30T05:45:13"/>
    <n v="55"/>
    <n v="0.18938817836156199"/>
  </r>
  <r>
    <x v="97"/>
    <x v="92"/>
    <x v="95"/>
    <d v="1899-12-30T04:16:57"/>
    <d v="1899-12-30T02:04:58"/>
    <n v="56"/>
    <n v="0.47077424938419499"/>
  </r>
  <r>
    <x v="98"/>
    <x v="93"/>
    <x v="54"/>
    <d v="1899-12-30T04:47:03"/>
    <d v="1899-12-30T01:11:14"/>
    <n v="57"/>
    <n v="0.53862155040909698"/>
  </r>
  <r>
    <x v="99"/>
    <x v="94"/>
    <x v="96"/>
    <d v="1899-12-30T04:38:57"/>
    <d v="1899-12-30T01:09:28"/>
    <n v="58"/>
    <n v="0.53294365856189296"/>
  </r>
  <r>
    <x v="100"/>
    <x v="95"/>
    <x v="97"/>
    <d v="1899-12-30T02:53:07"/>
    <d v="1899-12-30T02:41:42"/>
    <n v="59"/>
    <n v="0.41310286360211002"/>
  </r>
  <r>
    <x v="101"/>
    <x v="96"/>
    <x v="98"/>
    <d v="1899-12-30T04:22:52"/>
    <d v="1899-12-30T01:50:37"/>
    <n v="60"/>
    <n v="0.50483838451717"/>
  </r>
  <r>
    <x v="102"/>
    <x v="97"/>
    <x v="99"/>
    <d v="1899-12-30T04:25:29"/>
    <d v="1899-12-30T01:36:57"/>
    <n v="61"/>
    <n v="0.52390558805729304"/>
  </r>
  <r>
    <x v="103"/>
    <x v="98"/>
    <x v="100"/>
    <d v="1899-12-30T02:30:29"/>
    <d v="1899-12-30T05:07:55"/>
    <n v="62"/>
    <n v="0.25444780127559602"/>
  </r>
  <r>
    <x v="104"/>
    <x v="99"/>
    <x v="101"/>
    <d v="1899-12-30T04:52:13"/>
    <d v="1899-12-30T01:13:20"/>
    <n v="63"/>
    <n v="0.55517503805174995"/>
  </r>
  <r>
    <x v="105"/>
    <x v="100"/>
    <x v="102"/>
    <e v="#VALUE!"/>
    <d v="1899-12-30T08:17:00"/>
    <n v="64"/>
    <n v="0"/>
  </r>
  <r>
    <x v="106"/>
    <x v="101"/>
    <x v="0"/>
    <d v="1899-12-30T04:08:30"/>
    <d v="1899-12-30T02:10:16"/>
    <n v="65"/>
    <n v="0.477120667047709"/>
  </r>
  <r>
    <x v="107"/>
    <x v="102"/>
    <x v="103"/>
    <d v="1899-12-30T05:35:38"/>
    <d v="1899-12-30T00:53:47"/>
    <n v="66"/>
    <n v="0.61917030852521004"/>
  </r>
  <r>
    <x v="108"/>
    <x v="103"/>
    <x v="104"/>
    <d v="1899-12-30T04:52:11"/>
    <d v="1899-12-30T01:09:24"/>
    <n v="67"/>
    <n v="0.55305265350039901"/>
  </r>
  <r>
    <x v="109"/>
    <x v="104"/>
    <x v="105"/>
    <d v="1899-12-30T05:00:37"/>
    <d v="1899-12-30T01:08:40"/>
    <n v="68"/>
    <n v="0.56195374478956595"/>
  </r>
  <r>
    <x v="110"/>
    <x v="105"/>
    <x v="106"/>
    <d v="1899-12-30T04:37:42"/>
    <d v="1899-12-30T01:59:29"/>
    <n v="69"/>
    <n v="0.48780077967468699"/>
  </r>
  <r>
    <x v="111"/>
    <x v="106"/>
    <x v="107"/>
    <d v="1899-12-30T05:00:14"/>
    <d v="1899-12-30T01:09:43"/>
    <n v="70"/>
    <n v="0.55414762032804499"/>
  </r>
  <r>
    <x v="112"/>
    <x v="107"/>
    <x v="108"/>
    <d v="1899-12-30T05:06:07"/>
    <d v="1899-12-30T01:10:15"/>
    <n v="71"/>
    <n v="0.58651553374572396"/>
  </r>
  <r>
    <x v="113"/>
    <x v="108"/>
    <x v="109"/>
    <d v="1899-12-30T05:19:44"/>
    <d v="1899-12-30T01:13:56"/>
    <n v="72"/>
    <n v="0.58165871362322696"/>
  </r>
  <r>
    <x v="114"/>
    <x v="109"/>
    <x v="60"/>
    <d v="1899-12-30T05:03:10"/>
    <d v="1899-12-30T01:09:48"/>
    <n v="73"/>
    <n v="0.59073251942286398"/>
  </r>
  <r>
    <x v="115"/>
    <x v="109"/>
    <x v="110"/>
    <d v="1899-12-30T05:09:57"/>
    <d v="1899-12-30T01:10:58"/>
    <n v="74"/>
    <n v="0.58640692060085797"/>
  </r>
  <r>
    <x v="116"/>
    <x v="109"/>
    <x v="111"/>
    <d v="1899-12-30T04:44:19"/>
    <d v="1899-12-30T01:12:01"/>
    <n v="75"/>
    <n v="0.54653369681493502"/>
  </r>
  <r>
    <x v="117"/>
    <x v="110"/>
    <x v="112"/>
    <d v="1899-12-30T04:33:29"/>
    <d v="1899-12-30T01:32:37"/>
    <n v="76"/>
    <n v="0.53238796723342696"/>
  </r>
  <r>
    <x v="118"/>
    <x v="111"/>
    <x v="113"/>
    <d v="1899-12-30T04:31:42"/>
    <d v="1899-12-30T01:45:37"/>
    <n v="77"/>
    <n v="0.47020989660776702"/>
  </r>
  <r>
    <x v="119"/>
    <x v="112"/>
    <x v="114"/>
    <d v="1899-12-30T04:51:46"/>
    <d v="1899-12-30T01:08:46"/>
    <n v="78"/>
    <n v="0.54633099407235797"/>
  </r>
  <r>
    <x v="120"/>
    <x v="113"/>
    <x v="115"/>
    <d v="1899-12-30T03:26:09"/>
    <d v="1899-12-30T03:43:06"/>
    <n v="79"/>
    <n v="0.38820416638756799"/>
  </r>
  <r>
    <x v="121"/>
    <x v="114"/>
    <x v="116"/>
    <d v="1899-12-30T03:27:15"/>
    <d v="1899-12-30T03:15:05"/>
    <n v="80"/>
    <n v="0.40277584042404802"/>
  </r>
  <r>
    <x v="122"/>
    <x v="115"/>
    <x v="117"/>
    <d v="1899-12-30T05:19:10"/>
    <d v="1899-12-30T01:09:59"/>
    <n v="81"/>
    <n v="0.54352584610203702"/>
  </r>
  <r>
    <x v="123"/>
    <x v="116"/>
    <x v="118"/>
    <d v="1899-12-30T03:41:07"/>
    <d v="1899-12-30T00:55:39"/>
    <n v="82"/>
    <n v="0.28371986821932998"/>
  </r>
  <r>
    <x v="124"/>
    <x v="117"/>
    <x v="119"/>
    <d v="1899-12-30T05:10:26"/>
    <d v="1899-12-30T01:41:30"/>
    <n v="83"/>
    <n v="0.56196890539434796"/>
  </r>
  <r>
    <x v="125"/>
    <x v="118"/>
    <x v="120"/>
    <d v="1899-12-30T03:41:29"/>
    <d v="1899-12-30T03:23:49"/>
    <n v="84"/>
    <n v="0.40332201825791802"/>
  </r>
  <r>
    <x v="126"/>
    <x v="119"/>
    <x v="121"/>
    <d v="1899-12-30T04:12:39"/>
    <d v="1899-12-30T02:17:48"/>
    <n v="85"/>
    <n v="0.43796610169491501"/>
  </r>
  <r>
    <x v="127"/>
    <x v="120"/>
    <x v="122"/>
    <d v="1899-12-30T04:54:52"/>
    <d v="1899-12-30T01:19:32"/>
    <n v="86"/>
    <n v="0.55581995508931903"/>
  </r>
  <r>
    <x v="128"/>
    <x v="121"/>
    <x v="1"/>
    <d v="1899-12-30T02:53:35"/>
    <d v="1899-12-30T04:35:37"/>
    <n v="87"/>
    <n v="0.326035781544256"/>
  </r>
  <r>
    <x v="129"/>
    <x v="122"/>
    <x v="123"/>
    <d v="1899-12-30T05:06:25"/>
    <d v="1899-12-30T01:09:51"/>
    <n v="88"/>
    <n v="0.57404190086867701"/>
  </r>
  <r>
    <x v="130"/>
    <x v="123"/>
    <x v="124"/>
    <d v="1899-12-30T04:11:10"/>
    <d v="1899-12-30T01:57:15"/>
    <n v="89"/>
    <n v="0.45359037481363301"/>
  </r>
  <r>
    <x v="131"/>
    <x v="124"/>
    <x v="35"/>
    <d v="1899-12-30T02:38:49"/>
    <d v="1899-12-30T04:36:20"/>
    <n v="90"/>
    <n v="0.29689998979140397"/>
  </r>
  <r>
    <x v="132"/>
    <x v="125"/>
    <x v="125"/>
    <d v="1899-12-30T04:35:36"/>
    <d v="1899-12-30T01:14:24"/>
    <n v="91"/>
    <n v="0.55729058227496697"/>
  </r>
  <r>
    <x v="133"/>
    <x v="126"/>
    <x v="126"/>
    <d v="1899-12-30T02:58:37"/>
    <d v="1899-12-30T03:56:57"/>
    <n v="92"/>
    <n v="0.33279321519685601"/>
  </r>
  <r>
    <x v="134"/>
    <x v="126"/>
    <x v="127"/>
    <d v="1899-12-30T04:05:03"/>
    <d v="1899-12-30T02:16:51"/>
    <n v="93"/>
    <n v="0.472308115165258"/>
  </r>
  <r>
    <x v="135"/>
    <x v="127"/>
    <x v="128"/>
    <d v="1899-12-30T04:31:57"/>
    <d v="1899-12-30T02:06:43"/>
    <n v="94"/>
    <n v="0.51110729613733896"/>
  </r>
  <r>
    <x v="136"/>
    <x v="128"/>
    <x v="129"/>
    <d v="1899-12-30T05:19:12"/>
    <d v="1899-12-30T01:08:15"/>
    <n v="95"/>
    <n v="0.58886040078267299"/>
  </r>
  <r>
    <x v="137"/>
    <x v="129"/>
    <x v="130"/>
    <d v="1899-12-30T02:54:25"/>
    <d v="1899-12-30T03:46:52"/>
    <n v="96"/>
    <n v="0.34289424860853401"/>
  </r>
  <r>
    <x v="138"/>
    <x v="130"/>
    <x v="131"/>
    <d v="1899-12-30T04:36:50"/>
    <d v="1899-12-30T02:17:05"/>
    <n v="97"/>
    <n v="0.497486459313074"/>
  </r>
  <r>
    <x v="139"/>
    <x v="131"/>
    <x v="132"/>
    <d v="1899-12-30T04:50:07"/>
    <d v="1899-12-30T01:10:21"/>
    <n v="98"/>
    <n v="0.52431431936732298"/>
  </r>
  <r>
    <x v="140"/>
    <x v="132"/>
    <x v="133"/>
    <d v="1899-12-30T02:59:39"/>
    <d v="1899-12-30T04:32:37"/>
    <n v="99"/>
    <n v="0.31066956086157999"/>
  </r>
  <r>
    <x v="141"/>
    <x v="133"/>
    <x v="134"/>
    <d v="1899-12-30T05:24:05"/>
    <d v="1899-12-30T01:14:44"/>
    <n v="100"/>
    <n v="0.58462473412336702"/>
  </r>
  <r>
    <x v="142"/>
    <x v="134"/>
    <x v="135"/>
    <d v="1899-12-30T02:52:08"/>
    <d v="1899-12-30T05:03:34"/>
    <n v="101"/>
    <n v="0.31685816164817698"/>
  </r>
  <r>
    <x v="143"/>
    <x v="135"/>
    <x v="136"/>
    <d v="1899-12-30T04:51:52"/>
    <d v="1899-12-30T01:12:04"/>
    <n v="102"/>
    <n v="0.56375322197301903"/>
  </r>
  <r>
    <x v="144"/>
    <x v="136"/>
    <x v="137"/>
    <d v="1899-12-30T05:15:36"/>
    <d v="1899-12-30T00:56:05"/>
    <n v="103"/>
    <n v="0.54779147908918902"/>
  </r>
  <r>
    <x v="145"/>
    <x v="137"/>
    <x v="138"/>
    <d v="1899-12-30T03:36:51"/>
    <d v="1899-12-30T04:02:30"/>
    <n v="104"/>
    <n v="0.37965983593576802"/>
  </r>
  <r>
    <x v="146"/>
    <x v="138"/>
    <x v="139"/>
    <d v="1899-12-30T05:15:14"/>
    <d v="1899-12-30T01:12:11"/>
    <n v="105"/>
    <n v="0.56529498922413801"/>
  </r>
  <r>
    <x v="147"/>
    <x v="139"/>
    <x v="140"/>
    <d v="1899-12-30T03:08:41"/>
    <d v="1899-12-30T00:15:03"/>
    <n v="106"/>
    <n v="0.60261183662128404"/>
  </r>
  <r>
    <x v="148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776AB-4205-4006-BC14-3FC682A97FE8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 rowHeaderCaption="Employee name">
  <location ref="A6:B11" firstHeaderRow="1" firstDataRow="1" firstDataCol="1"/>
  <pivotFields count="10">
    <pivotField showAll="0" measureFilter="1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 sortType="descending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numFmtId="9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15"/>
    </i>
    <i>
      <x v="109"/>
    </i>
    <i>
      <x v="85"/>
    </i>
    <i>
      <x v="126"/>
    </i>
    <i>
      <x v="52"/>
    </i>
  </rowItems>
  <colItems count="1">
    <i/>
  </colItems>
  <dataFields count="1">
    <dataField name="employee total working hours" fld="2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2" iMeasureFld="0">
      <autoFilter ref="A1">
        <filterColumn colId="0">
          <top10 val="5" filterVal="5"/>
        </filterColumn>
      </autoFilter>
    </filter>
    <filter fld="1" type="count" evalOrder="-1" id="9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F8C74-1E95-41B4-ADA2-262AEB2007BE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 rowHeaderCaption="Employee name">
  <location ref="D6:E11" firstHeaderRow="1" firstDataRow="1" firstDataCol="1"/>
  <pivotFields count="10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dataField="1" numFmtId="9"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Active With Customer" fld="6" baseField="0" baseItem="0" numFmtId="10"/>
  </dataFields>
  <formats count="2">
    <format dxfId="1">
      <pivotArea dataOnly="0" labelOnly="1" outline="0" axis="axisValues" fieldPosition="0"/>
    </format>
    <format dxfId="0">
      <pivotArea outline="0" collapsedLevelsAreSubtotals="1" fieldPosition="0"/>
    </format>
  </format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8B113-03A4-4EC4-8739-82C6B05E0524}">
  <sheetPr codeName="Sheet1"/>
  <dimension ref="A1:I150"/>
  <sheetViews>
    <sheetView workbookViewId="0">
      <selection activeCell="E18" sqref="E18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" t="s">
        <v>446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3">
      <c r="A2" s="4" t="s">
        <v>463</v>
      </c>
      <c r="B2" s="2" t="s">
        <v>8</v>
      </c>
      <c r="C2" s="2" t="s">
        <v>9</v>
      </c>
      <c r="D2" s="2" t="s">
        <v>10</v>
      </c>
      <c r="E2" s="2" t="s">
        <v>10</v>
      </c>
      <c r="F2" s="2" t="s">
        <v>10</v>
      </c>
      <c r="G2" s="2" t="s">
        <v>10</v>
      </c>
      <c r="H2" s="2" t="s">
        <v>10</v>
      </c>
      <c r="I2" s="2" t="s">
        <v>11</v>
      </c>
    </row>
    <row r="3" spans="1:9" x14ac:dyDescent="0.3">
      <c r="A3" s="4" t="s">
        <v>466</v>
      </c>
      <c r="B3" s="2" t="s">
        <v>12</v>
      </c>
      <c r="C3" s="2" t="s">
        <v>13</v>
      </c>
      <c r="D3" s="2" t="s">
        <v>10</v>
      </c>
      <c r="E3" s="2" t="s">
        <v>10</v>
      </c>
      <c r="F3" s="2" t="s">
        <v>10</v>
      </c>
      <c r="G3" s="2" t="s">
        <v>10</v>
      </c>
      <c r="H3" s="2" t="s">
        <v>10</v>
      </c>
      <c r="I3" s="2" t="s">
        <v>14</v>
      </c>
    </row>
    <row r="4" spans="1:9" x14ac:dyDescent="0.3">
      <c r="A4" s="4" t="s">
        <v>469</v>
      </c>
      <c r="B4" s="2" t="s">
        <v>15</v>
      </c>
      <c r="C4" s="2" t="s">
        <v>16</v>
      </c>
      <c r="D4" s="2" t="s">
        <v>10</v>
      </c>
      <c r="E4" s="2" t="s">
        <v>10</v>
      </c>
      <c r="F4" s="2" t="s">
        <v>10</v>
      </c>
      <c r="G4" s="2" t="s">
        <v>17</v>
      </c>
      <c r="H4" s="2" t="s">
        <v>10</v>
      </c>
      <c r="I4" s="2" t="s">
        <v>18</v>
      </c>
    </row>
    <row r="5" spans="1:9" x14ac:dyDescent="0.3">
      <c r="A5" s="4" t="s">
        <v>472</v>
      </c>
      <c r="B5" s="2" t="s">
        <v>19</v>
      </c>
      <c r="C5" s="2" t="s">
        <v>20</v>
      </c>
      <c r="D5" s="2" t="s">
        <v>21</v>
      </c>
      <c r="E5" s="2" t="s">
        <v>10</v>
      </c>
      <c r="F5" s="2" t="s">
        <v>10</v>
      </c>
      <c r="G5" s="2" t="s">
        <v>10</v>
      </c>
      <c r="H5" s="2" t="s">
        <v>10</v>
      </c>
      <c r="I5" s="2" t="s">
        <v>22</v>
      </c>
    </row>
    <row r="6" spans="1:9" x14ac:dyDescent="0.3">
      <c r="A6" s="4" t="s">
        <v>475</v>
      </c>
      <c r="B6" s="2" t="s">
        <v>10</v>
      </c>
      <c r="C6" s="2" t="s">
        <v>23</v>
      </c>
      <c r="D6" s="2" t="s">
        <v>10</v>
      </c>
      <c r="E6" s="2" t="s">
        <v>10</v>
      </c>
      <c r="F6" s="2" t="s">
        <v>24</v>
      </c>
      <c r="G6" s="2" t="s">
        <v>10</v>
      </c>
      <c r="H6" s="2" t="s">
        <v>25</v>
      </c>
      <c r="I6" s="2" t="s">
        <v>26</v>
      </c>
    </row>
    <row r="7" spans="1:9" x14ac:dyDescent="0.3">
      <c r="A7" s="4" t="s">
        <v>478</v>
      </c>
      <c r="B7" s="2" t="s">
        <v>10</v>
      </c>
      <c r="C7" s="2" t="s">
        <v>27</v>
      </c>
      <c r="D7" s="2" t="s">
        <v>10</v>
      </c>
      <c r="E7" s="2" t="s">
        <v>10</v>
      </c>
      <c r="F7" s="2" t="s">
        <v>10</v>
      </c>
      <c r="G7" s="2" t="s">
        <v>28</v>
      </c>
      <c r="H7" s="2" t="s">
        <v>10</v>
      </c>
      <c r="I7" s="2" t="s">
        <v>29</v>
      </c>
    </row>
    <row r="8" spans="1:9" x14ac:dyDescent="0.3">
      <c r="A8" s="4" t="s">
        <v>481</v>
      </c>
      <c r="B8" s="2" t="s">
        <v>30</v>
      </c>
      <c r="C8" s="2" t="s">
        <v>31</v>
      </c>
      <c r="D8" s="2" t="s">
        <v>10</v>
      </c>
      <c r="E8" s="2" t="s">
        <v>10</v>
      </c>
      <c r="F8" s="2" t="s">
        <v>10</v>
      </c>
      <c r="G8" s="2" t="s">
        <v>10</v>
      </c>
      <c r="H8" s="2" t="s">
        <v>32</v>
      </c>
      <c r="I8" s="2" t="s">
        <v>33</v>
      </c>
    </row>
    <row r="9" spans="1:9" x14ac:dyDescent="0.3">
      <c r="A9" s="4" t="s">
        <v>484</v>
      </c>
      <c r="B9" s="2" t="s">
        <v>34</v>
      </c>
      <c r="C9" s="2" t="s">
        <v>35</v>
      </c>
      <c r="D9" s="2" t="s">
        <v>10</v>
      </c>
      <c r="E9" s="2" t="s">
        <v>10</v>
      </c>
      <c r="F9" s="2" t="s">
        <v>10</v>
      </c>
      <c r="G9" s="2" t="s">
        <v>10</v>
      </c>
      <c r="H9" s="2" t="s">
        <v>10</v>
      </c>
      <c r="I9" s="2" t="s">
        <v>36</v>
      </c>
    </row>
    <row r="10" spans="1:9" x14ac:dyDescent="0.3">
      <c r="A10" s="4" t="s">
        <v>487</v>
      </c>
      <c r="B10" s="2" t="s">
        <v>37</v>
      </c>
      <c r="C10" s="2" t="s">
        <v>38</v>
      </c>
      <c r="D10" s="2" t="s">
        <v>10</v>
      </c>
      <c r="E10" s="2" t="s">
        <v>10</v>
      </c>
      <c r="F10" s="2" t="s">
        <v>10</v>
      </c>
      <c r="G10" s="2" t="s">
        <v>10</v>
      </c>
      <c r="H10" s="2" t="s">
        <v>10</v>
      </c>
      <c r="I10" s="2" t="s">
        <v>39</v>
      </c>
    </row>
    <row r="11" spans="1:9" x14ac:dyDescent="0.3">
      <c r="A11" s="4" t="s">
        <v>490</v>
      </c>
      <c r="B11" s="2" t="s">
        <v>40</v>
      </c>
      <c r="C11" s="2" t="s">
        <v>41</v>
      </c>
      <c r="D11" s="2" t="s">
        <v>10</v>
      </c>
      <c r="E11" s="2" t="s">
        <v>10</v>
      </c>
      <c r="F11" s="2" t="s">
        <v>10</v>
      </c>
      <c r="G11" s="2" t="s">
        <v>10</v>
      </c>
      <c r="H11" s="2" t="s">
        <v>10</v>
      </c>
      <c r="I11" s="2" t="s">
        <v>42</v>
      </c>
    </row>
    <row r="12" spans="1:9" x14ac:dyDescent="0.3">
      <c r="A12" s="4" t="s">
        <v>493</v>
      </c>
      <c r="B12" s="2" t="s">
        <v>43</v>
      </c>
      <c r="C12" s="2" t="s">
        <v>44</v>
      </c>
      <c r="D12" s="2" t="s">
        <v>10</v>
      </c>
      <c r="E12" s="2" t="s">
        <v>10</v>
      </c>
      <c r="F12" s="2" t="s">
        <v>10</v>
      </c>
      <c r="G12" s="2" t="s">
        <v>10</v>
      </c>
      <c r="H12" s="2" t="s">
        <v>10</v>
      </c>
      <c r="I12" s="2" t="s">
        <v>45</v>
      </c>
    </row>
    <row r="13" spans="1:9" x14ac:dyDescent="0.3">
      <c r="A13" s="4" t="s">
        <v>496</v>
      </c>
      <c r="B13" s="2" t="s">
        <v>46</v>
      </c>
      <c r="C13" s="2" t="s">
        <v>41</v>
      </c>
      <c r="D13" s="2" t="s">
        <v>10</v>
      </c>
      <c r="E13" s="2" t="s">
        <v>47</v>
      </c>
      <c r="F13" s="2" t="s">
        <v>9</v>
      </c>
      <c r="G13" s="2" t="s">
        <v>48</v>
      </c>
      <c r="H13" s="2" t="s">
        <v>10</v>
      </c>
      <c r="I13" s="2" t="s">
        <v>49</v>
      </c>
    </row>
    <row r="14" spans="1:9" x14ac:dyDescent="0.3">
      <c r="A14" s="4" t="s">
        <v>499</v>
      </c>
      <c r="B14" s="2" t="s">
        <v>50</v>
      </c>
      <c r="C14" s="2" t="s">
        <v>51</v>
      </c>
      <c r="D14" s="2" t="s">
        <v>10</v>
      </c>
      <c r="E14" s="2" t="s">
        <v>52</v>
      </c>
      <c r="F14" s="2" t="s">
        <v>10</v>
      </c>
      <c r="G14" s="2" t="s">
        <v>10</v>
      </c>
      <c r="H14" s="2" t="s">
        <v>10</v>
      </c>
      <c r="I14" s="2" t="s">
        <v>53</v>
      </c>
    </row>
    <row r="15" spans="1:9" x14ac:dyDescent="0.3">
      <c r="A15" s="4" t="s">
        <v>502</v>
      </c>
      <c r="B15" s="2" t="s">
        <v>54</v>
      </c>
      <c r="C15" s="2" t="s">
        <v>55</v>
      </c>
      <c r="D15" s="2" t="s">
        <v>10</v>
      </c>
      <c r="E15" s="2" t="s">
        <v>10</v>
      </c>
      <c r="F15" s="2" t="s">
        <v>10</v>
      </c>
      <c r="G15" s="2" t="s">
        <v>10</v>
      </c>
      <c r="H15" s="2" t="s">
        <v>10</v>
      </c>
      <c r="I15" s="2" t="s">
        <v>56</v>
      </c>
    </row>
    <row r="16" spans="1:9" x14ac:dyDescent="0.3">
      <c r="A16" s="4" t="s">
        <v>505</v>
      </c>
      <c r="B16" s="2" t="s">
        <v>57</v>
      </c>
      <c r="C16" s="2" t="s">
        <v>16</v>
      </c>
      <c r="D16" s="2" t="s">
        <v>10</v>
      </c>
      <c r="E16" s="2" t="s">
        <v>10</v>
      </c>
      <c r="F16" s="2" t="s">
        <v>10</v>
      </c>
      <c r="G16" s="2" t="s">
        <v>58</v>
      </c>
      <c r="H16" s="2" t="s">
        <v>10</v>
      </c>
      <c r="I16" s="2" t="s">
        <v>59</v>
      </c>
    </row>
    <row r="17" spans="1:9" x14ac:dyDescent="0.3">
      <c r="A17" s="4" t="s">
        <v>508</v>
      </c>
      <c r="B17" s="2" t="s">
        <v>60</v>
      </c>
      <c r="C17" s="2" t="s">
        <v>61</v>
      </c>
      <c r="D17" s="2" t="s">
        <v>62</v>
      </c>
      <c r="E17" s="2" t="s">
        <v>10</v>
      </c>
      <c r="F17" s="2" t="s">
        <v>10</v>
      </c>
      <c r="G17" s="2" t="s">
        <v>10</v>
      </c>
      <c r="H17" s="2" t="s">
        <v>10</v>
      </c>
      <c r="I17" s="2" t="s">
        <v>63</v>
      </c>
    </row>
    <row r="18" spans="1:9" x14ac:dyDescent="0.3">
      <c r="A18" s="4" t="s">
        <v>511</v>
      </c>
      <c r="B18" s="2" t="s">
        <v>64</v>
      </c>
      <c r="C18" s="2" t="s">
        <v>65</v>
      </c>
      <c r="D18" s="2" t="s">
        <v>10</v>
      </c>
      <c r="E18" s="2" t="s">
        <v>10</v>
      </c>
      <c r="F18" s="2" t="s">
        <v>10</v>
      </c>
      <c r="G18" s="2" t="s">
        <v>10</v>
      </c>
      <c r="H18" s="2" t="s">
        <v>10</v>
      </c>
      <c r="I18" s="2" t="s">
        <v>66</v>
      </c>
    </row>
    <row r="19" spans="1:9" x14ac:dyDescent="0.3">
      <c r="A19" s="4" t="s">
        <v>514</v>
      </c>
      <c r="B19" s="2" t="s">
        <v>67</v>
      </c>
      <c r="C19" s="2" t="s">
        <v>31</v>
      </c>
      <c r="D19" s="2" t="s">
        <v>10</v>
      </c>
      <c r="E19" s="2" t="s">
        <v>10</v>
      </c>
      <c r="F19" s="2" t="s">
        <v>10</v>
      </c>
      <c r="G19" s="2" t="s">
        <v>10</v>
      </c>
      <c r="H19" s="2" t="s">
        <v>10</v>
      </c>
      <c r="I19" s="2" t="s">
        <v>68</v>
      </c>
    </row>
    <row r="20" spans="1:9" x14ac:dyDescent="0.3">
      <c r="A20" s="4" t="s">
        <v>516</v>
      </c>
      <c r="B20" s="2" t="s">
        <v>69</v>
      </c>
      <c r="C20" s="2" t="s">
        <v>70</v>
      </c>
      <c r="D20" s="2" t="s">
        <v>10</v>
      </c>
      <c r="E20" s="2" t="s">
        <v>71</v>
      </c>
      <c r="F20" s="2" t="s">
        <v>72</v>
      </c>
      <c r="G20" s="2" t="s">
        <v>10</v>
      </c>
      <c r="H20" s="2" t="s">
        <v>10</v>
      </c>
      <c r="I20" s="2" t="s">
        <v>73</v>
      </c>
    </row>
    <row r="21" spans="1:9" x14ac:dyDescent="0.3">
      <c r="A21" s="4" t="s">
        <v>519</v>
      </c>
      <c r="B21" s="2" t="s">
        <v>74</v>
      </c>
      <c r="C21" s="2" t="s">
        <v>75</v>
      </c>
      <c r="D21" s="2" t="s">
        <v>10</v>
      </c>
      <c r="E21" s="2" t="s">
        <v>10</v>
      </c>
      <c r="F21" s="2" t="s">
        <v>10</v>
      </c>
      <c r="G21" s="2" t="s">
        <v>76</v>
      </c>
      <c r="H21" s="2" t="s">
        <v>10</v>
      </c>
      <c r="I21" s="2" t="s">
        <v>77</v>
      </c>
    </row>
    <row r="22" spans="1:9" x14ac:dyDescent="0.3">
      <c r="A22" s="4" t="s">
        <v>522</v>
      </c>
      <c r="B22" s="2" t="s">
        <v>78</v>
      </c>
      <c r="C22" s="2" t="s">
        <v>79</v>
      </c>
      <c r="D22" s="2" t="s">
        <v>10</v>
      </c>
      <c r="E22" s="2" t="s">
        <v>10</v>
      </c>
      <c r="F22" s="2" t="s">
        <v>10</v>
      </c>
      <c r="G22" s="2" t="s">
        <v>10</v>
      </c>
      <c r="H22" s="2" t="s">
        <v>10</v>
      </c>
      <c r="I22" s="2" t="s">
        <v>80</v>
      </c>
    </row>
    <row r="23" spans="1:9" x14ac:dyDescent="0.3">
      <c r="A23" s="4" t="s">
        <v>525</v>
      </c>
      <c r="B23" s="2" t="s">
        <v>81</v>
      </c>
      <c r="C23" s="2" t="s">
        <v>82</v>
      </c>
      <c r="D23" s="2" t="s">
        <v>10</v>
      </c>
      <c r="E23" s="2" t="s">
        <v>10</v>
      </c>
      <c r="F23" s="2" t="s">
        <v>10</v>
      </c>
      <c r="G23" s="2" t="s">
        <v>10</v>
      </c>
      <c r="H23" s="2" t="s">
        <v>10</v>
      </c>
      <c r="I23" s="2" t="s">
        <v>83</v>
      </c>
    </row>
    <row r="24" spans="1:9" x14ac:dyDescent="0.3">
      <c r="A24" s="4" t="s">
        <v>528</v>
      </c>
      <c r="B24" s="2" t="s">
        <v>84</v>
      </c>
      <c r="C24" s="2" t="s">
        <v>85</v>
      </c>
      <c r="D24" s="2" t="s">
        <v>86</v>
      </c>
      <c r="E24" s="2" t="s">
        <v>10</v>
      </c>
      <c r="F24" s="2" t="s">
        <v>10</v>
      </c>
      <c r="G24" s="2" t="s">
        <v>10</v>
      </c>
      <c r="H24" s="2" t="s">
        <v>10</v>
      </c>
      <c r="I24" s="2" t="s">
        <v>87</v>
      </c>
    </row>
    <row r="25" spans="1:9" x14ac:dyDescent="0.3">
      <c r="A25" s="4" t="s">
        <v>531</v>
      </c>
      <c r="B25" s="2" t="s">
        <v>88</v>
      </c>
      <c r="C25" s="2" t="s">
        <v>89</v>
      </c>
      <c r="D25" s="2" t="s">
        <v>10</v>
      </c>
      <c r="E25" s="2" t="s">
        <v>90</v>
      </c>
      <c r="F25" s="2" t="s">
        <v>10</v>
      </c>
      <c r="G25" s="2" t="s">
        <v>10</v>
      </c>
      <c r="H25" s="2" t="s">
        <v>10</v>
      </c>
      <c r="I25" s="2" t="s">
        <v>91</v>
      </c>
    </row>
    <row r="26" spans="1:9" x14ac:dyDescent="0.3">
      <c r="A26" s="4" t="s">
        <v>534</v>
      </c>
      <c r="B26" s="2" t="s">
        <v>92</v>
      </c>
      <c r="C26" s="2" t="s">
        <v>93</v>
      </c>
      <c r="D26" s="2" t="s">
        <v>10</v>
      </c>
      <c r="E26" s="2" t="s">
        <v>10</v>
      </c>
      <c r="F26" s="2" t="s">
        <v>10</v>
      </c>
      <c r="G26" s="2" t="s">
        <v>10</v>
      </c>
      <c r="H26" s="2" t="s">
        <v>10</v>
      </c>
      <c r="I26" s="2" t="s">
        <v>94</v>
      </c>
    </row>
    <row r="27" spans="1:9" x14ac:dyDescent="0.3">
      <c r="A27" s="4" t="s">
        <v>537</v>
      </c>
      <c r="B27" s="2" t="s">
        <v>10</v>
      </c>
      <c r="C27" s="2" t="s">
        <v>95</v>
      </c>
      <c r="D27" s="2" t="s">
        <v>10</v>
      </c>
      <c r="E27" s="2" t="s">
        <v>10</v>
      </c>
      <c r="F27" s="2" t="s">
        <v>10</v>
      </c>
      <c r="G27" s="2" t="s">
        <v>10</v>
      </c>
      <c r="H27" s="2" t="s">
        <v>10</v>
      </c>
      <c r="I27" s="2" t="s">
        <v>96</v>
      </c>
    </row>
    <row r="28" spans="1:9" x14ac:dyDescent="0.3">
      <c r="A28" s="4" t="s">
        <v>540</v>
      </c>
      <c r="B28" s="2" t="s">
        <v>97</v>
      </c>
      <c r="C28" s="2" t="s">
        <v>98</v>
      </c>
      <c r="D28" s="2" t="s">
        <v>10</v>
      </c>
      <c r="E28" s="2" t="s">
        <v>10</v>
      </c>
      <c r="F28" s="2" t="s">
        <v>10</v>
      </c>
      <c r="G28" s="2" t="s">
        <v>10</v>
      </c>
      <c r="H28" s="2" t="s">
        <v>10</v>
      </c>
      <c r="I28" s="2" t="s">
        <v>99</v>
      </c>
    </row>
    <row r="29" spans="1:9" x14ac:dyDescent="0.3">
      <c r="A29" s="4" t="s">
        <v>542</v>
      </c>
      <c r="B29" s="2" t="s">
        <v>100</v>
      </c>
      <c r="C29" s="2" t="s">
        <v>101</v>
      </c>
      <c r="D29" s="2" t="s">
        <v>10</v>
      </c>
      <c r="E29" s="2" t="s">
        <v>10</v>
      </c>
      <c r="F29" s="2" t="s">
        <v>10</v>
      </c>
      <c r="G29" s="2" t="s">
        <v>10</v>
      </c>
      <c r="H29" s="2" t="s">
        <v>10</v>
      </c>
      <c r="I29" s="2" t="s">
        <v>102</v>
      </c>
    </row>
    <row r="30" spans="1:9" x14ac:dyDescent="0.3">
      <c r="A30" s="4" t="s">
        <v>545</v>
      </c>
      <c r="B30" s="2" t="s">
        <v>103</v>
      </c>
      <c r="C30" s="2" t="s">
        <v>104</v>
      </c>
      <c r="D30" s="2" t="s">
        <v>10</v>
      </c>
      <c r="E30" s="2" t="s">
        <v>105</v>
      </c>
      <c r="F30" s="2" t="s">
        <v>106</v>
      </c>
      <c r="G30" s="2" t="s">
        <v>10</v>
      </c>
      <c r="H30" s="2" t="s">
        <v>10</v>
      </c>
      <c r="I30" s="2" t="s">
        <v>107</v>
      </c>
    </row>
    <row r="31" spans="1:9" x14ac:dyDescent="0.3">
      <c r="A31" s="4" t="s">
        <v>548</v>
      </c>
      <c r="B31" s="2" t="s">
        <v>10</v>
      </c>
      <c r="C31" s="2" t="s">
        <v>108</v>
      </c>
      <c r="D31" s="2" t="s">
        <v>10</v>
      </c>
      <c r="E31" s="2" t="s">
        <v>10</v>
      </c>
      <c r="F31" s="2" t="s">
        <v>109</v>
      </c>
      <c r="G31" s="2" t="s">
        <v>110</v>
      </c>
      <c r="H31" s="2" t="s">
        <v>10</v>
      </c>
      <c r="I31" s="2" t="s">
        <v>111</v>
      </c>
    </row>
    <row r="32" spans="1:9" x14ac:dyDescent="0.3">
      <c r="A32" s="4" t="s">
        <v>551</v>
      </c>
      <c r="B32" s="2" t="s">
        <v>88</v>
      </c>
      <c r="C32" s="2" t="s">
        <v>112</v>
      </c>
      <c r="D32" s="2" t="s">
        <v>10</v>
      </c>
      <c r="E32" s="2" t="s">
        <v>10</v>
      </c>
      <c r="F32" s="2" t="s">
        <v>10</v>
      </c>
      <c r="G32" s="2" t="s">
        <v>10</v>
      </c>
      <c r="H32" s="2" t="s">
        <v>10</v>
      </c>
      <c r="I32" s="2" t="s">
        <v>45</v>
      </c>
    </row>
    <row r="33" spans="1:9" x14ac:dyDescent="0.3">
      <c r="A33" s="4" t="s">
        <v>554</v>
      </c>
      <c r="B33" s="2" t="s">
        <v>113</v>
      </c>
      <c r="C33" s="2" t="s">
        <v>114</v>
      </c>
      <c r="D33" s="2" t="s">
        <v>10</v>
      </c>
      <c r="E33" s="2" t="s">
        <v>115</v>
      </c>
      <c r="F33" s="2" t="s">
        <v>10</v>
      </c>
      <c r="G33" s="2" t="s">
        <v>10</v>
      </c>
      <c r="H33" s="2" t="s">
        <v>10</v>
      </c>
      <c r="I33" s="2" t="s">
        <v>116</v>
      </c>
    </row>
    <row r="34" spans="1:9" x14ac:dyDescent="0.3">
      <c r="A34" s="4" t="s">
        <v>557</v>
      </c>
      <c r="B34" s="2" t="s">
        <v>60</v>
      </c>
      <c r="C34" s="2" t="s">
        <v>117</v>
      </c>
      <c r="D34" s="2" t="s">
        <v>10</v>
      </c>
      <c r="E34" s="2" t="s">
        <v>10</v>
      </c>
      <c r="F34" s="2" t="s">
        <v>10</v>
      </c>
      <c r="G34" s="2" t="s">
        <v>10</v>
      </c>
      <c r="H34" s="2" t="s">
        <v>10</v>
      </c>
      <c r="I34" s="2" t="s">
        <v>118</v>
      </c>
    </row>
    <row r="35" spans="1:9" x14ac:dyDescent="0.3">
      <c r="A35" s="4" t="s">
        <v>560</v>
      </c>
      <c r="B35" s="2" t="s">
        <v>119</v>
      </c>
      <c r="C35" s="2" t="s">
        <v>120</v>
      </c>
      <c r="D35" s="2" t="s">
        <v>10</v>
      </c>
      <c r="E35" s="2" t="s">
        <v>10</v>
      </c>
      <c r="F35" s="2" t="s">
        <v>10</v>
      </c>
      <c r="G35" s="2" t="s">
        <v>10</v>
      </c>
      <c r="H35" s="2" t="s">
        <v>10</v>
      </c>
      <c r="I35" s="2" t="s">
        <v>121</v>
      </c>
    </row>
    <row r="36" spans="1:9" x14ac:dyDescent="0.3">
      <c r="A36" s="4" t="s">
        <v>563</v>
      </c>
      <c r="B36" s="2" t="s">
        <v>10</v>
      </c>
      <c r="C36" s="2" t="s">
        <v>122</v>
      </c>
      <c r="D36" s="2" t="s">
        <v>123</v>
      </c>
      <c r="E36" s="2" t="s">
        <v>10</v>
      </c>
      <c r="F36" s="2" t="s">
        <v>10</v>
      </c>
      <c r="G36" s="2" t="s">
        <v>10</v>
      </c>
      <c r="H36" s="2" t="s">
        <v>10</v>
      </c>
      <c r="I36" s="2" t="s">
        <v>124</v>
      </c>
    </row>
    <row r="37" spans="1:9" x14ac:dyDescent="0.3">
      <c r="A37" s="4" t="s">
        <v>566</v>
      </c>
      <c r="B37" s="2" t="s">
        <v>125</v>
      </c>
      <c r="C37" s="2" t="s">
        <v>126</v>
      </c>
      <c r="D37" s="2" t="s">
        <v>10</v>
      </c>
      <c r="E37" s="2" t="s">
        <v>127</v>
      </c>
      <c r="F37" s="2" t="s">
        <v>128</v>
      </c>
      <c r="G37" s="2" t="s">
        <v>10</v>
      </c>
      <c r="H37" s="2" t="s">
        <v>10</v>
      </c>
      <c r="I37" s="2" t="s">
        <v>129</v>
      </c>
    </row>
    <row r="38" spans="1:9" x14ac:dyDescent="0.3">
      <c r="A38" s="4" t="s">
        <v>569</v>
      </c>
      <c r="B38" s="2" t="s">
        <v>130</v>
      </c>
      <c r="C38" s="2" t="s">
        <v>131</v>
      </c>
      <c r="D38" s="2" t="s">
        <v>10</v>
      </c>
      <c r="E38" s="2" t="s">
        <v>10</v>
      </c>
      <c r="F38" s="2" t="s">
        <v>10</v>
      </c>
      <c r="G38" s="2" t="s">
        <v>10</v>
      </c>
      <c r="H38" s="2" t="s">
        <v>10</v>
      </c>
      <c r="I38" s="2" t="s">
        <v>132</v>
      </c>
    </row>
    <row r="39" spans="1:9" x14ac:dyDescent="0.3">
      <c r="A39" s="4" t="s">
        <v>572</v>
      </c>
      <c r="B39" s="2" t="s">
        <v>12</v>
      </c>
      <c r="C39" s="2" t="s">
        <v>16</v>
      </c>
      <c r="D39" s="2" t="s">
        <v>10</v>
      </c>
      <c r="E39" s="2" t="s">
        <v>10</v>
      </c>
      <c r="F39" s="2" t="s">
        <v>10</v>
      </c>
      <c r="G39" s="2" t="s">
        <v>10</v>
      </c>
      <c r="H39" s="2" t="s">
        <v>10</v>
      </c>
      <c r="I39" s="2" t="s">
        <v>133</v>
      </c>
    </row>
    <row r="40" spans="1:9" x14ac:dyDescent="0.3">
      <c r="A40" s="4" t="s">
        <v>575</v>
      </c>
      <c r="B40" s="2" t="s">
        <v>134</v>
      </c>
      <c r="C40" s="2" t="s">
        <v>135</v>
      </c>
      <c r="D40" s="2" t="s">
        <v>10</v>
      </c>
      <c r="E40" s="2" t="s">
        <v>10</v>
      </c>
      <c r="F40" s="2" t="s">
        <v>10</v>
      </c>
      <c r="G40" s="2" t="s">
        <v>10</v>
      </c>
      <c r="H40" s="2" t="s">
        <v>10</v>
      </c>
      <c r="I40" s="2" t="s">
        <v>136</v>
      </c>
    </row>
    <row r="41" spans="1:9" x14ac:dyDescent="0.3">
      <c r="A41" s="4" t="s">
        <v>578</v>
      </c>
      <c r="B41" s="2" t="s">
        <v>137</v>
      </c>
      <c r="C41" s="2" t="s">
        <v>138</v>
      </c>
      <c r="D41" s="2" t="s">
        <v>10</v>
      </c>
      <c r="E41" s="2" t="s">
        <v>10</v>
      </c>
      <c r="F41" s="2" t="s">
        <v>10</v>
      </c>
      <c r="G41" s="2" t="s">
        <v>10</v>
      </c>
      <c r="H41" s="2" t="s">
        <v>10</v>
      </c>
      <c r="I41" s="2" t="s">
        <v>139</v>
      </c>
    </row>
    <row r="42" spans="1:9" x14ac:dyDescent="0.3">
      <c r="A42" s="4" t="s">
        <v>581</v>
      </c>
      <c r="B42" s="2" t="s">
        <v>140</v>
      </c>
      <c r="C42" s="2" t="s">
        <v>141</v>
      </c>
      <c r="D42" s="2" t="s">
        <v>10</v>
      </c>
      <c r="E42" s="2" t="s">
        <v>10</v>
      </c>
      <c r="F42" s="2" t="s">
        <v>10</v>
      </c>
      <c r="G42" s="2" t="s">
        <v>10</v>
      </c>
      <c r="H42" s="2" t="s">
        <v>10</v>
      </c>
      <c r="I42" s="2" t="s">
        <v>142</v>
      </c>
    </row>
    <row r="43" spans="1:9" x14ac:dyDescent="0.3">
      <c r="A43" s="4" t="s">
        <v>584</v>
      </c>
      <c r="B43" s="2" t="s">
        <v>143</v>
      </c>
      <c r="C43" s="2" t="s">
        <v>144</v>
      </c>
      <c r="D43" s="2" t="s">
        <v>10</v>
      </c>
      <c r="E43" s="2" t="s">
        <v>10</v>
      </c>
      <c r="F43" s="2" t="s">
        <v>145</v>
      </c>
      <c r="G43" s="2" t="s">
        <v>10</v>
      </c>
      <c r="H43" s="2" t="s">
        <v>10</v>
      </c>
      <c r="I43" s="2" t="s">
        <v>146</v>
      </c>
    </row>
    <row r="44" spans="1:9" x14ac:dyDescent="0.3">
      <c r="A44" s="4" t="s">
        <v>587</v>
      </c>
      <c r="B44" s="2" t="s">
        <v>10</v>
      </c>
      <c r="C44" s="2" t="s">
        <v>147</v>
      </c>
      <c r="D44" s="2" t="s">
        <v>10</v>
      </c>
      <c r="E44" s="2" t="s">
        <v>10</v>
      </c>
      <c r="F44" s="2" t="s">
        <v>10</v>
      </c>
      <c r="G44" s="2" t="s">
        <v>10</v>
      </c>
      <c r="H44" s="2" t="s">
        <v>10</v>
      </c>
      <c r="I44" s="2" t="s">
        <v>148</v>
      </c>
    </row>
    <row r="45" spans="1:9" x14ac:dyDescent="0.3">
      <c r="A45" s="4" t="s">
        <v>590</v>
      </c>
      <c r="B45" s="2" t="s">
        <v>149</v>
      </c>
      <c r="C45" s="2" t="s">
        <v>31</v>
      </c>
      <c r="D45" s="2" t="s">
        <v>10</v>
      </c>
      <c r="E45" s="2" t="s">
        <v>10</v>
      </c>
      <c r="F45" s="2" t="s">
        <v>10</v>
      </c>
      <c r="G45" s="2" t="s">
        <v>150</v>
      </c>
      <c r="H45" s="2" t="s">
        <v>10</v>
      </c>
      <c r="I45" s="2" t="s">
        <v>151</v>
      </c>
    </row>
    <row r="46" spans="1:9" x14ac:dyDescent="0.3">
      <c r="A46" s="4" t="s">
        <v>593</v>
      </c>
      <c r="B46" s="2" t="s">
        <v>152</v>
      </c>
      <c r="C46" s="2" t="s">
        <v>153</v>
      </c>
      <c r="D46" s="2" t="s">
        <v>10</v>
      </c>
      <c r="E46" s="2" t="s">
        <v>10</v>
      </c>
      <c r="F46" s="2" t="s">
        <v>10</v>
      </c>
      <c r="G46" s="2" t="s">
        <v>10</v>
      </c>
      <c r="H46" s="2" t="s">
        <v>10</v>
      </c>
      <c r="I46" s="2" t="s">
        <v>154</v>
      </c>
    </row>
    <row r="47" spans="1:9" x14ac:dyDescent="0.3">
      <c r="A47" s="4" t="s">
        <v>596</v>
      </c>
      <c r="B47" s="2" t="s">
        <v>155</v>
      </c>
      <c r="C47" s="2" t="s">
        <v>156</v>
      </c>
      <c r="D47" s="2" t="s">
        <v>157</v>
      </c>
      <c r="E47" s="2" t="s">
        <v>10</v>
      </c>
      <c r="F47" s="2" t="s">
        <v>10</v>
      </c>
      <c r="G47" s="2" t="s">
        <v>10</v>
      </c>
      <c r="H47" s="2" t="s">
        <v>10</v>
      </c>
      <c r="I47" s="2" t="s">
        <v>158</v>
      </c>
    </row>
    <row r="48" spans="1:9" x14ac:dyDescent="0.3">
      <c r="A48" s="4" t="s">
        <v>599</v>
      </c>
      <c r="B48" s="2" t="s">
        <v>113</v>
      </c>
      <c r="C48" s="2" t="s">
        <v>156</v>
      </c>
      <c r="D48" s="2" t="s">
        <v>10</v>
      </c>
      <c r="E48" s="2" t="s">
        <v>10</v>
      </c>
      <c r="F48" s="2" t="s">
        <v>10</v>
      </c>
      <c r="G48" s="2" t="s">
        <v>10</v>
      </c>
      <c r="H48" s="2" t="s">
        <v>10</v>
      </c>
      <c r="I48" s="2" t="s">
        <v>159</v>
      </c>
    </row>
    <row r="49" spans="1:9" x14ac:dyDescent="0.3">
      <c r="A49" s="4" t="s">
        <v>602</v>
      </c>
      <c r="B49" s="2" t="s">
        <v>67</v>
      </c>
      <c r="C49" s="2" t="s">
        <v>160</v>
      </c>
      <c r="D49" s="2" t="s">
        <v>10</v>
      </c>
      <c r="E49" s="2" t="s">
        <v>10</v>
      </c>
      <c r="F49" s="2" t="s">
        <v>10</v>
      </c>
      <c r="G49" s="2" t="s">
        <v>10</v>
      </c>
      <c r="H49" s="2" t="s">
        <v>10</v>
      </c>
      <c r="I49" s="2" t="s">
        <v>151</v>
      </c>
    </row>
    <row r="50" spans="1:9" x14ac:dyDescent="0.3">
      <c r="A50" s="4" t="s">
        <v>605</v>
      </c>
      <c r="B50" s="2" t="s">
        <v>84</v>
      </c>
      <c r="C50" s="2" t="s">
        <v>161</v>
      </c>
      <c r="D50" s="2" t="s">
        <v>10</v>
      </c>
      <c r="E50" s="2" t="s">
        <v>10</v>
      </c>
      <c r="F50" s="2" t="s">
        <v>10</v>
      </c>
      <c r="G50" s="2" t="s">
        <v>10</v>
      </c>
      <c r="H50" s="2" t="s">
        <v>10</v>
      </c>
      <c r="I50" s="2" t="s">
        <v>162</v>
      </c>
    </row>
    <row r="51" spans="1:9" x14ac:dyDescent="0.3">
      <c r="A51" s="4" t="s">
        <v>608</v>
      </c>
      <c r="B51" s="2" t="s">
        <v>10</v>
      </c>
      <c r="C51" s="2" t="s">
        <v>163</v>
      </c>
      <c r="D51" s="2" t="s">
        <v>10</v>
      </c>
      <c r="E51" s="2" t="s">
        <v>10</v>
      </c>
      <c r="F51" s="2" t="s">
        <v>10</v>
      </c>
      <c r="G51" s="2" t="s">
        <v>164</v>
      </c>
      <c r="H51" s="2" t="s">
        <v>10</v>
      </c>
      <c r="I51" s="2" t="s">
        <v>165</v>
      </c>
    </row>
    <row r="52" spans="1:9" x14ac:dyDescent="0.3">
      <c r="A52" s="4" t="s">
        <v>611</v>
      </c>
      <c r="B52" s="2" t="s">
        <v>166</v>
      </c>
      <c r="C52" s="2" t="s">
        <v>167</v>
      </c>
      <c r="D52" s="2" t="s">
        <v>10</v>
      </c>
      <c r="E52" s="2" t="s">
        <v>10</v>
      </c>
      <c r="F52" s="2" t="s">
        <v>10</v>
      </c>
      <c r="G52" s="2" t="s">
        <v>168</v>
      </c>
      <c r="H52" s="2" t="s">
        <v>10</v>
      </c>
      <c r="I52" s="2" t="s">
        <v>169</v>
      </c>
    </row>
    <row r="53" spans="1:9" x14ac:dyDescent="0.3">
      <c r="A53" s="4" t="s">
        <v>614</v>
      </c>
      <c r="B53" s="2" t="s">
        <v>30</v>
      </c>
      <c r="C53" s="2" t="s">
        <v>98</v>
      </c>
      <c r="D53" s="2" t="s">
        <v>10</v>
      </c>
      <c r="E53" s="2" t="s">
        <v>10</v>
      </c>
      <c r="F53" s="2" t="s">
        <v>10</v>
      </c>
      <c r="G53" s="2" t="s">
        <v>10</v>
      </c>
      <c r="H53" s="2" t="s">
        <v>10</v>
      </c>
      <c r="I53" s="2" t="s">
        <v>170</v>
      </c>
    </row>
    <row r="54" spans="1:9" x14ac:dyDescent="0.3">
      <c r="A54" s="4" t="s">
        <v>617</v>
      </c>
      <c r="B54" s="2" t="s">
        <v>171</v>
      </c>
      <c r="C54" s="2" t="s">
        <v>31</v>
      </c>
      <c r="D54" s="2" t="s">
        <v>10</v>
      </c>
      <c r="E54" s="2" t="s">
        <v>10</v>
      </c>
      <c r="F54" s="2" t="s">
        <v>10</v>
      </c>
      <c r="G54" s="2" t="s">
        <v>10</v>
      </c>
      <c r="H54" s="2" t="s">
        <v>10</v>
      </c>
      <c r="I54" s="2" t="s">
        <v>172</v>
      </c>
    </row>
    <row r="55" spans="1:9" x14ac:dyDescent="0.3">
      <c r="A55" s="4" t="s">
        <v>620</v>
      </c>
      <c r="B55" s="2" t="s">
        <v>173</v>
      </c>
      <c r="C55" s="2" t="s">
        <v>174</v>
      </c>
      <c r="D55" s="2" t="s">
        <v>10</v>
      </c>
      <c r="E55" s="2" t="s">
        <v>10</v>
      </c>
      <c r="F55" s="2" t="s">
        <v>10</v>
      </c>
      <c r="G55" s="2" t="s">
        <v>10</v>
      </c>
      <c r="H55" s="2" t="s">
        <v>10</v>
      </c>
      <c r="I55" s="2" t="s">
        <v>175</v>
      </c>
    </row>
    <row r="56" spans="1:9" x14ac:dyDescent="0.3">
      <c r="A56" s="4" t="s">
        <v>623</v>
      </c>
      <c r="B56" s="2" t="s">
        <v>176</v>
      </c>
      <c r="C56" s="2" t="s">
        <v>177</v>
      </c>
      <c r="D56" s="2" t="s">
        <v>10</v>
      </c>
      <c r="E56" s="2" t="s">
        <v>10</v>
      </c>
      <c r="F56" s="2" t="s">
        <v>10</v>
      </c>
      <c r="G56" s="2" t="s">
        <v>10</v>
      </c>
      <c r="H56" s="2" t="s">
        <v>10</v>
      </c>
      <c r="I56" s="2" t="s">
        <v>178</v>
      </c>
    </row>
    <row r="57" spans="1:9" x14ac:dyDescent="0.3">
      <c r="A57" s="4" t="s">
        <v>626</v>
      </c>
      <c r="B57" s="2" t="s">
        <v>97</v>
      </c>
      <c r="C57" s="2" t="s">
        <v>156</v>
      </c>
      <c r="D57" s="2" t="s">
        <v>10</v>
      </c>
      <c r="E57" s="2" t="s">
        <v>10</v>
      </c>
      <c r="F57" s="2" t="s">
        <v>10</v>
      </c>
      <c r="G57" s="2" t="s">
        <v>10</v>
      </c>
      <c r="H57" s="2" t="s">
        <v>10</v>
      </c>
      <c r="I57" s="2" t="s">
        <v>179</v>
      </c>
    </row>
    <row r="58" spans="1:9" x14ac:dyDescent="0.3">
      <c r="A58" s="4" t="s">
        <v>629</v>
      </c>
      <c r="B58" s="2" t="s">
        <v>12</v>
      </c>
      <c r="C58" s="2" t="s">
        <v>156</v>
      </c>
      <c r="D58" s="2" t="s">
        <v>10</v>
      </c>
      <c r="E58" s="2" t="s">
        <v>10</v>
      </c>
      <c r="F58" s="2" t="s">
        <v>10</v>
      </c>
      <c r="G58" s="2" t="s">
        <v>10</v>
      </c>
      <c r="H58" s="2" t="s">
        <v>10</v>
      </c>
      <c r="I58" s="2" t="s">
        <v>180</v>
      </c>
    </row>
    <row r="59" spans="1:9" x14ac:dyDescent="0.3">
      <c r="A59" s="4" t="s">
        <v>632</v>
      </c>
      <c r="B59" s="2" t="s">
        <v>37</v>
      </c>
      <c r="C59" s="2" t="s">
        <v>181</v>
      </c>
      <c r="D59" s="2" t="s">
        <v>10</v>
      </c>
      <c r="E59" s="2" t="s">
        <v>10</v>
      </c>
      <c r="F59" s="2" t="s">
        <v>10</v>
      </c>
      <c r="G59" s="2" t="s">
        <v>10</v>
      </c>
      <c r="H59" s="2" t="s">
        <v>10</v>
      </c>
      <c r="I59" s="2" t="s">
        <v>182</v>
      </c>
    </row>
    <row r="60" spans="1:9" x14ac:dyDescent="0.3">
      <c r="A60" s="4" t="s">
        <v>634</v>
      </c>
      <c r="B60" s="2" t="s">
        <v>183</v>
      </c>
      <c r="C60" s="2" t="s">
        <v>161</v>
      </c>
      <c r="D60" s="2" t="s">
        <v>10</v>
      </c>
      <c r="E60" s="2" t="s">
        <v>184</v>
      </c>
      <c r="F60" s="2" t="s">
        <v>185</v>
      </c>
      <c r="G60" s="2" t="s">
        <v>10</v>
      </c>
      <c r="H60" s="2" t="s">
        <v>10</v>
      </c>
      <c r="I60" s="2" t="s">
        <v>186</v>
      </c>
    </row>
    <row r="61" spans="1:9" x14ac:dyDescent="0.3">
      <c r="A61" s="4" t="s">
        <v>637</v>
      </c>
      <c r="B61" s="2" t="s">
        <v>67</v>
      </c>
      <c r="C61" s="2" t="s">
        <v>187</v>
      </c>
      <c r="D61" s="2" t="s">
        <v>10</v>
      </c>
      <c r="E61" s="2" t="s">
        <v>188</v>
      </c>
      <c r="F61" s="2" t="s">
        <v>10</v>
      </c>
      <c r="G61" s="2" t="s">
        <v>189</v>
      </c>
      <c r="H61" s="2" t="s">
        <v>10</v>
      </c>
      <c r="I61" s="2" t="s">
        <v>190</v>
      </c>
    </row>
    <row r="62" spans="1:9" x14ac:dyDescent="0.3">
      <c r="A62" s="4" t="s">
        <v>640</v>
      </c>
      <c r="B62" s="2" t="s">
        <v>10</v>
      </c>
      <c r="C62" s="2" t="s">
        <v>191</v>
      </c>
      <c r="D62" s="2" t="s">
        <v>10</v>
      </c>
      <c r="E62" s="2" t="s">
        <v>10</v>
      </c>
      <c r="F62" s="2" t="s">
        <v>10</v>
      </c>
      <c r="G62" s="2" t="s">
        <v>10</v>
      </c>
      <c r="H62" s="2" t="s">
        <v>10</v>
      </c>
      <c r="I62" s="2" t="s">
        <v>192</v>
      </c>
    </row>
    <row r="63" spans="1:9" x14ac:dyDescent="0.3">
      <c r="A63" s="4" t="s">
        <v>643</v>
      </c>
      <c r="B63" s="2" t="s">
        <v>84</v>
      </c>
      <c r="C63" s="2" t="s">
        <v>41</v>
      </c>
      <c r="D63" s="2" t="s">
        <v>193</v>
      </c>
      <c r="E63" s="2" t="s">
        <v>10</v>
      </c>
      <c r="F63" s="2" t="s">
        <v>10</v>
      </c>
      <c r="G63" s="2" t="s">
        <v>10</v>
      </c>
      <c r="H63" s="2" t="s">
        <v>10</v>
      </c>
      <c r="I63" s="2" t="s">
        <v>194</v>
      </c>
    </row>
    <row r="64" spans="1:9" x14ac:dyDescent="0.3">
      <c r="A64" s="4" t="s">
        <v>646</v>
      </c>
      <c r="B64" s="2" t="s">
        <v>88</v>
      </c>
      <c r="C64" s="2" t="s">
        <v>177</v>
      </c>
      <c r="D64" s="2" t="s">
        <v>10</v>
      </c>
      <c r="E64" s="2" t="s">
        <v>195</v>
      </c>
      <c r="F64" s="2" t="s">
        <v>196</v>
      </c>
      <c r="G64" s="2" t="s">
        <v>10</v>
      </c>
      <c r="H64" s="2" t="s">
        <v>10</v>
      </c>
      <c r="I64" s="2" t="s">
        <v>197</v>
      </c>
    </row>
    <row r="65" spans="1:9" x14ac:dyDescent="0.3">
      <c r="A65" s="4" t="s">
        <v>649</v>
      </c>
      <c r="B65" s="2" t="s">
        <v>198</v>
      </c>
      <c r="C65" s="2" t="s">
        <v>199</v>
      </c>
      <c r="D65" s="2" t="s">
        <v>10</v>
      </c>
      <c r="E65" s="2" t="s">
        <v>200</v>
      </c>
      <c r="F65" s="2" t="s">
        <v>201</v>
      </c>
      <c r="G65" s="2" t="s">
        <v>10</v>
      </c>
      <c r="H65" s="2" t="s">
        <v>10</v>
      </c>
      <c r="I65" s="2" t="s">
        <v>202</v>
      </c>
    </row>
    <row r="66" spans="1:9" x14ac:dyDescent="0.3">
      <c r="A66" s="4" t="s">
        <v>652</v>
      </c>
      <c r="B66" s="2" t="s">
        <v>10</v>
      </c>
      <c r="C66" s="2" t="s">
        <v>203</v>
      </c>
      <c r="D66" s="2" t="s">
        <v>10</v>
      </c>
      <c r="E66" s="2" t="s">
        <v>10</v>
      </c>
      <c r="F66" s="2" t="s">
        <v>10</v>
      </c>
      <c r="G66" s="2" t="s">
        <v>204</v>
      </c>
      <c r="H66" s="2" t="s">
        <v>10</v>
      </c>
      <c r="I66" s="2" t="s">
        <v>205</v>
      </c>
    </row>
    <row r="67" spans="1:9" x14ac:dyDescent="0.3">
      <c r="A67" s="4" t="s">
        <v>655</v>
      </c>
      <c r="B67" s="2" t="s">
        <v>130</v>
      </c>
      <c r="C67" s="2" t="s">
        <v>206</v>
      </c>
      <c r="D67" s="2" t="s">
        <v>10</v>
      </c>
      <c r="E67" s="2" t="s">
        <v>10</v>
      </c>
      <c r="F67" s="2" t="s">
        <v>10</v>
      </c>
      <c r="G67" s="2" t="s">
        <v>10</v>
      </c>
      <c r="H67" s="2" t="s">
        <v>10</v>
      </c>
      <c r="I67" s="2" t="s">
        <v>207</v>
      </c>
    </row>
    <row r="68" spans="1:9" x14ac:dyDescent="0.3">
      <c r="A68" s="4" t="s">
        <v>658</v>
      </c>
      <c r="B68" s="2" t="s">
        <v>208</v>
      </c>
      <c r="C68" s="2" t="s">
        <v>209</v>
      </c>
      <c r="D68" s="2" t="s">
        <v>10</v>
      </c>
      <c r="E68" s="2" t="s">
        <v>10</v>
      </c>
      <c r="F68" s="2" t="s">
        <v>10</v>
      </c>
      <c r="G68" s="2" t="s">
        <v>10</v>
      </c>
      <c r="H68" s="2" t="s">
        <v>10</v>
      </c>
      <c r="I68" s="2" t="s">
        <v>210</v>
      </c>
    </row>
    <row r="69" spans="1:9" x14ac:dyDescent="0.3">
      <c r="A69" s="4" t="s">
        <v>661</v>
      </c>
      <c r="B69" s="2" t="s">
        <v>15</v>
      </c>
      <c r="C69" s="2" t="s">
        <v>211</v>
      </c>
      <c r="D69" s="2" t="s">
        <v>212</v>
      </c>
      <c r="E69" s="2" t="s">
        <v>10</v>
      </c>
      <c r="F69" s="2" t="s">
        <v>10</v>
      </c>
      <c r="G69" s="2" t="s">
        <v>10</v>
      </c>
      <c r="H69" s="2" t="s">
        <v>10</v>
      </c>
      <c r="I69" s="2" t="s">
        <v>213</v>
      </c>
    </row>
    <row r="70" spans="1:9" x14ac:dyDescent="0.3">
      <c r="A70" s="4" t="s">
        <v>664</v>
      </c>
      <c r="B70" s="2" t="s">
        <v>30</v>
      </c>
      <c r="C70" s="2" t="s">
        <v>13</v>
      </c>
      <c r="D70" s="2" t="s">
        <v>10</v>
      </c>
      <c r="E70" s="2" t="s">
        <v>10</v>
      </c>
      <c r="F70" s="2" t="s">
        <v>10</v>
      </c>
      <c r="G70" s="2" t="s">
        <v>10</v>
      </c>
      <c r="H70" s="2" t="s">
        <v>10</v>
      </c>
      <c r="I70" s="2" t="s">
        <v>102</v>
      </c>
    </row>
    <row r="71" spans="1:9" x14ac:dyDescent="0.3">
      <c r="A71" s="4" t="s">
        <v>667</v>
      </c>
      <c r="B71" s="2" t="s">
        <v>214</v>
      </c>
      <c r="C71" s="2" t="s">
        <v>215</v>
      </c>
      <c r="D71" s="2" t="s">
        <v>10</v>
      </c>
      <c r="E71" s="2" t="s">
        <v>10</v>
      </c>
      <c r="F71" s="2" t="s">
        <v>216</v>
      </c>
      <c r="G71" s="2" t="s">
        <v>10</v>
      </c>
      <c r="H71" s="2" t="s">
        <v>10</v>
      </c>
      <c r="I71" s="2" t="s">
        <v>217</v>
      </c>
    </row>
    <row r="72" spans="1:9" x14ac:dyDescent="0.3">
      <c r="A72" s="4" t="s">
        <v>670</v>
      </c>
      <c r="B72" s="2" t="s">
        <v>97</v>
      </c>
      <c r="C72" s="2" t="s">
        <v>218</v>
      </c>
      <c r="D72" s="2" t="s">
        <v>10</v>
      </c>
      <c r="E72" s="2" t="s">
        <v>10</v>
      </c>
      <c r="F72" s="2" t="s">
        <v>10</v>
      </c>
      <c r="G72" s="2" t="s">
        <v>10</v>
      </c>
      <c r="H72" s="2" t="s">
        <v>10</v>
      </c>
      <c r="I72" s="2" t="s">
        <v>179</v>
      </c>
    </row>
    <row r="73" spans="1:9" x14ac:dyDescent="0.3">
      <c r="A73" s="4" t="s">
        <v>673</v>
      </c>
      <c r="B73" s="2" t="s">
        <v>130</v>
      </c>
      <c r="C73" s="2" t="s">
        <v>219</v>
      </c>
      <c r="D73" s="2" t="s">
        <v>10</v>
      </c>
      <c r="E73" s="2" t="s">
        <v>10</v>
      </c>
      <c r="F73" s="2" t="s">
        <v>220</v>
      </c>
      <c r="G73" s="2" t="s">
        <v>10</v>
      </c>
      <c r="H73" s="2" t="s">
        <v>10</v>
      </c>
      <c r="I73" s="2" t="s">
        <v>221</v>
      </c>
    </row>
    <row r="74" spans="1:9" x14ac:dyDescent="0.3">
      <c r="A74" s="4" t="s">
        <v>676</v>
      </c>
      <c r="B74" s="2" t="s">
        <v>125</v>
      </c>
      <c r="C74" s="2" t="s">
        <v>222</v>
      </c>
      <c r="D74" s="2" t="s">
        <v>223</v>
      </c>
      <c r="E74" s="2" t="s">
        <v>10</v>
      </c>
      <c r="F74" s="2" t="s">
        <v>10</v>
      </c>
      <c r="G74" s="2" t="s">
        <v>10</v>
      </c>
      <c r="H74" s="2" t="s">
        <v>10</v>
      </c>
      <c r="I74" s="2" t="s">
        <v>224</v>
      </c>
    </row>
    <row r="75" spans="1:9" x14ac:dyDescent="0.3">
      <c r="A75" s="4" t="s">
        <v>679</v>
      </c>
      <c r="B75" s="2" t="s">
        <v>12</v>
      </c>
      <c r="C75" s="2" t="s">
        <v>108</v>
      </c>
      <c r="D75" s="2" t="s">
        <v>10</v>
      </c>
      <c r="E75" s="2" t="s">
        <v>10</v>
      </c>
      <c r="F75" s="2" t="s">
        <v>225</v>
      </c>
      <c r="G75" s="2" t="s">
        <v>10</v>
      </c>
      <c r="H75" s="2" t="s">
        <v>10</v>
      </c>
      <c r="I75" s="2" t="s">
        <v>226</v>
      </c>
    </row>
    <row r="76" spans="1:9" x14ac:dyDescent="0.3">
      <c r="A76" s="4" t="s">
        <v>682</v>
      </c>
      <c r="B76" s="2" t="s">
        <v>30</v>
      </c>
      <c r="C76" s="2" t="s">
        <v>31</v>
      </c>
      <c r="D76" s="2" t="s">
        <v>10</v>
      </c>
      <c r="E76" s="2" t="s">
        <v>10</v>
      </c>
      <c r="F76" s="2" t="s">
        <v>10</v>
      </c>
      <c r="G76" s="2" t="s">
        <v>10</v>
      </c>
      <c r="H76" s="2" t="s">
        <v>227</v>
      </c>
      <c r="I76" s="2" t="s">
        <v>228</v>
      </c>
    </row>
    <row r="77" spans="1:9" x14ac:dyDescent="0.3">
      <c r="A77" s="4" t="s">
        <v>685</v>
      </c>
      <c r="B77" s="2" t="s">
        <v>229</v>
      </c>
      <c r="C77" s="2" t="s">
        <v>230</v>
      </c>
      <c r="D77" s="2" t="s">
        <v>55</v>
      </c>
      <c r="E77" s="2" t="s">
        <v>10</v>
      </c>
      <c r="F77" s="2" t="s">
        <v>10</v>
      </c>
      <c r="G77" s="2" t="s">
        <v>10</v>
      </c>
      <c r="H77" s="2" t="s">
        <v>10</v>
      </c>
      <c r="I77" s="2" t="s">
        <v>231</v>
      </c>
    </row>
    <row r="78" spans="1:9" x14ac:dyDescent="0.3">
      <c r="A78" s="4" t="s">
        <v>688</v>
      </c>
      <c r="B78" s="2" t="s">
        <v>232</v>
      </c>
      <c r="C78" s="2" t="s">
        <v>233</v>
      </c>
      <c r="D78" s="2" t="s">
        <v>10</v>
      </c>
      <c r="E78" s="2" t="s">
        <v>10</v>
      </c>
      <c r="F78" s="2" t="s">
        <v>234</v>
      </c>
      <c r="G78" s="2" t="s">
        <v>10</v>
      </c>
      <c r="H78" s="2" t="s">
        <v>235</v>
      </c>
      <c r="I78" s="2" t="s">
        <v>236</v>
      </c>
    </row>
    <row r="79" spans="1:9" x14ac:dyDescent="0.3">
      <c r="A79" s="4" t="s">
        <v>691</v>
      </c>
      <c r="B79" s="2" t="s">
        <v>30</v>
      </c>
      <c r="C79" s="2" t="s">
        <v>237</v>
      </c>
      <c r="D79" s="2" t="s">
        <v>238</v>
      </c>
      <c r="E79" s="2" t="s">
        <v>10</v>
      </c>
      <c r="F79" s="2" t="s">
        <v>239</v>
      </c>
      <c r="G79" s="2" t="s">
        <v>10</v>
      </c>
      <c r="H79" s="2" t="s">
        <v>10</v>
      </c>
      <c r="I79" s="2" t="s">
        <v>240</v>
      </c>
    </row>
    <row r="80" spans="1:9" x14ac:dyDescent="0.3">
      <c r="A80" s="4" t="s">
        <v>694</v>
      </c>
      <c r="B80" s="2" t="s">
        <v>88</v>
      </c>
      <c r="C80" s="2" t="s">
        <v>241</v>
      </c>
      <c r="D80" s="2" t="s">
        <v>10</v>
      </c>
      <c r="E80" s="2" t="s">
        <v>10</v>
      </c>
      <c r="F80" s="2" t="s">
        <v>10</v>
      </c>
      <c r="G80" s="2" t="s">
        <v>10</v>
      </c>
      <c r="H80" s="2" t="s">
        <v>10</v>
      </c>
      <c r="I80" s="2" t="s">
        <v>242</v>
      </c>
    </row>
    <row r="81" spans="1:9" x14ac:dyDescent="0.3">
      <c r="A81" s="4" t="s">
        <v>697</v>
      </c>
      <c r="B81" s="2" t="s">
        <v>243</v>
      </c>
      <c r="C81" s="2" t="s">
        <v>244</v>
      </c>
      <c r="D81" s="2" t="s">
        <v>245</v>
      </c>
      <c r="E81" s="2" t="s">
        <v>10</v>
      </c>
      <c r="F81" s="2" t="s">
        <v>10</v>
      </c>
      <c r="G81" s="2" t="s">
        <v>10</v>
      </c>
      <c r="H81" s="2" t="s">
        <v>10</v>
      </c>
      <c r="I81" s="2" t="s">
        <v>246</v>
      </c>
    </row>
    <row r="82" spans="1:9" x14ac:dyDescent="0.3">
      <c r="A82" s="4" t="s">
        <v>700</v>
      </c>
      <c r="B82" s="2" t="s">
        <v>247</v>
      </c>
      <c r="C82" s="2" t="s">
        <v>248</v>
      </c>
      <c r="D82" s="2" t="s">
        <v>10</v>
      </c>
      <c r="E82" s="2" t="s">
        <v>10</v>
      </c>
      <c r="F82" s="2" t="s">
        <v>249</v>
      </c>
      <c r="G82" s="2" t="s">
        <v>10</v>
      </c>
      <c r="H82" s="2" t="s">
        <v>10</v>
      </c>
      <c r="I82" s="2" t="s">
        <v>250</v>
      </c>
    </row>
    <row r="83" spans="1:9" x14ac:dyDescent="0.3">
      <c r="A83" s="4" t="s">
        <v>703</v>
      </c>
      <c r="B83" s="2" t="s">
        <v>251</v>
      </c>
      <c r="C83" s="2" t="s">
        <v>252</v>
      </c>
      <c r="D83" s="2" t="s">
        <v>10</v>
      </c>
      <c r="E83" s="2" t="s">
        <v>10</v>
      </c>
      <c r="F83" s="2" t="s">
        <v>10</v>
      </c>
      <c r="G83" s="2" t="s">
        <v>10</v>
      </c>
      <c r="H83" s="2" t="s">
        <v>10</v>
      </c>
      <c r="I83" s="2" t="s">
        <v>253</v>
      </c>
    </row>
    <row r="84" spans="1:9" x14ac:dyDescent="0.3">
      <c r="A84" s="4" t="s">
        <v>706</v>
      </c>
      <c r="B84" s="2" t="s">
        <v>10</v>
      </c>
      <c r="C84" s="2" t="s">
        <v>108</v>
      </c>
      <c r="D84" s="2" t="s">
        <v>10</v>
      </c>
      <c r="E84" s="2" t="s">
        <v>10</v>
      </c>
      <c r="F84" s="2" t="s">
        <v>10</v>
      </c>
      <c r="G84" s="2" t="s">
        <v>10</v>
      </c>
      <c r="H84" s="2" t="s">
        <v>10</v>
      </c>
      <c r="I84" s="2" t="s">
        <v>254</v>
      </c>
    </row>
    <row r="85" spans="1:9" x14ac:dyDescent="0.3">
      <c r="A85" s="4" t="s">
        <v>709</v>
      </c>
      <c r="B85" s="2" t="s">
        <v>255</v>
      </c>
      <c r="C85" s="2" t="s">
        <v>114</v>
      </c>
      <c r="D85" s="2" t="s">
        <v>10</v>
      </c>
      <c r="E85" s="2" t="s">
        <v>10</v>
      </c>
      <c r="F85" s="2" t="s">
        <v>10</v>
      </c>
      <c r="G85" s="2" t="s">
        <v>10</v>
      </c>
      <c r="H85" s="2" t="s">
        <v>10</v>
      </c>
      <c r="I85" s="2" t="s">
        <v>256</v>
      </c>
    </row>
    <row r="86" spans="1:9" x14ac:dyDescent="0.3">
      <c r="A86" s="4" t="s">
        <v>712</v>
      </c>
      <c r="B86" s="2" t="s">
        <v>12</v>
      </c>
      <c r="C86" s="2" t="s">
        <v>257</v>
      </c>
      <c r="D86" s="2" t="s">
        <v>10</v>
      </c>
      <c r="E86" s="2" t="s">
        <v>10</v>
      </c>
      <c r="F86" s="2" t="s">
        <v>10</v>
      </c>
      <c r="G86" s="2" t="s">
        <v>10</v>
      </c>
      <c r="H86" s="2" t="s">
        <v>10</v>
      </c>
      <c r="I86" s="2" t="s">
        <v>258</v>
      </c>
    </row>
    <row r="87" spans="1:9" x14ac:dyDescent="0.3">
      <c r="A87" s="4" t="s">
        <v>715</v>
      </c>
      <c r="B87" s="2" t="s">
        <v>259</v>
      </c>
      <c r="C87" s="2" t="s">
        <v>260</v>
      </c>
      <c r="D87" s="2" t="s">
        <v>10</v>
      </c>
      <c r="E87" s="2" t="s">
        <v>10</v>
      </c>
      <c r="F87" s="2" t="s">
        <v>10</v>
      </c>
      <c r="G87" s="2" t="s">
        <v>10</v>
      </c>
      <c r="H87" s="2" t="s">
        <v>261</v>
      </c>
      <c r="I87" s="2" t="s">
        <v>262</v>
      </c>
    </row>
    <row r="88" spans="1:9" x14ac:dyDescent="0.3">
      <c r="A88" s="4" t="s">
        <v>718</v>
      </c>
      <c r="B88" s="2" t="s">
        <v>263</v>
      </c>
      <c r="C88" s="2" t="s">
        <v>218</v>
      </c>
      <c r="D88" s="2" t="s">
        <v>10</v>
      </c>
      <c r="E88" s="2" t="s">
        <v>10</v>
      </c>
      <c r="F88" s="2" t="s">
        <v>10</v>
      </c>
      <c r="G88" s="2" t="s">
        <v>10</v>
      </c>
      <c r="H88" s="2" t="s">
        <v>264</v>
      </c>
      <c r="I88" s="2" t="s">
        <v>265</v>
      </c>
    </row>
    <row r="89" spans="1:9" x14ac:dyDescent="0.3">
      <c r="A89" s="4" t="s">
        <v>721</v>
      </c>
      <c r="B89" s="2" t="s">
        <v>266</v>
      </c>
      <c r="C89" s="2" t="s">
        <v>267</v>
      </c>
      <c r="D89" s="2" t="s">
        <v>10</v>
      </c>
      <c r="E89" s="2" t="s">
        <v>268</v>
      </c>
      <c r="F89" s="2" t="s">
        <v>10</v>
      </c>
      <c r="G89" s="2" t="s">
        <v>10</v>
      </c>
      <c r="H89" s="2" t="s">
        <v>269</v>
      </c>
      <c r="I89" s="2" t="s">
        <v>270</v>
      </c>
    </row>
    <row r="90" spans="1:9" x14ac:dyDescent="0.3">
      <c r="A90" s="4" t="s">
        <v>724</v>
      </c>
      <c r="B90" s="2" t="s">
        <v>271</v>
      </c>
      <c r="C90" s="2" t="s">
        <v>272</v>
      </c>
      <c r="D90" s="2" t="s">
        <v>10</v>
      </c>
      <c r="E90" s="2" t="s">
        <v>273</v>
      </c>
      <c r="F90" s="2" t="s">
        <v>274</v>
      </c>
      <c r="G90" s="2" t="s">
        <v>10</v>
      </c>
      <c r="H90" s="2" t="s">
        <v>275</v>
      </c>
      <c r="I90" s="2" t="s">
        <v>276</v>
      </c>
    </row>
    <row r="91" spans="1:9" x14ac:dyDescent="0.3">
      <c r="A91" s="4" t="s">
        <v>727</v>
      </c>
      <c r="B91" s="2" t="s">
        <v>277</v>
      </c>
      <c r="C91" s="2" t="s">
        <v>98</v>
      </c>
      <c r="D91" s="2" t="s">
        <v>10</v>
      </c>
      <c r="E91" s="2" t="s">
        <v>10</v>
      </c>
      <c r="F91" s="2" t="s">
        <v>10</v>
      </c>
      <c r="G91" s="2" t="s">
        <v>10</v>
      </c>
      <c r="H91" s="2" t="s">
        <v>278</v>
      </c>
      <c r="I91" s="2" t="s">
        <v>279</v>
      </c>
    </row>
    <row r="92" spans="1:9" x14ac:dyDescent="0.3">
      <c r="A92" s="4" t="s">
        <v>730</v>
      </c>
      <c r="B92" s="2" t="s">
        <v>30</v>
      </c>
      <c r="C92" s="2" t="s">
        <v>41</v>
      </c>
      <c r="D92" s="2" t="s">
        <v>10</v>
      </c>
      <c r="E92" s="2" t="s">
        <v>280</v>
      </c>
      <c r="F92" s="2" t="s">
        <v>10</v>
      </c>
      <c r="G92" s="2" t="s">
        <v>10</v>
      </c>
      <c r="H92" s="2" t="s">
        <v>10</v>
      </c>
      <c r="I92" s="2" t="s">
        <v>281</v>
      </c>
    </row>
    <row r="93" spans="1:9" x14ac:dyDescent="0.3">
      <c r="A93" s="4" t="s">
        <v>733</v>
      </c>
      <c r="B93" s="2" t="s">
        <v>10</v>
      </c>
      <c r="C93" s="2" t="s">
        <v>282</v>
      </c>
      <c r="D93" s="2" t="s">
        <v>10</v>
      </c>
      <c r="E93" s="2" t="s">
        <v>10</v>
      </c>
      <c r="F93" s="2" t="s">
        <v>283</v>
      </c>
      <c r="G93" s="2" t="s">
        <v>284</v>
      </c>
      <c r="H93" s="2" t="s">
        <v>10</v>
      </c>
      <c r="I93" s="2" t="s">
        <v>285</v>
      </c>
    </row>
    <row r="94" spans="1:9" x14ac:dyDescent="0.3">
      <c r="A94" s="4" t="s">
        <v>736</v>
      </c>
      <c r="B94" s="2" t="s">
        <v>286</v>
      </c>
      <c r="C94" s="2" t="s">
        <v>205</v>
      </c>
      <c r="D94" s="2" t="s">
        <v>10</v>
      </c>
      <c r="E94" s="2" t="s">
        <v>10</v>
      </c>
      <c r="F94" s="2" t="s">
        <v>10</v>
      </c>
      <c r="G94" s="2" t="s">
        <v>10</v>
      </c>
      <c r="H94" s="2" t="s">
        <v>10</v>
      </c>
      <c r="I94" s="2" t="s">
        <v>159</v>
      </c>
    </row>
    <row r="95" spans="1:9" x14ac:dyDescent="0.3">
      <c r="A95" s="4" t="s">
        <v>739</v>
      </c>
      <c r="B95" s="2" t="s">
        <v>263</v>
      </c>
      <c r="C95" s="2" t="s">
        <v>287</v>
      </c>
      <c r="D95" s="2" t="s">
        <v>10</v>
      </c>
      <c r="E95" s="2" t="s">
        <v>10</v>
      </c>
      <c r="F95" s="2" t="s">
        <v>288</v>
      </c>
      <c r="G95" s="2" t="s">
        <v>10</v>
      </c>
      <c r="H95" s="2" t="s">
        <v>289</v>
      </c>
      <c r="I95" s="2" t="s">
        <v>290</v>
      </c>
    </row>
    <row r="96" spans="1:9" x14ac:dyDescent="0.3">
      <c r="A96" s="4" t="s">
        <v>742</v>
      </c>
      <c r="B96" s="2" t="s">
        <v>19</v>
      </c>
      <c r="C96" s="2" t="s">
        <v>291</v>
      </c>
      <c r="D96" s="2" t="s">
        <v>10</v>
      </c>
      <c r="E96" s="2" t="s">
        <v>10</v>
      </c>
      <c r="F96" s="2" t="s">
        <v>292</v>
      </c>
      <c r="G96" s="2" t="s">
        <v>10</v>
      </c>
      <c r="H96" s="2" t="s">
        <v>293</v>
      </c>
      <c r="I96" s="2" t="s">
        <v>294</v>
      </c>
    </row>
    <row r="97" spans="1:9" x14ac:dyDescent="0.3">
      <c r="A97" s="4" t="s">
        <v>745</v>
      </c>
      <c r="B97" s="2" t="s">
        <v>295</v>
      </c>
      <c r="C97" s="2" t="s">
        <v>296</v>
      </c>
      <c r="D97" s="2" t="s">
        <v>10</v>
      </c>
      <c r="E97" s="2" t="s">
        <v>10</v>
      </c>
      <c r="F97" s="2" t="s">
        <v>10</v>
      </c>
      <c r="G97" s="2" t="s">
        <v>297</v>
      </c>
      <c r="H97" s="2" t="s">
        <v>10</v>
      </c>
      <c r="I97" s="2" t="s">
        <v>298</v>
      </c>
    </row>
    <row r="98" spans="1:9" x14ac:dyDescent="0.3">
      <c r="A98" s="4" t="s">
        <v>748</v>
      </c>
      <c r="B98" s="2" t="s">
        <v>155</v>
      </c>
      <c r="C98" s="2" t="s">
        <v>299</v>
      </c>
      <c r="D98" s="2" t="s">
        <v>10</v>
      </c>
      <c r="E98" s="2" t="s">
        <v>10</v>
      </c>
      <c r="F98" s="2" t="s">
        <v>10</v>
      </c>
      <c r="G98" s="2" t="s">
        <v>10</v>
      </c>
      <c r="H98" s="2" t="s">
        <v>300</v>
      </c>
      <c r="I98" s="2" t="s">
        <v>301</v>
      </c>
    </row>
    <row r="99" spans="1:9" x14ac:dyDescent="0.3">
      <c r="A99" s="4" t="s">
        <v>751</v>
      </c>
      <c r="B99" s="2" t="s">
        <v>302</v>
      </c>
      <c r="C99" s="2" t="s">
        <v>303</v>
      </c>
      <c r="D99" s="2" t="s">
        <v>10</v>
      </c>
      <c r="E99" s="2" t="s">
        <v>304</v>
      </c>
      <c r="F99" s="2" t="s">
        <v>10</v>
      </c>
      <c r="G99" s="2" t="s">
        <v>10</v>
      </c>
      <c r="H99" s="2" t="s">
        <v>10</v>
      </c>
      <c r="I99" s="2" t="s">
        <v>305</v>
      </c>
    </row>
    <row r="100" spans="1:9" x14ac:dyDescent="0.3">
      <c r="A100" s="4" t="s">
        <v>754</v>
      </c>
      <c r="B100" s="2" t="s">
        <v>176</v>
      </c>
      <c r="C100" s="2" t="s">
        <v>181</v>
      </c>
      <c r="D100" s="2" t="s">
        <v>10</v>
      </c>
      <c r="E100" s="2" t="s">
        <v>10</v>
      </c>
      <c r="F100" s="2" t="s">
        <v>10</v>
      </c>
      <c r="G100" s="2" t="s">
        <v>10</v>
      </c>
      <c r="H100" s="2" t="s">
        <v>10</v>
      </c>
      <c r="I100" s="2" t="s">
        <v>306</v>
      </c>
    </row>
    <row r="101" spans="1:9" x14ac:dyDescent="0.3">
      <c r="A101" s="4" t="s">
        <v>756</v>
      </c>
      <c r="B101" s="2" t="s">
        <v>307</v>
      </c>
      <c r="C101" s="2" t="s">
        <v>308</v>
      </c>
      <c r="D101" s="2" t="s">
        <v>10</v>
      </c>
      <c r="E101" s="2" t="s">
        <v>10</v>
      </c>
      <c r="F101" s="2" t="s">
        <v>10</v>
      </c>
      <c r="G101" s="2" t="s">
        <v>10</v>
      </c>
      <c r="H101" s="2" t="s">
        <v>10</v>
      </c>
      <c r="I101" s="2" t="s">
        <v>159</v>
      </c>
    </row>
    <row r="102" spans="1:9" x14ac:dyDescent="0.3">
      <c r="A102" s="4" t="s">
        <v>759</v>
      </c>
      <c r="B102" s="2" t="s">
        <v>309</v>
      </c>
      <c r="C102" s="2" t="s">
        <v>310</v>
      </c>
      <c r="D102" s="2" t="s">
        <v>10</v>
      </c>
      <c r="E102" s="2" t="s">
        <v>311</v>
      </c>
      <c r="F102" s="2" t="s">
        <v>10</v>
      </c>
      <c r="G102" s="2" t="s">
        <v>10</v>
      </c>
      <c r="H102" s="2" t="s">
        <v>312</v>
      </c>
      <c r="I102" s="2" t="s">
        <v>33</v>
      </c>
    </row>
    <row r="103" spans="1:9" x14ac:dyDescent="0.3">
      <c r="A103" s="4" t="s">
        <v>762</v>
      </c>
      <c r="B103" s="2" t="s">
        <v>97</v>
      </c>
      <c r="C103" s="2" t="s">
        <v>296</v>
      </c>
      <c r="D103" s="2" t="s">
        <v>10</v>
      </c>
      <c r="E103" s="2" t="s">
        <v>10</v>
      </c>
      <c r="F103" s="2" t="s">
        <v>10</v>
      </c>
      <c r="G103" s="2" t="s">
        <v>10</v>
      </c>
      <c r="H103" s="2" t="s">
        <v>313</v>
      </c>
      <c r="I103" s="2" t="s">
        <v>314</v>
      </c>
    </row>
    <row r="104" spans="1:9" x14ac:dyDescent="0.3">
      <c r="A104" s="4" t="s">
        <v>765</v>
      </c>
      <c r="B104" s="2" t="s">
        <v>315</v>
      </c>
      <c r="C104" s="2" t="s">
        <v>316</v>
      </c>
      <c r="D104" s="2" t="s">
        <v>10</v>
      </c>
      <c r="E104" s="2" t="s">
        <v>10</v>
      </c>
      <c r="F104" s="2" t="s">
        <v>10</v>
      </c>
      <c r="G104" s="2" t="s">
        <v>10</v>
      </c>
      <c r="H104" s="2" t="s">
        <v>317</v>
      </c>
      <c r="I104" s="2" t="s">
        <v>318</v>
      </c>
    </row>
    <row r="105" spans="1:9" x14ac:dyDescent="0.3">
      <c r="A105" s="4" t="s">
        <v>768</v>
      </c>
      <c r="B105" s="2" t="s">
        <v>319</v>
      </c>
      <c r="C105" s="2" t="s">
        <v>85</v>
      </c>
      <c r="D105" s="2" t="s">
        <v>320</v>
      </c>
      <c r="E105" s="2" t="s">
        <v>10</v>
      </c>
      <c r="F105" s="2" t="s">
        <v>321</v>
      </c>
      <c r="G105" s="2" t="s">
        <v>10</v>
      </c>
      <c r="H105" s="2" t="s">
        <v>322</v>
      </c>
      <c r="I105" s="2" t="s">
        <v>323</v>
      </c>
    </row>
    <row r="106" spans="1:9" x14ac:dyDescent="0.3">
      <c r="A106" s="4" t="s">
        <v>771</v>
      </c>
      <c r="B106" s="2" t="s">
        <v>324</v>
      </c>
      <c r="C106" s="2" t="s">
        <v>325</v>
      </c>
      <c r="D106" s="2" t="s">
        <v>10</v>
      </c>
      <c r="E106" s="2" t="s">
        <v>10</v>
      </c>
      <c r="F106" s="2" t="s">
        <v>10</v>
      </c>
      <c r="G106" s="2" t="s">
        <v>10</v>
      </c>
      <c r="H106" s="2" t="s">
        <v>10</v>
      </c>
      <c r="I106" s="2" t="s">
        <v>326</v>
      </c>
    </row>
    <row r="107" spans="1:9" x14ac:dyDescent="0.3">
      <c r="A107" s="4" t="s">
        <v>774</v>
      </c>
      <c r="B107" s="2" t="s">
        <v>171</v>
      </c>
      <c r="C107" s="2" t="s">
        <v>327</v>
      </c>
      <c r="D107" s="2" t="s">
        <v>10</v>
      </c>
      <c r="E107" s="2" t="s">
        <v>10</v>
      </c>
      <c r="F107" s="2" t="s">
        <v>10</v>
      </c>
      <c r="G107" s="2" t="s">
        <v>10</v>
      </c>
      <c r="H107" s="2" t="s">
        <v>328</v>
      </c>
      <c r="I107" s="2" t="s">
        <v>329</v>
      </c>
    </row>
    <row r="108" spans="1:9" x14ac:dyDescent="0.3">
      <c r="A108" s="4" t="s">
        <v>776</v>
      </c>
      <c r="B108" s="2" t="s">
        <v>134</v>
      </c>
      <c r="C108" s="2" t="s">
        <v>117</v>
      </c>
      <c r="D108" s="2" t="s">
        <v>330</v>
      </c>
      <c r="E108" s="2" t="s">
        <v>10</v>
      </c>
      <c r="F108" s="2" t="s">
        <v>10</v>
      </c>
      <c r="G108" s="2" t="s">
        <v>10</v>
      </c>
      <c r="H108" s="2" t="s">
        <v>10</v>
      </c>
      <c r="I108" s="2" t="s">
        <v>331</v>
      </c>
    </row>
    <row r="109" spans="1:9" x14ac:dyDescent="0.3">
      <c r="A109" s="4" t="s">
        <v>778</v>
      </c>
      <c r="B109" s="2" t="s">
        <v>332</v>
      </c>
      <c r="C109" s="2" t="s">
        <v>333</v>
      </c>
      <c r="D109" s="2" t="s">
        <v>10</v>
      </c>
      <c r="E109" s="2" t="s">
        <v>10</v>
      </c>
      <c r="F109" s="2" t="s">
        <v>10</v>
      </c>
      <c r="G109" s="2" t="s">
        <v>10</v>
      </c>
      <c r="H109" s="2" t="s">
        <v>10</v>
      </c>
      <c r="I109" s="2" t="s">
        <v>334</v>
      </c>
    </row>
    <row r="110" spans="1:9" x14ac:dyDescent="0.3">
      <c r="A110" s="4" t="s">
        <v>781</v>
      </c>
      <c r="B110" s="2" t="s">
        <v>64</v>
      </c>
      <c r="C110" s="2" t="s">
        <v>98</v>
      </c>
      <c r="D110" s="2" t="s">
        <v>10</v>
      </c>
      <c r="E110" s="2" t="s">
        <v>10</v>
      </c>
      <c r="F110" s="2" t="s">
        <v>10</v>
      </c>
      <c r="G110" s="2" t="s">
        <v>10</v>
      </c>
      <c r="H110" s="2" t="s">
        <v>10</v>
      </c>
      <c r="I110" s="2" t="s">
        <v>335</v>
      </c>
    </row>
    <row r="111" spans="1:9" x14ac:dyDescent="0.3">
      <c r="A111" s="4" t="s">
        <v>784</v>
      </c>
      <c r="B111" s="2" t="s">
        <v>336</v>
      </c>
      <c r="C111" s="2" t="s">
        <v>337</v>
      </c>
      <c r="D111" s="2" t="s">
        <v>10</v>
      </c>
      <c r="E111" s="2" t="s">
        <v>10</v>
      </c>
      <c r="F111" s="2" t="s">
        <v>10</v>
      </c>
      <c r="G111" s="2" t="s">
        <v>10</v>
      </c>
      <c r="H111" s="2" t="s">
        <v>10</v>
      </c>
      <c r="I111" s="2" t="s">
        <v>338</v>
      </c>
    </row>
    <row r="112" spans="1:9" x14ac:dyDescent="0.3">
      <c r="A112" s="4" t="s">
        <v>787</v>
      </c>
      <c r="B112" s="2" t="s">
        <v>15</v>
      </c>
      <c r="C112" s="2" t="s">
        <v>339</v>
      </c>
      <c r="D112" s="2" t="s">
        <v>10</v>
      </c>
      <c r="E112" s="2" t="s">
        <v>10</v>
      </c>
      <c r="F112" s="2" t="s">
        <v>10</v>
      </c>
      <c r="G112" s="2" t="s">
        <v>10</v>
      </c>
      <c r="H112" s="2" t="s">
        <v>340</v>
      </c>
      <c r="I112" s="2" t="s">
        <v>341</v>
      </c>
    </row>
    <row r="113" spans="1:9" x14ac:dyDescent="0.3">
      <c r="A113" s="4" t="s">
        <v>790</v>
      </c>
      <c r="B113" s="2" t="s">
        <v>342</v>
      </c>
      <c r="C113" s="2" t="s">
        <v>23</v>
      </c>
      <c r="D113" s="2" t="s">
        <v>10</v>
      </c>
      <c r="E113" s="2" t="s">
        <v>10</v>
      </c>
      <c r="F113" s="2" t="s">
        <v>10</v>
      </c>
      <c r="G113" s="2" t="s">
        <v>10</v>
      </c>
      <c r="H113" s="2" t="s">
        <v>10</v>
      </c>
      <c r="I113" s="2" t="s">
        <v>343</v>
      </c>
    </row>
    <row r="114" spans="1:9" x14ac:dyDescent="0.3">
      <c r="A114" s="4" t="s">
        <v>793</v>
      </c>
      <c r="B114" s="2" t="s">
        <v>344</v>
      </c>
      <c r="C114" s="2" t="s">
        <v>345</v>
      </c>
      <c r="D114" s="2" t="s">
        <v>10</v>
      </c>
      <c r="E114" s="2" t="s">
        <v>10</v>
      </c>
      <c r="F114" s="2" t="s">
        <v>10</v>
      </c>
      <c r="G114" s="2" t="s">
        <v>10</v>
      </c>
      <c r="H114" s="2" t="s">
        <v>10</v>
      </c>
      <c r="I114" s="2" t="s">
        <v>346</v>
      </c>
    </row>
    <row r="115" spans="1:9" x14ac:dyDescent="0.3">
      <c r="A115" s="4" t="s">
        <v>796</v>
      </c>
      <c r="B115" s="2" t="s">
        <v>271</v>
      </c>
      <c r="C115" s="2" t="s">
        <v>199</v>
      </c>
      <c r="D115" s="2" t="s">
        <v>10</v>
      </c>
      <c r="E115" s="2" t="s">
        <v>10</v>
      </c>
      <c r="F115" s="2" t="s">
        <v>10</v>
      </c>
      <c r="G115" s="2" t="s">
        <v>283</v>
      </c>
      <c r="H115" s="2" t="s">
        <v>347</v>
      </c>
      <c r="I115" s="2" t="s">
        <v>348</v>
      </c>
    </row>
    <row r="116" spans="1:9" x14ac:dyDescent="0.3">
      <c r="A116" s="4" t="s">
        <v>799</v>
      </c>
      <c r="B116" s="2" t="s">
        <v>155</v>
      </c>
      <c r="C116" s="2" t="s">
        <v>205</v>
      </c>
      <c r="D116" s="2" t="s">
        <v>10</v>
      </c>
      <c r="E116" s="2" t="s">
        <v>10</v>
      </c>
      <c r="F116" s="2" t="s">
        <v>10</v>
      </c>
      <c r="G116" s="2" t="s">
        <v>10</v>
      </c>
      <c r="H116" s="2" t="s">
        <v>10</v>
      </c>
      <c r="I116" s="2" t="s">
        <v>349</v>
      </c>
    </row>
    <row r="117" spans="1:9" x14ac:dyDescent="0.3">
      <c r="A117" s="4" t="s">
        <v>801</v>
      </c>
      <c r="B117" s="2" t="s">
        <v>350</v>
      </c>
      <c r="C117" s="2" t="s">
        <v>254</v>
      </c>
      <c r="D117" s="2" t="s">
        <v>10</v>
      </c>
      <c r="E117" s="2" t="s">
        <v>10</v>
      </c>
      <c r="F117" s="2" t="s">
        <v>10</v>
      </c>
      <c r="G117" s="2" t="s">
        <v>10</v>
      </c>
      <c r="H117" s="2" t="s">
        <v>10</v>
      </c>
      <c r="I117" s="2" t="s">
        <v>21</v>
      </c>
    </row>
    <row r="118" spans="1:9" x14ac:dyDescent="0.3">
      <c r="A118" s="4" t="s">
        <v>804</v>
      </c>
      <c r="B118" s="2" t="s">
        <v>351</v>
      </c>
      <c r="C118" s="2" t="s">
        <v>352</v>
      </c>
      <c r="D118" s="2" t="s">
        <v>10</v>
      </c>
      <c r="E118" s="2" t="s">
        <v>10</v>
      </c>
      <c r="F118" s="2" t="s">
        <v>10</v>
      </c>
      <c r="G118" s="2" t="s">
        <v>10</v>
      </c>
      <c r="H118" s="2" t="s">
        <v>10</v>
      </c>
      <c r="I118" s="2" t="s">
        <v>353</v>
      </c>
    </row>
    <row r="119" spans="1:9" x14ac:dyDescent="0.3">
      <c r="A119" s="4" t="s">
        <v>807</v>
      </c>
      <c r="B119" s="2" t="s">
        <v>354</v>
      </c>
      <c r="C119" s="2" t="s">
        <v>205</v>
      </c>
      <c r="D119" s="2" t="s">
        <v>10</v>
      </c>
      <c r="E119" s="2" t="s">
        <v>10</v>
      </c>
      <c r="F119" s="2" t="s">
        <v>10</v>
      </c>
      <c r="G119" s="2" t="s">
        <v>10</v>
      </c>
      <c r="H119" s="2" t="s">
        <v>355</v>
      </c>
      <c r="I119" s="2" t="s">
        <v>356</v>
      </c>
    </row>
    <row r="120" spans="1:9" x14ac:dyDescent="0.3">
      <c r="A120" s="4" t="s">
        <v>810</v>
      </c>
      <c r="B120" s="2" t="s">
        <v>357</v>
      </c>
      <c r="C120" s="2" t="s">
        <v>358</v>
      </c>
      <c r="D120" s="2" t="s">
        <v>10</v>
      </c>
      <c r="E120" s="2" t="s">
        <v>10</v>
      </c>
      <c r="F120" s="2" t="s">
        <v>10</v>
      </c>
      <c r="G120" s="2" t="s">
        <v>10</v>
      </c>
      <c r="H120" s="2" t="s">
        <v>359</v>
      </c>
      <c r="I120" s="2" t="s">
        <v>360</v>
      </c>
    </row>
    <row r="121" spans="1:9" x14ac:dyDescent="0.3">
      <c r="A121" s="4" t="s">
        <v>813</v>
      </c>
      <c r="B121" s="2" t="s">
        <v>361</v>
      </c>
      <c r="C121" s="2" t="s">
        <v>120</v>
      </c>
      <c r="D121" s="2" t="s">
        <v>10</v>
      </c>
      <c r="E121" s="2" t="s">
        <v>10</v>
      </c>
      <c r="F121" s="2" t="s">
        <v>10</v>
      </c>
      <c r="G121" s="2" t="s">
        <v>10</v>
      </c>
      <c r="H121" s="2" t="s">
        <v>10</v>
      </c>
      <c r="I121" s="2" t="s">
        <v>362</v>
      </c>
    </row>
    <row r="122" spans="1:9" x14ac:dyDescent="0.3">
      <c r="A122" s="4" t="s">
        <v>816</v>
      </c>
      <c r="B122" s="2" t="s">
        <v>259</v>
      </c>
      <c r="C122" s="2" t="s">
        <v>363</v>
      </c>
      <c r="D122" s="2" t="s">
        <v>10</v>
      </c>
      <c r="E122" s="2" t="s">
        <v>10</v>
      </c>
      <c r="F122" s="2" t="s">
        <v>364</v>
      </c>
      <c r="G122" s="2" t="s">
        <v>10</v>
      </c>
      <c r="H122" s="2" t="s">
        <v>10</v>
      </c>
      <c r="I122" s="2" t="s">
        <v>365</v>
      </c>
    </row>
    <row r="123" spans="1:9" x14ac:dyDescent="0.3">
      <c r="A123" s="4" t="s">
        <v>819</v>
      </c>
      <c r="B123" s="2" t="s">
        <v>366</v>
      </c>
      <c r="C123" s="2" t="s">
        <v>367</v>
      </c>
      <c r="D123" s="2" t="s">
        <v>368</v>
      </c>
      <c r="E123" s="2" t="s">
        <v>10</v>
      </c>
      <c r="F123" s="2" t="s">
        <v>10</v>
      </c>
      <c r="G123" s="2" t="s">
        <v>10</v>
      </c>
      <c r="H123" s="2" t="s">
        <v>369</v>
      </c>
      <c r="I123" s="2" t="s">
        <v>370</v>
      </c>
    </row>
    <row r="124" spans="1:9" x14ac:dyDescent="0.3">
      <c r="A124" s="4" t="s">
        <v>822</v>
      </c>
      <c r="B124" s="2" t="s">
        <v>366</v>
      </c>
      <c r="C124" s="2" t="s">
        <v>101</v>
      </c>
      <c r="D124" s="2" t="s">
        <v>10</v>
      </c>
      <c r="E124" s="2" t="s">
        <v>10</v>
      </c>
      <c r="F124" s="2" t="s">
        <v>10</v>
      </c>
      <c r="G124" s="2" t="s">
        <v>10</v>
      </c>
      <c r="H124" s="2" t="s">
        <v>10</v>
      </c>
      <c r="I124" s="2" t="s">
        <v>14</v>
      </c>
    </row>
    <row r="125" spans="1:9" x14ac:dyDescent="0.3">
      <c r="A125" s="4" t="s">
        <v>825</v>
      </c>
      <c r="B125" s="2" t="s">
        <v>371</v>
      </c>
      <c r="C125" s="2" t="s">
        <v>61</v>
      </c>
      <c r="D125" s="2" t="s">
        <v>10</v>
      </c>
      <c r="E125" s="2" t="s">
        <v>10</v>
      </c>
      <c r="F125" s="2" t="s">
        <v>10</v>
      </c>
      <c r="G125" s="2" t="s">
        <v>10</v>
      </c>
      <c r="H125" s="2" t="s">
        <v>10</v>
      </c>
      <c r="I125" s="2" t="s">
        <v>372</v>
      </c>
    </row>
    <row r="126" spans="1:9" x14ac:dyDescent="0.3">
      <c r="A126" s="4" t="s">
        <v>828</v>
      </c>
      <c r="B126" s="2" t="s">
        <v>373</v>
      </c>
      <c r="C126" s="2" t="s">
        <v>374</v>
      </c>
      <c r="D126" s="2" t="s">
        <v>10</v>
      </c>
      <c r="E126" s="2" t="s">
        <v>10</v>
      </c>
      <c r="F126" s="2" t="s">
        <v>10</v>
      </c>
      <c r="G126" s="2" t="s">
        <v>10</v>
      </c>
      <c r="H126" s="2" t="s">
        <v>98</v>
      </c>
      <c r="I126" s="2" t="s">
        <v>375</v>
      </c>
    </row>
    <row r="127" spans="1:9" x14ac:dyDescent="0.3">
      <c r="A127" s="4" t="s">
        <v>831</v>
      </c>
      <c r="B127" s="2" t="s">
        <v>376</v>
      </c>
      <c r="C127" s="2" t="s">
        <v>377</v>
      </c>
      <c r="D127" s="2" t="s">
        <v>10</v>
      </c>
      <c r="E127" s="2" t="s">
        <v>10</v>
      </c>
      <c r="F127" s="2" t="s">
        <v>378</v>
      </c>
      <c r="G127" s="2" t="s">
        <v>10</v>
      </c>
      <c r="H127" s="2" t="s">
        <v>10</v>
      </c>
      <c r="I127" s="2" t="s">
        <v>379</v>
      </c>
    </row>
    <row r="128" spans="1:9" x14ac:dyDescent="0.3">
      <c r="A128" s="4" t="s">
        <v>834</v>
      </c>
      <c r="B128" s="2" t="s">
        <v>366</v>
      </c>
      <c r="C128" s="2" t="s">
        <v>380</v>
      </c>
      <c r="D128" s="2" t="s">
        <v>10</v>
      </c>
      <c r="E128" s="2" t="s">
        <v>381</v>
      </c>
      <c r="F128" s="2" t="s">
        <v>10</v>
      </c>
      <c r="G128" s="2" t="s">
        <v>10</v>
      </c>
      <c r="H128" s="2" t="s">
        <v>10</v>
      </c>
      <c r="I128" s="2" t="s">
        <v>382</v>
      </c>
    </row>
    <row r="129" spans="1:9" x14ac:dyDescent="0.3">
      <c r="A129" s="4" t="s">
        <v>837</v>
      </c>
      <c r="B129" s="2" t="s">
        <v>125</v>
      </c>
      <c r="C129" s="2" t="s">
        <v>383</v>
      </c>
      <c r="D129" s="2" t="s">
        <v>10</v>
      </c>
      <c r="E129" s="2" t="s">
        <v>10</v>
      </c>
      <c r="F129" s="2" t="s">
        <v>10</v>
      </c>
      <c r="G129" s="2" t="s">
        <v>384</v>
      </c>
      <c r="H129" s="2" t="s">
        <v>10</v>
      </c>
      <c r="I129" s="2" t="s">
        <v>385</v>
      </c>
    </row>
    <row r="130" spans="1:9" x14ac:dyDescent="0.3">
      <c r="A130" s="4" t="s">
        <v>840</v>
      </c>
      <c r="B130" s="2" t="s">
        <v>92</v>
      </c>
      <c r="C130" s="2" t="s">
        <v>386</v>
      </c>
      <c r="D130" s="2" t="s">
        <v>10</v>
      </c>
      <c r="E130" s="2" t="s">
        <v>387</v>
      </c>
      <c r="F130" s="2" t="s">
        <v>388</v>
      </c>
      <c r="G130" s="2" t="s">
        <v>10</v>
      </c>
      <c r="H130" s="2" t="s">
        <v>10</v>
      </c>
      <c r="I130" s="2" t="s">
        <v>389</v>
      </c>
    </row>
    <row r="131" spans="1:9" x14ac:dyDescent="0.3">
      <c r="A131" s="4" t="s">
        <v>842</v>
      </c>
      <c r="B131" s="2" t="s">
        <v>15</v>
      </c>
      <c r="C131" s="2" t="s">
        <v>390</v>
      </c>
      <c r="D131" s="2" t="s">
        <v>10</v>
      </c>
      <c r="E131" s="2" t="s">
        <v>10</v>
      </c>
      <c r="F131" s="2" t="s">
        <v>10</v>
      </c>
      <c r="G131" s="2" t="s">
        <v>10</v>
      </c>
      <c r="H131" s="2" t="s">
        <v>10</v>
      </c>
      <c r="I131" s="2" t="s">
        <v>391</v>
      </c>
    </row>
    <row r="132" spans="1:9" x14ac:dyDescent="0.3">
      <c r="A132" s="4" t="s">
        <v>845</v>
      </c>
      <c r="B132" s="2" t="s">
        <v>130</v>
      </c>
      <c r="C132" s="2" t="s">
        <v>383</v>
      </c>
      <c r="D132" s="2" t="s">
        <v>10</v>
      </c>
      <c r="E132" s="2" t="s">
        <v>10</v>
      </c>
      <c r="F132" s="2" t="s">
        <v>10</v>
      </c>
      <c r="G132" s="2" t="s">
        <v>10</v>
      </c>
      <c r="H132" s="2" t="s">
        <v>392</v>
      </c>
      <c r="I132" s="2" t="s">
        <v>393</v>
      </c>
    </row>
    <row r="133" spans="1:9" x14ac:dyDescent="0.3">
      <c r="A133" s="4" t="s">
        <v>848</v>
      </c>
      <c r="B133" s="2" t="s">
        <v>46</v>
      </c>
      <c r="C133" s="2" t="s">
        <v>394</v>
      </c>
      <c r="D133" s="2" t="s">
        <v>10</v>
      </c>
      <c r="E133" s="2" t="s">
        <v>10</v>
      </c>
      <c r="F133" s="2" t="s">
        <v>10</v>
      </c>
      <c r="G133" s="2" t="s">
        <v>10</v>
      </c>
      <c r="H133" s="2" t="s">
        <v>395</v>
      </c>
      <c r="I133" s="2" t="s">
        <v>396</v>
      </c>
    </row>
    <row r="134" spans="1:9" x14ac:dyDescent="0.3">
      <c r="A134" s="4" t="s">
        <v>850</v>
      </c>
      <c r="B134" s="2" t="s">
        <v>397</v>
      </c>
      <c r="C134" s="2" t="s">
        <v>398</v>
      </c>
      <c r="D134" s="2" t="s">
        <v>10</v>
      </c>
      <c r="E134" s="2" t="s">
        <v>10</v>
      </c>
      <c r="F134" s="2" t="s">
        <v>10</v>
      </c>
      <c r="G134" s="2" t="s">
        <v>10</v>
      </c>
      <c r="H134" s="2" t="s">
        <v>10</v>
      </c>
      <c r="I134" s="2" t="s">
        <v>399</v>
      </c>
    </row>
    <row r="135" spans="1:9" x14ac:dyDescent="0.3">
      <c r="A135" s="4" t="s">
        <v>853</v>
      </c>
      <c r="B135" s="2" t="s">
        <v>400</v>
      </c>
      <c r="C135" s="2" t="s">
        <v>401</v>
      </c>
      <c r="D135" s="2" t="s">
        <v>283</v>
      </c>
      <c r="E135" s="2" t="s">
        <v>10</v>
      </c>
      <c r="F135" s="2" t="s">
        <v>10</v>
      </c>
      <c r="G135" s="2" t="s">
        <v>402</v>
      </c>
      <c r="H135" s="2" t="s">
        <v>403</v>
      </c>
      <c r="I135" s="2" t="s">
        <v>404</v>
      </c>
    </row>
    <row r="136" spans="1:9" x14ac:dyDescent="0.3">
      <c r="A136" s="4" t="s">
        <v>856</v>
      </c>
      <c r="B136" s="2" t="s">
        <v>405</v>
      </c>
      <c r="C136" s="2" t="s">
        <v>211</v>
      </c>
      <c r="D136" s="2" t="s">
        <v>406</v>
      </c>
      <c r="E136" s="2" t="s">
        <v>10</v>
      </c>
      <c r="F136" s="2" t="s">
        <v>10</v>
      </c>
      <c r="G136" s="2" t="s">
        <v>10</v>
      </c>
      <c r="H136" s="2" t="s">
        <v>10</v>
      </c>
      <c r="I136" s="2" t="s">
        <v>407</v>
      </c>
    </row>
    <row r="137" spans="1:9" x14ac:dyDescent="0.3">
      <c r="A137" s="4" t="s">
        <v>859</v>
      </c>
      <c r="B137" s="2" t="s">
        <v>408</v>
      </c>
      <c r="C137" s="2" t="s">
        <v>409</v>
      </c>
      <c r="D137" s="2" t="s">
        <v>10</v>
      </c>
      <c r="E137" s="2" t="s">
        <v>410</v>
      </c>
      <c r="F137" s="2" t="s">
        <v>10</v>
      </c>
      <c r="G137" s="2" t="s">
        <v>10</v>
      </c>
      <c r="H137" s="2" t="s">
        <v>10</v>
      </c>
      <c r="I137" s="2" t="s">
        <v>411</v>
      </c>
    </row>
    <row r="138" spans="1:9" x14ac:dyDescent="0.3">
      <c r="A138" s="4" t="s">
        <v>862</v>
      </c>
      <c r="B138" s="2" t="s">
        <v>412</v>
      </c>
      <c r="C138" s="2" t="s">
        <v>413</v>
      </c>
      <c r="D138" s="2" t="s">
        <v>10</v>
      </c>
      <c r="E138" s="2" t="s">
        <v>10</v>
      </c>
      <c r="F138" s="2" t="s">
        <v>10</v>
      </c>
      <c r="G138" s="2" t="s">
        <v>10</v>
      </c>
      <c r="H138" s="2" t="s">
        <v>10</v>
      </c>
      <c r="I138" s="2" t="s">
        <v>414</v>
      </c>
    </row>
    <row r="139" spans="1:9" x14ac:dyDescent="0.3">
      <c r="A139" s="4" t="s">
        <v>865</v>
      </c>
      <c r="B139" s="2" t="s">
        <v>10</v>
      </c>
      <c r="C139" s="2" t="s">
        <v>415</v>
      </c>
      <c r="D139" s="2" t="s">
        <v>10</v>
      </c>
      <c r="E139" s="2" t="s">
        <v>10</v>
      </c>
      <c r="F139" s="2" t="s">
        <v>416</v>
      </c>
      <c r="G139" s="2" t="s">
        <v>10</v>
      </c>
      <c r="H139" s="2" t="s">
        <v>10</v>
      </c>
      <c r="I139" s="2" t="s">
        <v>417</v>
      </c>
    </row>
    <row r="140" spans="1:9" x14ac:dyDescent="0.3">
      <c r="A140" s="4" t="s">
        <v>868</v>
      </c>
      <c r="B140" s="2" t="s">
        <v>176</v>
      </c>
      <c r="C140" s="2" t="s">
        <v>374</v>
      </c>
      <c r="D140" s="2" t="s">
        <v>418</v>
      </c>
      <c r="E140" s="2" t="s">
        <v>10</v>
      </c>
      <c r="F140" s="2" t="s">
        <v>10</v>
      </c>
      <c r="G140" s="2" t="s">
        <v>10</v>
      </c>
      <c r="H140" s="2" t="s">
        <v>10</v>
      </c>
      <c r="I140" s="2" t="s">
        <v>419</v>
      </c>
    </row>
    <row r="141" spans="1:9" x14ac:dyDescent="0.3">
      <c r="A141" s="4" t="s">
        <v>871</v>
      </c>
      <c r="B141" s="2" t="s">
        <v>100</v>
      </c>
      <c r="C141" s="2" t="s">
        <v>161</v>
      </c>
      <c r="D141" s="2" t="s">
        <v>10</v>
      </c>
      <c r="E141" s="2" t="s">
        <v>10</v>
      </c>
      <c r="F141" s="2" t="s">
        <v>10</v>
      </c>
      <c r="G141" s="2" t="s">
        <v>10</v>
      </c>
      <c r="H141" s="2" t="s">
        <v>10</v>
      </c>
      <c r="I141" s="2" t="s">
        <v>420</v>
      </c>
    </row>
    <row r="142" spans="1:9" x14ac:dyDescent="0.3">
      <c r="A142" s="4" t="s">
        <v>874</v>
      </c>
      <c r="B142" s="2" t="s">
        <v>421</v>
      </c>
      <c r="C142" s="2" t="s">
        <v>422</v>
      </c>
      <c r="D142" s="2" t="s">
        <v>10</v>
      </c>
      <c r="E142" s="2" t="s">
        <v>423</v>
      </c>
      <c r="F142" s="2" t="s">
        <v>424</v>
      </c>
      <c r="G142" s="2" t="s">
        <v>10</v>
      </c>
      <c r="H142" s="2" t="s">
        <v>10</v>
      </c>
      <c r="I142" s="2" t="s">
        <v>425</v>
      </c>
    </row>
    <row r="143" spans="1:9" x14ac:dyDescent="0.3">
      <c r="A143" s="4" t="s">
        <v>877</v>
      </c>
      <c r="B143" s="2" t="s">
        <v>426</v>
      </c>
      <c r="C143" s="2" t="s">
        <v>187</v>
      </c>
      <c r="D143" s="2" t="s">
        <v>10</v>
      </c>
      <c r="E143" s="2" t="s">
        <v>10</v>
      </c>
      <c r="F143" s="2" t="s">
        <v>10</v>
      </c>
      <c r="G143" s="2" t="s">
        <v>10</v>
      </c>
      <c r="H143" s="2" t="s">
        <v>10</v>
      </c>
      <c r="I143" s="2" t="s">
        <v>169</v>
      </c>
    </row>
    <row r="144" spans="1:9" x14ac:dyDescent="0.3">
      <c r="A144" s="4" t="s">
        <v>880</v>
      </c>
      <c r="B144" s="2" t="s">
        <v>427</v>
      </c>
      <c r="C144" s="2" t="s">
        <v>428</v>
      </c>
      <c r="D144" s="2" t="s">
        <v>10</v>
      </c>
      <c r="E144" s="2" t="s">
        <v>10</v>
      </c>
      <c r="F144" s="2" t="s">
        <v>10</v>
      </c>
      <c r="G144" s="2" t="s">
        <v>10</v>
      </c>
      <c r="H144" s="2" t="s">
        <v>429</v>
      </c>
      <c r="I144" s="2" t="s">
        <v>430</v>
      </c>
    </row>
    <row r="145" spans="1:9" x14ac:dyDescent="0.3">
      <c r="A145" s="4" t="s">
        <v>883</v>
      </c>
      <c r="B145" s="2" t="s">
        <v>134</v>
      </c>
      <c r="C145" s="2" t="s">
        <v>431</v>
      </c>
      <c r="D145" s="2" t="s">
        <v>10</v>
      </c>
      <c r="E145" s="2" t="s">
        <v>10</v>
      </c>
      <c r="F145" s="2" t="s">
        <v>10</v>
      </c>
      <c r="G145" s="2" t="s">
        <v>10</v>
      </c>
      <c r="H145" s="2" t="s">
        <v>10</v>
      </c>
      <c r="I145" s="2" t="s">
        <v>279</v>
      </c>
    </row>
    <row r="146" spans="1:9" x14ac:dyDescent="0.3">
      <c r="A146" s="4" t="s">
        <v>886</v>
      </c>
      <c r="B146" s="2" t="s">
        <v>84</v>
      </c>
      <c r="C146" s="2" t="s">
        <v>432</v>
      </c>
      <c r="D146" s="2" t="s">
        <v>10</v>
      </c>
      <c r="E146" s="2" t="s">
        <v>10</v>
      </c>
      <c r="F146" s="2" t="s">
        <v>10</v>
      </c>
      <c r="G146" s="2" t="s">
        <v>10</v>
      </c>
      <c r="H146" s="2" t="s">
        <v>10</v>
      </c>
      <c r="I146" s="2" t="s">
        <v>433</v>
      </c>
    </row>
    <row r="147" spans="1:9" x14ac:dyDescent="0.3">
      <c r="A147" s="4" t="s">
        <v>889</v>
      </c>
      <c r="B147" s="2" t="s">
        <v>434</v>
      </c>
      <c r="C147" s="2" t="s">
        <v>435</v>
      </c>
      <c r="D147" s="2" t="s">
        <v>10</v>
      </c>
      <c r="E147" s="2" t="s">
        <v>436</v>
      </c>
      <c r="F147" s="2" t="s">
        <v>10</v>
      </c>
      <c r="G147" s="2" t="s">
        <v>10</v>
      </c>
      <c r="H147" s="2" t="s">
        <v>437</v>
      </c>
      <c r="I147" s="2" t="s">
        <v>438</v>
      </c>
    </row>
    <row r="148" spans="1:9" x14ac:dyDescent="0.3">
      <c r="A148" s="4" t="s">
        <v>892</v>
      </c>
      <c r="B148" s="2" t="s">
        <v>439</v>
      </c>
      <c r="C148" s="2" t="s">
        <v>440</v>
      </c>
      <c r="D148" s="2" t="s">
        <v>10</v>
      </c>
      <c r="E148" s="2" t="s">
        <v>10</v>
      </c>
      <c r="F148" s="2" t="s">
        <v>10</v>
      </c>
      <c r="G148" s="2" t="s">
        <v>10</v>
      </c>
      <c r="H148" s="2" t="s">
        <v>10</v>
      </c>
      <c r="I148" s="2" t="s">
        <v>441</v>
      </c>
    </row>
    <row r="149" spans="1:9" x14ac:dyDescent="0.3">
      <c r="A149" s="4" t="s">
        <v>895</v>
      </c>
      <c r="B149" s="2" t="s">
        <v>10</v>
      </c>
      <c r="C149" s="2" t="s">
        <v>442</v>
      </c>
      <c r="D149" s="2" t="s">
        <v>10</v>
      </c>
      <c r="E149" s="2" t="s">
        <v>10</v>
      </c>
      <c r="F149" s="2" t="s">
        <v>10</v>
      </c>
      <c r="G149" s="2" t="s">
        <v>10</v>
      </c>
      <c r="H149" s="2" t="s">
        <v>10</v>
      </c>
      <c r="I149" s="2" t="s">
        <v>282</v>
      </c>
    </row>
    <row r="150" spans="1:9" x14ac:dyDescent="0.3">
      <c r="A150" s="4" t="s">
        <v>898</v>
      </c>
      <c r="B150" s="2" t="s">
        <v>443</v>
      </c>
      <c r="C150" s="2" t="s">
        <v>444</v>
      </c>
      <c r="D150" s="2" t="s">
        <v>445</v>
      </c>
      <c r="E150" s="2" t="s">
        <v>10</v>
      </c>
      <c r="F150" s="2" t="s">
        <v>10</v>
      </c>
      <c r="G150" s="2" t="s">
        <v>10</v>
      </c>
      <c r="H150" s="2" t="s">
        <v>10</v>
      </c>
      <c r="I150" s="2" t="s">
        <v>407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CE809-7E91-44E4-949E-B6B1F53EBED2}">
  <sheetPr codeName="Sheet2"/>
  <dimension ref="A1:Q150"/>
  <sheetViews>
    <sheetView workbookViewId="0">
      <selection activeCell="B17" sqref="B17"/>
    </sheetView>
  </sheetViews>
  <sheetFormatPr defaultColWidth="11.5546875" defaultRowHeight="14.4" x14ac:dyDescent="0.3"/>
  <cols>
    <col min="1" max="1" width="31.44140625" bestFit="1" customWidth="1"/>
    <col min="2" max="2" width="9" bestFit="1" customWidth="1"/>
    <col min="3" max="3" width="10.21875" bestFit="1" customWidth="1"/>
    <col min="4" max="4" width="9.77734375" bestFit="1" customWidth="1"/>
    <col min="5" max="5" width="11.77734375" customWidth="1"/>
    <col min="6" max="6" width="11.88671875" customWidth="1"/>
    <col min="7" max="7" width="7.44140625" bestFit="1" customWidth="1"/>
    <col min="8" max="8" width="6.44140625" bestFit="1" customWidth="1"/>
    <col min="9" max="9" width="9" bestFit="1" customWidth="1"/>
    <col min="10" max="10" width="8.77734375" bestFit="1" customWidth="1"/>
    <col min="11" max="11" width="7.44140625" bestFit="1" customWidth="1"/>
    <col min="12" max="12" width="10.88671875" bestFit="1" customWidth="1"/>
    <col min="13" max="13" width="9.109375" bestFit="1" customWidth="1"/>
    <col min="14" max="14" width="10.88671875" bestFit="1" customWidth="1"/>
    <col min="15" max="15" width="11.33203125" bestFit="1" customWidth="1"/>
    <col min="16" max="16" width="9.77734375" bestFit="1" customWidth="1"/>
    <col min="17" max="17" width="8.6640625" bestFit="1" customWidth="1"/>
  </cols>
  <sheetData>
    <row r="1" spans="1:17" ht="52.8" x14ac:dyDescent="0.3">
      <c r="A1" s="3" t="s">
        <v>446</v>
      </c>
      <c r="B1" s="3" t="s">
        <v>447</v>
      </c>
      <c r="C1" s="3" t="s">
        <v>448</v>
      </c>
      <c r="D1" s="3" t="s">
        <v>449</v>
      </c>
      <c r="E1" s="3" t="s">
        <v>450</v>
      </c>
      <c r="F1" s="3" t="s">
        <v>451</v>
      </c>
      <c r="G1" s="3" t="s">
        <v>452</v>
      </c>
      <c r="H1" s="3" t="s">
        <v>453</v>
      </c>
      <c r="I1" s="3" t="s">
        <v>454</v>
      </c>
      <c r="J1" s="3" t="s">
        <v>455</v>
      </c>
      <c r="K1" s="3" t="s">
        <v>456</v>
      </c>
      <c r="L1" s="3" t="s">
        <v>457</v>
      </c>
      <c r="M1" s="3" t="s">
        <v>458</v>
      </c>
      <c r="N1" s="3" t="s">
        <v>459</v>
      </c>
      <c r="O1" s="3" t="s">
        <v>460</v>
      </c>
      <c r="P1" s="3" t="s">
        <v>461</v>
      </c>
      <c r="Q1" s="3" t="s">
        <v>462</v>
      </c>
    </row>
    <row r="2" spans="1:17" x14ac:dyDescent="0.3">
      <c r="A2" s="4" t="s">
        <v>463</v>
      </c>
      <c r="B2" s="2" t="s">
        <v>464</v>
      </c>
      <c r="C2" s="2" t="s">
        <v>465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4" t="s">
        <v>466</v>
      </c>
      <c r="B3" s="2" t="s">
        <v>467</v>
      </c>
      <c r="C3" s="2" t="s">
        <v>468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4" t="s">
        <v>469</v>
      </c>
      <c r="B4" s="2" t="s">
        <v>470</v>
      </c>
      <c r="C4" s="2" t="s">
        <v>471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4" t="s">
        <v>472</v>
      </c>
      <c r="B5" s="2" t="s">
        <v>473</v>
      </c>
      <c r="C5" s="2" t="s">
        <v>474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4" t="s">
        <v>475</v>
      </c>
      <c r="B6" s="2" t="s">
        <v>476</v>
      </c>
      <c r="C6" s="2" t="s">
        <v>477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4" t="s">
        <v>478</v>
      </c>
      <c r="B7" s="2" t="s">
        <v>479</v>
      </c>
      <c r="C7" s="2" t="s">
        <v>480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4" t="s">
        <v>481</v>
      </c>
      <c r="B8" s="2" t="s">
        <v>482</v>
      </c>
      <c r="C8" s="2" t="s">
        <v>483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4" t="s">
        <v>484</v>
      </c>
      <c r="B9" s="2" t="s">
        <v>485</v>
      </c>
      <c r="C9" s="2" t="s">
        <v>486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4" t="s">
        <v>487</v>
      </c>
      <c r="B10" s="2" t="s">
        <v>488</v>
      </c>
      <c r="C10" s="2" t="s">
        <v>489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4" t="s">
        <v>490</v>
      </c>
      <c r="B11" s="2" t="s">
        <v>491</v>
      </c>
      <c r="C11" s="2" t="s">
        <v>492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4" t="s">
        <v>493</v>
      </c>
      <c r="B12" s="2" t="s">
        <v>494</v>
      </c>
      <c r="C12" s="2" t="s">
        <v>495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4" t="s">
        <v>496</v>
      </c>
      <c r="B13" s="2" t="s">
        <v>497</v>
      </c>
      <c r="C13" s="2" t="s">
        <v>498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4" t="s">
        <v>499</v>
      </c>
      <c r="B14" s="2" t="s">
        <v>500</v>
      </c>
      <c r="C14" s="2" t="s">
        <v>501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4" t="s">
        <v>502</v>
      </c>
      <c r="B15" s="2" t="s">
        <v>503</v>
      </c>
      <c r="C15" s="2" t="s">
        <v>504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4" t="s">
        <v>505</v>
      </c>
      <c r="B16" s="2" t="s">
        <v>506</v>
      </c>
      <c r="C16" s="2" t="s">
        <v>507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4" t="s">
        <v>508</v>
      </c>
      <c r="B17" s="2" t="s">
        <v>509</v>
      </c>
      <c r="C17" s="2" t="s">
        <v>510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4" t="s">
        <v>511</v>
      </c>
      <c r="B18" s="2" t="s">
        <v>512</v>
      </c>
      <c r="C18" s="2" t="s">
        <v>513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4" t="s">
        <v>514</v>
      </c>
      <c r="B19" s="2" t="s">
        <v>515</v>
      </c>
      <c r="C19" s="2" t="s">
        <v>492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4" t="s">
        <v>516</v>
      </c>
      <c r="B20" s="2" t="s">
        <v>517</v>
      </c>
      <c r="C20" s="2" t="s">
        <v>518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4" t="s">
        <v>519</v>
      </c>
      <c r="B21" s="2" t="s">
        <v>520</v>
      </c>
      <c r="C21" s="2" t="s">
        <v>521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4" t="s">
        <v>522</v>
      </c>
      <c r="B22" s="2" t="s">
        <v>523</v>
      </c>
      <c r="C22" s="2" t="s">
        <v>524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4" t="s">
        <v>525</v>
      </c>
      <c r="B23" s="2" t="s">
        <v>526</v>
      </c>
      <c r="C23" s="2" t="s">
        <v>527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4" t="s">
        <v>528</v>
      </c>
      <c r="B24" s="2" t="s">
        <v>529</v>
      </c>
      <c r="C24" s="2" t="s">
        <v>530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4" t="s">
        <v>531</v>
      </c>
      <c r="B25" s="2" t="s">
        <v>532</v>
      </c>
      <c r="C25" s="2" t="s">
        <v>533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4" t="s">
        <v>534</v>
      </c>
      <c r="B26" s="2" t="s">
        <v>535</v>
      </c>
      <c r="C26" s="2" t="s">
        <v>536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4" t="s">
        <v>537</v>
      </c>
      <c r="B27" s="2" t="s">
        <v>538</v>
      </c>
      <c r="C27" s="2" t="s">
        <v>539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4" t="s">
        <v>540</v>
      </c>
      <c r="B28" s="2" t="s">
        <v>506</v>
      </c>
      <c r="C28" s="2" t="s">
        <v>541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4" t="s">
        <v>542</v>
      </c>
      <c r="B29" s="2" t="s">
        <v>543</v>
      </c>
      <c r="C29" s="2" t="s">
        <v>544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4" t="s">
        <v>545</v>
      </c>
      <c r="B30" s="2" t="s">
        <v>546</v>
      </c>
      <c r="C30" s="2" t="s">
        <v>547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4" t="s">
        <v>548</v>
      </c>
      <c r="B31" s="2" t="s">
        <v>549</v>
      </c>
      <c r="C31" s="2" t="s">
        <v>550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4" t="s">
        <v>551</v>
      </c>
      <c r="B32" s="2" t="s">
        <v>552</v>
      </c>
      <c r="C32" s="2" t="s">
        <v>553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4" t="s">
        <v>554</v>
      </c>
      <c r="B33" s="2" t="s">
        <v>555</v>
      </c>
      <c r="C33" s="2" t="s">
        <v>556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4" t="s">
        <v>557</v>
      </c>
      <c r="B34" s="2" t="s">
        <v>558</v>
      </c>
      <c r="C34" s="2" t="s">
        <v>559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4" t="s">
        <v>560</v>
      </c>
      <c r="B35" s="2" t="s">
        <v>561</v>
      </c>
      <c r="C35" s="2" t="s">
        <v>562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4" t="s">
        <v>563</v>
      </c>
      <c r="B36" s="2" t="s">
        <v>564</v>
      </c>
      <c r="C36" s="2" t="s">
        <v>565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4" t="s">
        <v>566</v>
      </c>
      <c r="B37" s="2" t="s">
        <v>567</v>
      </c>
      <c r="C37" s="2" t="s">
        <v>568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4" t="s">
        <v>569</v>
      </c>
      <c r="B38" s="2" t="s">
        <v>570</v>
      </c>
      <c r="C38" s="2" t="s">
        <v>571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4" t="s">
        <v>572</v>
      </c>
      <c r="B39" s="2" t="s">
        <v>573</v>
      </c>
      <c r="C39" s="2" t="s">
        <v>574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4" t="s">
        <v>575</v>
      </c>
      <c r="B40" s="2" t="s">
        <v>576</v>
      </c>
      <c r="C40" s="2" t="s">
        <v>577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4" t="s">
        <v>578</v>
      </c>
      <c r="B41" s="2" t="s">
        <v>579</v>
      </c>
      <c r="C41" s="2" t="s">
        <v>580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4" t="s">
        <v>581</v>
      </c>
      <c r="B42" s="2" t="s">
        <v>582</v>
      </c>
      <c r="C42" s="2" t="s">
        <v>583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4" t="s">
        <v>584</v>
      </c>
      <c r="B43" s="2" t="s">
        <v>585</v>
      </c>
      <c r="C43" s="2" t="s">
        <v>586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4" t="s">
        <v>587</v>
      </c>
      <c r="B44" s="2" t="s">
        <v>588</v>
      </c>
      <c r="C44" s="2" t="s">
        <v>589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4" t="s">
        <v>590</v>
      </c>
      <c r="B45" s="2" t="s">
        <v>591</v>
      </c>
      <c r="C45" s="2" t="s">
        <v>592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4" t="s">
        <v>593</v>
      </c>
      <c r="B46" s="2" t="s">
        <v>594</v>
      </c>
      <c r="C46" s="2" t="s">
        <v>595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4" t="s">
        <v>596</v>
      </c>
      <c r="B47" s="2" t="s">
        <v>597</v>
      </c>
      <c r="C47" s="2" t="s">
        <v>598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4" t="s">
        <v>599</v>
      </c>
      <c r="B48" s="2" t="s">
        <v>600</v>
      </c>
      <c r="C48" s="2" t="s">
        <v>601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4" t="s">
        <v>602</v>
      </c>
      <c r="B49" s="2" t="s">
        <v>603</v>
      </c>
      <c r="C49" s="2" t="s">
        <v>604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4" t="s">
        <v>605</v>
      </c>
      <c r="B50" s="2" t="s">
        <v>606</v>
      </c>
      <c r="C50" s="2" t="s">
        <v>607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4" t="s">
        <v>608</v>
      </c>
      <c r="B51" s="2" t="s">
        <v>609</v>
      </c>
      <c r="C51" s="2" t="s">
        <v>610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4" t="s">
        <v>611</v>
      </c>
      <c r="B52" s="2" t="s">
        <v>612</v>
      </c>
      <c r="C52" s="2" t="s">
        <v>613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4" t="s">
        <v>614</v>
      </c>
      <c r="B53" s="2" t="s">
        <v>615</v>
      </c>
      <c r="C53" s="2" t="s">
        <v>616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4" t="s">
        <v>617</v>
      </c>
      <c r="B54" s="2" t="s">
        <v>618</v>
      </c>
      <c r="C54" s="2" t="s">
        <v>619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4" t="s">
        <v>620</v>
      </c>
      <c r="B55" s="2" t="s">
        <v>621</v>
      </c>
      <c r="C55" s="2" t="s">
        <v>622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4" t="s">
        <v>623</v>
      </c>
      <c r="B56" s="2" t="s">
        <v>624</v>
      </c>
      <c r="C56" s="2" t="s">
        <v>625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4" t="s">
        <v>626</v>
      </c>
      <c r="B57" s="2" t="s">
        <v>627</v>
      </c>
      <c r="C57" s="2" t="s">
        <v>628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4" t="s">
        <v>629</v>
      </c>
      <c r="B58" s="2" t="s">
        <v>630</v>
      </c>
      <c r="C58" s="2" t="s">
        <v>631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4" t="s">
        <v>632</v>
      </c>
      <c r="B59" s="2" t="s">
        <v>532</v>
      </c>
      <c r="C59" s="2" t="s">
        <v>633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4" t="s">
        <v>634</v>
      </c>
      <c r="B60" s="2" t="s">
        <v>635</v>
      </c>
      <c r="C60" s="2" t="s">
        <v>636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4" t="s">
        <v>637</v>
      </c>
      <c r="B61" s="2" t="s">
        <v>638</v>
      </c>
      <c r="C61" s="2" t="s">
        <v>639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4" t="s">
        <v>640</v>
      </c>
      <c r="B62" s="2" t="s">
        <v>641</v>
      </c>
      <c r="C62" s="2" t="s">
        <v>642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4" t="s">
        <v>643</v>
      </c>
      <c r="B63" s="2" t="s">
        <v>644</v>
      </c>
      <c r="C63" s="2" t="s">
        <v>645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4" t="s">
        <v>646</v>
      </c>
      <c r="B64" s="2" t="s">
        <v>647</v>
      </c>
      <c r="C64" s="2" t="s">
        <v>648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4" t="s">
        <v>649</v>
      </c>
      <c r="B65" s="2" t="s">
        <v>650</v>
      </c>
      <c r="C65" s="2" t="s">
        <v>651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4" t="s">
        <v>652</v>
      </c>
      <c r="B66" s="2" t="s">
        <v>653</v>
      </c>
      <c r="C66" s="2" t="s">
        <v>654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4" t="s">
        <v>655</v>
      </c>
      <c r="B67" s="2" t="s">
        <v>656</v>
      </c>
      <c r="C67" s="2" t="s">
        <v>657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4" t="s">
        <v>658</v>
      </c>
      <c r="B68" s="2" t="s">
        <v>659</v>
      </c>
      <c r="C68" s="2" t="s">
        <v>660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4" t="s">
        <v>661</v>
      </c>
      <c r="B69" s="2" t="s">
        <v>662</v>
      </c>
      <c r="C69" s="2" t="s">
        <v>663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4" t="s">
        <v>664</v>
      </c>
      <c r="B70" s="2" t="s">
        <v>665</v>
      </c>
      <c r="C70" s="2" t="s">
        <v>666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4" t="s">
        <v>667</v>
      </c>
      <c r="B71" s="2" t="s">
        <v>668</v>
      </c>
      <c r="C71" s="2" t="s">
        <v>669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4" t="s">
        <v>670</v>
      </c>
      <c r="B72" s="2" t="s">
        <v>671</v>
      </c>
      <c r="C72" s="2" t="s">
        <v>672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4" t="s">
        <v>673</v>
      </c>
      <c r="B73" s="2" t="s">
        <v>674</v>
      </c>
      <c r="C73" s="2" t="s">
        <v>675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4" t="s">
        <v>676</v>
      </c>
      <c r="B74" s="2" t="s">
        <v>677</v>
      </c>
      <c r="C74" s="2" t="s">
        <v>678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4" t="s">
        <v>679</v>
      </c>
      <c r="B75" s="2" t="s">
        <v>680</v>
      </c>
      <c r="C75" s="2" t="s">
        <v>681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4" t="s">
        <v>682</v>
      </c>
      <c r="B76" s="2" t="s">
        <v>683</v>
      </c>
      <c r="C76" s="2" t="s">
        <v>684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4" t="s">
        <v>685</v>
      </c>
      <c r="B77" s="2" t="s">
        <v>686</v>
      </c>
      <c r="C77" s="2" t="s">
        <v>687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4" t="s">
        <v>688</v>
      </c>
      <c r="B78" s="2" t="s">
        <v>689</v>
      </c>
      <c r="C78" s="2" t="s">
        <v>690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4" t="s">
        <v>691</v>
      </c>
      <c r="B79" s="2" t="s">
        <v>692</v>
      </c>
      <c r="C79" s="2" t="s">
        <v>693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4" t="s">
        <v>694</v>
      </c>
      <c r="B80" s="2" t="s">
        <v>695</v>
      </c>
      <c r="C80" s="2" t="s">
        <v>696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4" t="s">
        <v>697</v>
      </c>
      <c r="B81" s="2" t="s">
        <v>698</v>
      </c>
      <c r="C81" s="2" t="s">
        <v>699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4" t="s">
        <v>700</v>
      </c>
      <c r="B82" s="2" t="s">
        <v>701</v>
      </c>
      <c r="C82" s="2" t="s">
        <v>702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4" t="s">
        <v>703</v>
      </c>
      <c r="B83" s="2" t="s">
        <v>704</v>
      </c>
      <c r="C83" s="2" t="s">
        <v>705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4" t="s">
        <v>706</v>
      </c>
      <c r="B84" s="2" t="s">
        <v>707</v>
      </c>
      <c r="C84" s="2" t="s">
        <v>708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4" t="s">
        <v>709</v>
      </c>
      <c r="B85" s="2" t="s">
        <v>710</v>
      </c>
      <c r="C85" s="2" t="s">
        <v>711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4" t="s">
        <v>712</v>
      </c>
      <c r="B86" s="2" t="s">
        <v>713</v>
      </c>
      <c r="C86" s="2" t="s">
        <v>714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4" t="s">
        <v>715</v>
      </c>
      <c r="B87" s="2" t="s">
        <v>716</v>
      </c>
      <c r="C87" s="2" t="s">
        <v>717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4" t="s">
        <v>718</v>
      </c>
      <c r="B88" s="2" t="s">
        <v>719</v>
      </c>
      <c r="C88" s="2" t="s">
        <v>720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4" t="s">
        <v>721</v>
      </c>
      <c r="B89" s="2" t="s">
        <v>722</v>
      </c>
      <c r="C89" s="2" t="s">
        <v>723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4" t="s">
        <v>724</v>
      </c>
      <c r="B90" s="2" t="s">
        <v>725</v>
      </c>
      <c r="C90" s="2" t="s">
        <v>726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4" t="s">
        <v>727</v>
      </c>
      <c r="B91" s="2" t="s">
        <v>728</v>
      </c>
      <c r="C91" s="2" t="s">
        <v>729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4" t="s">
        <v>730</v>
      </c>
      <c r="B92" s="2" t="s">
        <v>731</v>
      </c>
      <c r="C92" s="2" t="s">
        <v>732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4" t="s">
        <v>733</v>
      </c>
      <c r="B93" s="2" t="s">
        <v>734</v>
      </c>
      <c r="C93" s="2" t="s">
        <v>735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4" t="s">
        <v>736</v>
      </c>
      <c r="B94" s="2" t="s">
        <v>737</v>
      </c>
      <c r="C94" s="2" t="s">
        <v>738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4" t="s">
        <v>739</v>
      </c>
      <c r="B95" s="2" t="s">
        <v>740</v>
      </c>
      <c r="C95" s="2" t="s">
        <v>741</v>
      </c>
      <c r="D95" s="5">
        <v>52</v>
      </c>
      <c r="E95" s="2"/>
      <c r="F95" s="2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2" t="s">
        <v>741</v>
      </c>
      <c r="O95" s="2" t="s">
        <v>741</v>
      </c>
      <c r="P95" s="2" t="s">
        <v>741</v>
      </c>
      <c r="Q95" s="2" t="s">
        <v>741</v>
      </c>
    </row>
    <row r="96" spans="1:17" x14ac:dyDescent="0.3">
      <c r="A96" s="4" t="s">
        <v>742</v>
      </c>
      <c r="B96" s="2" t="s">
        <v>743</v>
      </c>
      <c r="C96" s="2" t="s">
        <v>744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4" t="s">
        <v>745</v>
      </c>
      <c r="B97" s="2" t="s">
        <v>746</v>
      </c>
      <c r="C97" s="2" t="s">
        <v>747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4" t="s">
        <v>748</v>
      </c>
      <c r="B98" s="2" t="s">
        <v>749</v>
      </c>
      <c r="C98" s="2" t="s">
        <v>750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4" t="s">
        <v>751</v>
      </c>
      <c r="B99" s="2" t="s">
        <v>752</v>
      </c>
      <c r="C99" s="2" t="s">
        <v>753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4" t="s">
        <v>754</v>
      </c>
      <c r="B100" s="2" t="s">
        <v>627</v>
      </c>
      <c r="C100" s="2" t="s">
        <v>755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4" t="s">
        <v>756</v>
      </c>
      <c r="B101" s="2" t="s">
        <v>757</v>
      </c>
      <c r="C101" s="2" t="s">
        <v>758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4" t="s">
        <v>759</v>
      </c>
      <c r="B102" s="2" t="s">
        <v>760</v>
      </c>
      <c r="C102" s="2" t="s">
        <v>761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4" t="s">
        <v>762</v>
      </c>
      <c r="B103" s="2" t="s">
        <v>763</v>
      </c>
      <c r="C103" s="2" t="s">
        <v>764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4" t="s">
        <v>765</v>
      </c>
      <c r="B104" s="2" t="s">
        <v>766</v>
      </c>
      <c r="C104" s="2" t="s">
        <v>767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4" t="s">
        <v>768</v>
      </c>
      <c r="B105" s="2" t="s">
        <v>769</v>
      </c>
      <c r="C105" s="2" t="s">
        <v>770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4" t="s">
        <v>771</v>
      </c>
      <c r="B106" s="2" t="s">
        <v>772</v>
      </c>
      <c r="C106" s="2" t="s">
        <v>773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4" t="s">
        <v>774</v>
      </c>
      <c r="B107" s="2" t="s">
        <v>775</v>
      </c>
      <c r="C107" s="2"/>
      <c r="D107" s="5">
        <v>64</v>
      </c>
      <c r="E107" s="2"/>
      <c r="F107" s="2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2" t="s">
        <v>741</v>
      </c>
      <c r="O107" s="2" t="s">
        <v>741</v>
      </c>
      <c r="P107" s="2" t="s">
        <v>741</v>
      </c>
      <c r="Q107" s="2" t="s">
        <v>741</v>
      </c>
    </row>
    <row r="108" spans="1:17" x14ac:dyDescent="0.3">
      <c r="A108" s="4" t="s">
        <v>776</v>
      </c>
      <c r="B108" s="2" t="s">
        <v>464</v>
      </c>
      <c r="C108" s="2" t="s">
        <v>777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4" t="s">
        <v>778</v>
      </c>
      <c r="B109" s="2" t="s">
        <v>779</v>
      </c>
      <c r="C109" s="2" t="s">
        <v>780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4" t="s">
        <v>781</v>
      </c>
      <c r="B110" s="2" t="s">
        <v>782</v>
      </c>
      <c r="C110" s="2" t="s">
        <v>783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4" t="s">
        <v>784</v>
      </c>
      <c r="B111" s="2" t="s">
        <v>785</v>
      </c>
      <c r="C111" s="2" t="s">
        <v>786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4" t="s">
        <v>787</v>
      </c>
      <c r="B112" s="2" t="s">
        <v>788</v>
      </c>
      <c r="C112" s="2" t="s">
        <v>789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4" t="s">
        <v>790</v>
      </c>
      <c r="B113" s="2" t="s">
        <v>791</v>
      </c>
      <c r="C113" s="2" t="s">
        <v>792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4" t="s">
        <v>793</v>
      </c>
      <c r="B114" s="2" t="s">
        <v>794</v>
      </c>
      <c r="C114" s="2" t="s">
        <v>795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4" t="s">
        <v>796</v>
      </c>
      <c r="B115" s="2" t="s">
        <v>797</v>
      </c>
      <c r="C115" s="2" t="s">
        <v>798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4" t="s">
        <v>799</v>
      </c>
      <c r="B116" s="2" t="s">
        <v>647</v>
      </c>
      <c r="C116" s="2" t="s">
        <v>800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4" t="s">
        <v>801</v>
      </c>
      <c r="B117" s="2" t="s">
        <v>802</v>
      </c>
      <c r="C117" s="2" t="s">
        <v>803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4" t="s">
        <v>804</v>
      </c>
      <c r="B118" s="2" t="s">
        <v>805</v>
      </c>
      <c r="C118" s="2" t="s">
        <v>806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4" t="s">
        <v>807</v>
      </c>
      <c r="B119" s="2" t="s">
        <v>808</v>
      </c>
      <c r="C119" s="2" t="s">
        <v>809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4" t="s">
        <v>810</v>
      </c>
      <c r="B120" s="2" t="s">
        <v>811</v>
      </c>
      <c r="C120" s="2" t="s">
        <v>812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4" t="s">
        <v>813</v>
      </c>
      <c r="B121" s="2" t="s">
        <v>814</v>
      </c>
      <c r="C121" s="2" t="s">
        <v>815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4" t="s">
        <v>816</v>
      </c>
      <c r="B122" s="2" t="s">
        <v>817</v>
      </c>
      <c r="C122" s="2" t="s">
        <v>818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4" t="s">
        <v>819</v>
      </c>
      <c r="B123" s="2" t="s">
        <v>820</v>
      </c>
      <c r="C123" s="2" t="s">
        <v>821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4" t="s">
        <v>822</v>
      </c>
      <c r="B124" s="2" t="s">
        <v>823</v>
      </c>
      <c r="C124" s="2" t="s">
        <v>824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4" t="s">
        <v>825</v>
      </c>
      <c r="B125" s="2" t="s">
        <v>826</v>
      </c>
      <c r="C125" s="2" t="s">
        <v>827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4" t="s">
        <v>828</v>
      </c>
      <c r="B126" s="2" t="s">
        <v>829</v>
      </c>
      <c r="C126" s="2" t="s">
        <v>830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4" t="s">
        <v>831</v>
      </c>
      <c r="B127" s="2" t="s">
        <v>832</v>
      </c>
      <c r="C127" s="2" t="s">
        <v>833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4" t="s">
        <v>834</v>
      </c>
      <c r="B128" s="2" t="s">
        <v>835</v>
      </c>
      <c r="C128" s="2" t="s">
        <v>836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4" t="s">
        <v>837</v>
      </c>
      <c r="B129" s="2" t="s">
        <v>838</v>
      </c>
      <c r="C129" s="2" t="s">
        <v>839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4" t="s">
        <v>840</v>
      </c>
      <c r="B130" s="2" t="s">
        <v>467</v>
      </c>
      <c r="C130" s="2" t="s">
        <v>841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4" t="s">
        <v>842</v>
      </c>
      <c r="B131" s="2" t="s">
        <v>843</v>
      </c>
      <c r="C131" s="2" t="s">
        <v>844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4" t="s">
        <v>845</v>
      </c>
      <c r="B132" s="2" t="s">
        <v>846</v>
      </c>
      <c r="C132" s="2" t="s">
        <v>847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4" t="s">
        <v>848</v>
      </c>
      <c r="B133" s="2" t="s">
        <v>570</v>
      </c>
      <c r="C133" s="2" t="s">
        <v>849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4" t="s">
        <v>850</v>
      </c>
      <c r="B134" s="2" t="s">
        <v>851</v>
      </c>
      <c r="C134" s="2" t="s">
        <v>852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4" t="s">
        <v>853</v>
      </c>
      <c r="B135" s="2" t="s">
        <v>854</v>
      </c>
      <c r="C135" s="2" t="s">
        <v>855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4" t="s">
        <v>856</v>
      </c>
      <c r="B136" s="2" t="s">
        <v>857</v>
      </c>
      <c r="C136" s="2" t="s">
        <v>858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4" t="s">
        <v>859</v>
      </c>
      <c r="B137" s="2" t="s">
        <v>860</v>
      </c>
      <c r="C137" s="2" t="s">
        <v>861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4" t="s">
        <v>862</v>
      </c>
      <c r="B138" s="2" t="s">
        <v>863</v>
      </c>
      <c r="C138" s="2" t="s">
        <v>864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4" t="s">
        <v>865</v>
      </c>
      <c r="B139" s="2" t="s">
        <v>866</v>
      </c>
      <c r="C139" s="2" t="s">
        <v>867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4" t="s">
        <v>868</v>
      </c>
      <c r="B140" s="2" t="s">
        <v>869</v>
      </c>
      <c r="C140" s="2" t="s">
        <v>870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4" t="s">
        <v>871</v>
      </c>
      <c r="B141" s="2" t="s">
        <v>872</v>
      </c>
      <c r="C141" s="2" t="s">
        <v>873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4" t="s">
        <v>874</v>
      </c>
      <c r="B142" s="2" t="s">
        <v>875</v>
      </c>
      <c r="C142" s="2" t="s">
        <v>876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4" t="s">
        <v>877</v>
      </c>
      <c r="B143" s="2" t="s">
        <v>878</v>
      </c>
      <c r="C143" s="2" t="s">
        <v>879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4" t="s">
        <v>880</v>
      </c>
      <c r="B144" s="2" t="s">
        <v>881</v>
      </c>
      <c r="C144" s="2" t="s">
        <v>882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4" t="s">
        <v>883</v>
      </c>
      <c r="B145" s="2" t="s">
        <v>884</v>
      </c>
      <c r="C145" s="2" t="s">
        <v>885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4" t="s">
        <v>886</v>
      </c>
      <c r="B146" s="2" t="s">
        <v>887</v>
      </c>
      <c r="C146" s="2" t="s">
        <v>888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4" t="s">
        <v>889</v>
      </c>
      <c r="B147" s="2" t="s">
        <v>890</v>
      </c>
      <c r="C147" s="2" t="s">
        <v>891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4" t="s">
        <v>892</v>
      </c>
      <c r="B148" s="2" t="s">
        <v>893</v>
      </c>
      <c r="C148" s="2" t="s">
        <v>894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4" t="s">
        <v>895</v>
      </c>
      <c r="B149" s="2" t="s">
        <v>896</v>
      </c>
      <c r="C149" s="2" t="s">
        <v>897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4" t="s">
        <v>898</v>
      </c>
      <c r="B150" s="2" t="s">
        <v>899</v>
      </c>
      <c r="C150" s="2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7C7CA-810A-487C-9BBF-99151BB0B39D}">
  <sheetPr codeName="Sheet3"/>
  <dimension ref="A1:J150"/>
  <sheetViews>
    <sheetView workbookViewId="0">
      <selection activeCell="E17" sqref="E17"/>
    </sheetView>
  </sheetViews>
  <sheetFormatPr defaultRowHeight="14.4" x14ac:dyDescent="0.3"/>
  <cols>
    <col min="1" max="1" width="31.44140625" bestFit="1" customWidth="1"/>
    <col min="2" max="10" width="14" customWidth="1"/>
  </cols>
  <sheetData>
    <row r="1" spans="1:10" ht="52.8" x14ac:dyDescent="0.3">
      <c r="A1" s="3" t="s">
        <v>446</v>
      </c>
      <c r="B1" s="3" t="s">
        <v>449</v>
      </c>
      <c r="C1" s="3" t="s">
        <v>901</v>
      </c>
      <c r="D1" s="3" t="s">
        <v>902</v>
      </c>
      <c r="E1" s="3" t="s">
        <v>903</v>
      </c>
      <c r="F1" s="3" t="s">
        <v>904</v>
      </c>
      <c r="G1" s="3" t="s">
        <v>905</v>
      </c>
      <c r="H1" s="3" t="s">
        <v>906</v>
      </c>
      <c r="I1" s="3" t="s">
        <v>907</v>
      </c>
      <c r="J1" s="3" t="s">
        <v>908</v>
      </c>
    </row>
    <row r="2" spans="1:10" x14ac:dyDescent="0.3">
      <c r="A2" s="4" t="s">
        <v>463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2" t="s">
        <v>909</v>
      </c>
      <c r="I2" s="2" t="s">
        <v>910</v>
      </c>
      <c r="J2" s="2" t="s">
        <v>911</v>
      </c>
    </row>
    <row r="3" spans="1:10" x14ac:dyDescent="0.3">
      <c r="A3" s="4" t="s">
        <v>466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2" t="s">
        <v>909</v>
      </c>
      <c r="I3" s="2" t="s">
        <v>910</v>
      </c>
      <c r="J3" s="2" t="s">
        <v>911</v>
      </c>
    </row>
    <row r="4" spans="1:10" x14ac:dyDescent="0.3">
      <c r="A4" s="4" t="s">
        <v>469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2" t="s">
        <v>912</v>
      </c>
      <c r="I4" s="2" t="s">
        <v>10</v>
      </c>
      <c r="J4" s="2" t="s">
        <v>913</v>
      </c>
    </row>
    <row r="5" spans="1:10" x14ac:dyDescent="0.3">
      <c r="A5" s="4" t="s">
        <v>472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2" t="s">
        <v>912</v>
      </c>
      <c r="I5" s="2" t="s">
        <v>10</v>
      </c>
      <c r="J5" s="2" t="s">
        <v>913</v>
      </c>
    </row>
    <row r="6" spans="1:10" x14ac:dyDescent="0.3">
      <c r="A6" s="4" t="s">
        <v>475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2" t="s">
        <v>914</v>
      </c>
      <c r="I6" s="2" t="s">
        <v>915</v>
      </c>
      <c r="J6" s="2" t="s">
        <v>916</v>
      </c>
    </row>
    <row r="7" spans="1:10" x14ac:dyDescent="0.3">
      <c r="A7" s="4" t="s">
        <v>478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2" t="s">
        <v>914</v>
      </c>
      <c r="I7" s="2" t="s">
        <v>915</v>
      </c>
      <c r="J7" s="2" t="s">
        <v>916</v>
      </c>
    </row>
    <row r="8" spans="1:10" x14ac:dyDescent="0.3">
      <c r="A8" s="4" t="s">
        <v>481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2" t="s">
        <v>917</v>
      </c>
      <c r="I8" s="2" t="s">
        <v>10</v>
      </c>
      <c r="J8" s="2" t="s">
        <v>918</v>
      </c>
    </row>
    <row r="9" spans="1:10" x14ac:dyDescent="0.3">
      <c r="A9" s="4" t="s">
        <v>484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2" t="s">
        <v>917</v>
      </c>
      <c r="I9" s="2" t="s">
        <v>10</v>
      </c>
      <c r="J9" s="2" t="s">
        <v>918</v>
      </c>
    </row>
    <row r="10" spans="1:10" x14ac:dyDescent="0.3">
      <c r="A10" s="4" t="s">
        <v>487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2" t="s">
        <v>919</v>
      </c>
      <c r="I10" s="2" t="s">
        <v>920</v>
      </c>
      <c r="J10" s="2" t="s">
        <v>921</v>
      </c>
    </row>
    <row r="11" spans="1:10" x14ac:dyDescent="0.3">
      <c r="A11" s="4" t="s">
        <v>490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2" t="s">
        <v>919</v>
      </c>
      <c r="I11" s="2" t="s">
        <v>920</v>
      </c>
      <c r="J11" s="2" t="s">
        <v>921</v>
      </c>
    </row>
    <row r="12" spans="1:10" x14ac:dyDescent="0.3">
      <c r="A12" s="4" t="s">
        <v>493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2" t="s">
        <v>922</v>
      </c>
      <c r="I12" s="2" t="s">
        <v>923</v>
      </c>
      <c r="J12" s="2" t="s">
        <v>924</v>
      </c>
    </row>
    <row r="13" spans="1:10" x14ac:dyDescent="0.3">
      <c r="A13" s="4" t="s">
        <v>496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2" t="s">
        <v>922</v>
      </c>
      <c r="I13" s="2" t="s">
        <v>923</v>
      </c>
      <c r="J13" s="2" t="s">
        <v>924</v>
      </c>
    </row>
    <row r="14" spans="1:10" x14ac:dyDescent="0.3">
      <c r="A14" s="4" t="s">
        <v>499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2" t="s">
        <v>925</v>
      </c>
      <c r="I14" s="2" t="s">
        <v>10</v>
      </c>
      <c r="J14" s="2" t="s">
        <v>926</v>
      </c>
    </row>
    <row r="15" spans="1:10" x14ac:dyDescent="0.3">
      <c r="A15" s="4" t="s">
        <v>502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2" t="s">
        <v>925</v>
      </c>
      <c r="I15" s="2" t="s">
        <v>10</v>
      </c>
      <c r="J15" s="2" t="s">
        <v>926</v>
      </c>
    </row>
    <row r="16" spans="1:10" x14ac:dyDescent="0.3">
      <c r="A16" s="4" t="s">
        <v>505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2" t="s">
        <v>922</v>
      </c>
      <c r="I16" s="2" t="s">
        <v>927</v>
      </c>
      <c r="J16" s="2" t="s">
        <v>928</v>
      </c>
    </row>
    <row r="17" spans="1:10" x14ac:dyDescent="0.3">
      <c r="A17" s="4" t="s">
        <v>508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2" t="s">
        <v>922</v>
      </c>
      <c r="I17" s="2" t="s">
        <v>927</v>
      </c>
      <c r="J17" s="2" t="s">
        <v>928</v>
      </c>
    </row>
    <row r="18" spans="1:10" x14ac:dyDescent="0.3">
      <c r="A18" s="4" t="s">
        <v>511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2" t="s">
        <v>929</v>
      </c>
      <c r="I18" s="2" t="s">
        <v>926</v>
      </c>
      <c r="J18" s="2" t="s">
        <v>913</v>
      </c>
    </row>
    <row r="19" spans="1:10" x14ac:dyDescent="0.3">
      <c r="A19" s="4" t="s">
        <v>514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2" t="s">
        <v>929</v>
      </c>
      <c r="I19" s="2" t="s">
        <v>926</v>
      </c>
      <c r="J19" s="2" t="s">
        <v>913</v>
      </c>
    </row>
    <row r="20" spans="1:10" x14ac:dyDescent="0.3">
      <c r="A20" s="4" t="s">
        <v>516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2" t="s">
        <v>930</v>
      </c>
      <c r="I20" s="2" t="s">
        <v>910</v>
      </c>
      <c r="J20" s="2" t="s">
        <v>926</v>
      </c>
    </row>
    <row r="21" spans="1:10" x14ac:dyDescent="0.3">
      <c r="A21" s="4" t="s">
        <v>519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2" t="s">
        <v>930</v>
      </c>
      <c r="I21" s="2" t="s">
        <v>910</v>
      </c>
      <c r="J21" s="2" t="s">
        <v>926</v>
      </c>
    </row>
    <row r="22" spans="1:10" x14ac:dyDescent="0.3">
      <c r="A22" s="4" t="s">
        <v>522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2" t="s">
        <v>931</v>
      </c>
      <c r="I22" s="2" t="s">
        <v>932</v>
      </c>
      <c r="J22" s="2" t="s">
        <v>911</v>
      </c>
    </row>
    <row r="23" spans="1:10" x14ac:dyDescent="0.3">
      <c r="A23" s="4" t="s">
        <v>525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2" t="s">
        <v>931</v>
      </c>
      <c r="I23" s="2" t="s">
        <v>932</v>
      </c>
      <c r="J23" s="2" t="s">
        <v>911</v>
      </c>
    </row>
    <row r="24" spans="1:10" x14ac:dyDescent="0.3">
      <c r="A24" s="4" t="s">
        <v>528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2" t="s">
        <v>933</v>
      </c>
      <c r="I24" s="2" t="s">
        <v>10</v>
      </c>
      <c r="J24" s="2" t="s">
        <v>934</v>
      </c>
    </row>
    <row r="25" spans="1:10" x14ac:dyDescent="0.3">
      <c r="A25" s="4" t="s">
        <v>531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2" t="s">
        <v>933</v>
      </c>
      <c r="I25" s="2" t="s">
        <v>10</v>
      </c>
      <c r="J25" s="2" t="s">
        <v>934</v>
      </c>
    </row>
    <row r="26" spans="1:10" x14ac:dyDescent="0.3">
      <c r="A26" s="4" t="s">
        <v>534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2" t="s">
        <v>933</v>
      </c>
      <c r="I26" s="2" t="s">
        <v>910</v>
      </c>
      <c r="J26" s="2" t="s">
        <v>935</v>
      </c>
    </row>
    <row r="27" spans="1:10" x14ac:dyDescent="0.3">
      <c r="A27" s="4" t="s">
        <v>537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2" t="s">
        <v>933</v>
      </c>
      <c r="I27" s="2" t="s">
        <v>910</v>
      </c>
      <c r="J27" s="2" t="s">
        <v>935</v>
      </c>
    </row>
    <row r="28" spans="1:10" x14ac:dyDescent="0.3">
      <c r="A28" s="4" t="s">
        <v>540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2" t="s">
        <v>925</v>
      </c>
      <c r="I28" s="2" t="s">
        <v>936</v>
      </c>
      <c r="J28" s="2" t="s">
        <v>937</v>
      </c>
    </row>
    <row r="29" spans="1:10" x14ac:dyDescent="0.3">
      <c r="A29" s="4" t="s">
        <v>542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2" t="s">
        <v>925</v>
      </c>
      <c r="I29" s="2" t="s">
        <v>936</v>
      </c>
      <c r="J29" s="2" t="s">
        <v>937</v>
      </c>
    </row>
    <row r="30" spans="1:10" x14ac:dyDescent="0.3">
      <c r="A30" s="4" t="s">
        <v>545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2" t="s">
        <v>925</v>
      </c>
      <c r="I30" s="2" t="s">
        <v>938</v>
      </c>
      <c r="J30" s="2" t="s">
        <v>918</v>
      </c>
    </row>
    <row r="31" spans="1:10" x14ac:dyDescent="0.3">
      <c r="A31" s="4" t="s">
        <v>548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2" t="s">
        <v>925</v>
      </c>
      <c r="I31" s="2" t="s">
        <v>938</v>
      </c>
      <c r="J31" s="2" t="s">
        <v>918</v>
      </c>
    </row>
    <row r="32" spans="1:10" x14ac:dyDescent="0.3">
      <c r="A32" s="4" t="s">
        <v>551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2" t="s">
        <v>909</v>
      </c>
      <c r="I32" s="2" t="s">
        <v>283</v>
      </c>
      <c r="J32" s="2" t="s">
        <v>911</v>
      </c>
    </row>
    <row r="33" spans="1:10" x14ac:dyDescent="0.3">
      <c r="A33" s="4" t="s">
        <v>554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2" t="s">
        <v>909</v>
      </c>
      <c r="I33" s="2" t="s">
        <v>283</v>
      </c>
      <c r="J33" s="2" t="s">
        <v>911</v>
      </c>
    </row>
    <row r="34" spans="1:10" x14ac:dyDescent="0.3">
      <c r="A34" s="4" t="s">
        <v>557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2" t="s">
        <v>939</v>
      </c>
      <c r="I34" s="2" t="s">
        <v>10</v>
      </c>
      <c r="J34" s="2" t="s">
        <v>940</v>
      </c>
    </row>
    <row r="35" spans="1:10" x14ac:dyDescent="0.3">
      <c r="A35" s="4" t="s">
        <v>560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2" t="s">
        <v>939</v>
      </c>
      <c r="I35" s="2" t="s">
        <v>10</v>
      </c>
      <c r="J35" s="2" t="s">
        <v>940</v>
      </c>
    </row>
    <row r="36" spans="1:10" x14ac:dyDescent="0.3">
      <c r="A36" s="4" t="s">
        <v>563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2" t="s">
        <v>941</v>
      </c>
      <c r="I36" s="2" t="s">
        <v>10</v>
      </c>
      <c r="J36" s="2" t="s">
        <v>920</v>
      </c>
    </row>
    <row r="37" spans="1:10" x14ac:dyDescent="0.3">
      <c r="A37" s="4" t="s">
        <v>566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2" t="s">
        <v>941</v>
      </c>
      <c r="I37" s="2" t="s">
        <v>10</v>
      </c>
      <c r="J37" s="2" t="s">
        <v>920</v>
      </c>
    </row>
    <row r="38" spans="1:10" x14ac:dyDescent="0.3">
      <c r="A38" s="4" t="s">
        <v>569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2" t="s">
        <v>942</v>
      </c>
      <c r="I38" s="2" t="s">
        <v>943</v>
      </c>
      <c r="J38" s="2" t="s">
        <v>935</v>
      </c>
    </row>
    <row r="39" spans="1:10" x14ac:dyDescent="0.3">
      <c r="A39" s="4" t="s">
        <v>572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2" t="s">
        <v>942</v>
      </c>
      <c r="I39" s="2" t="s">
        <v>943</v>
      </c>
      <c r="J39" s="2" t="s">
        <v>935</v>
      </c>
    </row>
    <row r="40" spans="1:10" x14ac:dyDescent="0.3">
      <c r="A40" s="4" t="s">
        <v>575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2" t="s">
        <v>944</v>
      </c>
      <c r="I40" s="2" t="s">
        <v>913</v>
      </c>
      <c r="J40" s="2" t="s">
        <v>945</v>
      </c>
    </row>
    <row r="41" spans="1:10" x14ac:dyDescent="0.3">
      <c r="A41" s="4" t="s">
        <v>578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2" t="s">
        <v>944</v>
      </c>
      <c r="I41" s="2" t="s">
        <v>913</v>
      </c>
      <c r="J41" s="2" t="s">
        <v>945</v>
      </c>
    </row>
    <row r="42" spans="1:10" x14ac:dyDescent="0.3">
      <c r="A42" s="4" t="s">
        <v>581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2" t="s">
        <v>946</v>
      </c>
      <c r="I42" s="2" t="s">
        <v>10</v>
      </c>
      <c r="J42" s="2" t="s">
        <v>926</v>
      </c>
    </row>
    <row r="43" spans="1:10" x14ac:dyDescent="0.3">
      <c r="A43" s="4" t="s">
        <v>584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2" t="s">
        <v>946</v>
      </c>
      <c r="I43" s="2" t="s">
        <v>10</v>
      </c>
      <c r="J43" s="2" t="s">
        <v>926</v>
      </c>
    </row>
    <row r="44" spans="1:10" x14ac:dyDescent="0.3">
      <c r="A44" s="4" t="s">
        <v>587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2" t="s">
        <v>947</v>
      </c>
      <c r="I44" s="2" t="s">
        <v>920</v>
      </c>
      <c r="J44" s="2" t="s">
        <v>945</v>
      </c>
    </row>
    <row r="45" spans="1:10" x14ac:dyDescent="0.3">
      <c r="A45" s="4" t="s">
        <v>590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2" t="s">
        <v>947</v>
      </c>
      <c r="I45" s="2" t="s">
        <v>920</v>
      </c>
      <c r="J45" s="2" t="s">
        <v>945</v>
      </c>
    </row>
    <row r="46" spans="1:10" x14ac:dyDescent="0.3">
      <c r="A46" s="4" t="s">
        <v>593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2" t="s">
        <v>948</v>
      </c>
      <c r="I46" s="2" t="s">
        <v>949</v>
      </c>
      <c r="J46" s="2" t="s">
        <v>950</v>
      </c>
    </row>
    <row r="47" spans="1:10" x14ac:dyDescent="0.3">
      <c r="A47" s="4" t="s">
        <v>596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2" t="s">
        <v>948</v>
      </c>
      <c r="I47" s="2" t="s">
        <v>949</v>
      </c>
      <c r="J47" s="2" t="s">
        <v>950</v>
      </c>
    </row>
    <row r="48" spans="1:10" x14ac:dyDescent="0.3">
      <c r="A48" s="4" t="s">
        <v>599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2" t="s">
        <v>951</v>
      </c>
      <c r="I48" s="2" t="s">
        <v>940</v>
      </c>
      <c r="J48" s="2" t="s">
        <v>921</v>
      </c>
    </row>
    <row r="49" spans="1:10" x14ac:dyDescent="0.3">
      <c r="A49" s="4" t="s">
        <v>602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2" t="s">
        <v>951</v>
      </c>
      <c r="I49" s="2" t="s">
        <v>940</v>
      </c>
      <c r="J49" s="2" t="s">
        <v>921</v>
      </c>
    </row>
    <row r="50" spans="1:10" x14ac:dyDescent="0.3">
      <c r="A50" s="4" t="s">
        <v>605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2" t="s">
        <v>952</v>
      </c>
      <c r="I50" s="2" t="s">
        <v>953</v>
      </c>
      <c r="J50" s="2" t="s">
        <v>954</v>
      </c>
    </row>
    <row r="51" spans="1:10" x14ac:dyDescent="0.3">
      <c r="A51" s="4" t="s">
        <v>608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2" t="s">
        <v>952</v>
      </c>
      <c r="I51" s="2" t="s">
        <v>953</v>
      </c>
      <c r="J51" s="2" t="s">
        <v>954</v>
      </c>
    </row>
    <row r="52" spans="1:10" x14ac:dyDescent="0.3">
      <c r="A52" s="4" t="s">
        <v>611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2" t="s">
        <v>955</v>
      </c>
      <c r="I52" s="2"/>
      <c r="J52" s="2" t="s">
        <v>956</v>
      </c>
    </row>
    <row r="53" spans="1:10" x14ac:dyDescent="0.3">
      <c r="A53" s="4" t="s">
        <v>614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2" t="s">
        <v>955</v>
      </c>
      <c r="I53" s="2"/>
      <c r="J53" s="2" t="s">
        <v>956</v>
      </c>
    </row>
    <row r="54" spans="1:10" x14ac:dyDescent="0.3">
      <c r="A54" s="4" t="s">
        <v>617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2" t="s">
        <v>922</v>
      </c>
      <c r="I54" s="2" t="s">
        <v>934</v>
      </c>
      <c r="J54" s="2" t="s">
        <v>926</v>
      </c>
    </row>
    <row r="55" spans="1:10" x14ac:dyDescent="0.3">
      <c r="A55" s="4" t="s">
        <v>620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2" t="s">
        <v>922</v>
      </c>
      <c r="I55" s="2" t="s">
        <v>934</v>
      </c>
      <c r="J55" s="2" t="s">
        <v>926</v>
      </c>
    </row>
    <row r="56" spans="1:10" x14ac:dyDescent="0.3">
      <c r="A56" s="4" t="s">
        <v>623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2" t="s">
        <v>948</v>
      </c>
      <c r="I56" s="2" t="s">
        <v>957</v>
      </c>
      <c r="J56" s="2" t="s">
        <v>958</v>
      </c>
    </row>
    <row r="57" spans="1:10" x14ac:dyDescent="0.3">
      <c r="A57" s="4" t="s">
        <v>626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2" t="s">
        <v>948</v>
      </c>
      <c r="I57" s="2" t="s">
        <v>957</v>
      </c>
      <c r="J57" s="2" t="s">
        <v>958</v>
      </c>
    </row>
    <row r="58" spans="1:10" x14ac:dyDescent="0.3">
      <c r="A58" s="4" t="s">
        <v>629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2" t="s">
        <v>959</v>
      </c>
      <c r="I58" s="2" t="s">
        <v>960</v>
      </c>
      <c r="J58" s="2" t="s">
        <v>924</v>
      </c>
    </row>
    <row r="59" spans="1:10" x14ac:dyDescent="0.3">
      <c r="A59" s="4" t="s">
        <v>632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2" t="s">
        <v>959</v>
      </c>
      <c r="I59" s="2" t="s">
        <v>960</v>
      </c>
      <c r="J59" s="2" t="s">
        <v>924</v>
      </c>
    </row>
    <row r="60" spans="1:10" x14ac:dyDescent="0.3">
      <c r="A60" s="4" t="s">
        <v>634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2" t="s">
        <v>961</v>
      </c>
      <c r="I60" s="2" t="s">
        <v>962</v>
      </c>
      <c r="J60" s="2" t="s">
        <v>954</v>
      </c>
    </row>
    <row r="61" spans="1:10" x14ac:dyDescent="0.3">
      <c r="A61" s="4" t="s">
        <v>637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2" t="s">
        <v>961</v>
      </c>
      <c r="I61" s="2" t="s">
        <v>962</v>
      </c>
      <c r="J61" s="2" t="s">
        <v>954</v>
      </c>
    </row>
    <row r="62" spans="1:10" x14ac:dyDescent="0.3">
      <c r="A62" s="4" t="s">
        <v>640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2" t="s">
        <v>963</v>
      </c>
      <c r="I62" s="2" t="s">
        <v>957</v>
      </c>
      <c r="J62" s="2" t="s">
        <v>934</v>
      </c>
    </row>
    <row r="63" spans="1:10" x14ac:dyDescent="0.3">
      <c r="A63" s="4" t="s">
        <v>643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2" t="s">
        <v>963</v>
      </c>
      <c r="I63" s="2" t="s">
        <v>957</v>
      </c>
      <c r="J63" s="2" t="s">
        <v>934</v>
      </c>
    </row>
    <row r="64" spans="1:10" x14ac:dyDescent="0.3">
      <c r="A64" s="4" t="s">
        <v>646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2" t="s">
        <v>964</v>
      </c>
      <c r="I64" s="2" t="s">
        <v>957</v>
      </c>
      <c r="J64" s="2" t="s">
        <v>965</v>
      </c>
    </row>
    <row r="65" spans="1:10" x14ac:dyDescent="0.3">
      <c r="A65" s="4" t="s">
        <v>649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2" t="s">
        <v>964</v>
      </c>
      <c r="I65" s="2" t="s">
        <v>957</v>
      </c>
      <c r="J65" s="2" t="s">
        <v>965</v>
      </c>
    </row>
    <row r="66" spans="1:10" x14ac:dyDescent="0.3">
      <c r="A66" s="4" t="s">
        <v>652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2" t="s">
        <v>966</v>
      </c>
      <c r="I66" s="2" t="s">
        <v>920</v>
      </c>
      <c r="J66" s="2" t="s">
        <v>921</v>
      </c>
    </row>
    <row r="67" spans="1:10" x14ac:dyDescent="0.3">
      <c r="A67" s="4" t="s">
        <v>655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2" t="s">
        <v>966</v>
      </c>
      <c r="I67" s="2" t="s">
        <v>920</v>
      </c>
      <c r="J67" s="2" t="s">
        <v>921</v>
      </c>
    </row>
    <row r="68" spans="1:10" x14ac:dyDescent="0.3">
      <c r="A68" s="4" t="s">
        <v>658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2" t="s">
        <v>967</v>
      </c>
      <c r="I68" s="2" t="s">
        <v>10</v>
      </c>
      <c r="J68" s="2" t="s">
        <v>911</v>
      </c>
    </row>
    <row r="69" spans="1:10" x14ac:dyDescent="0.3">
      <c r="A69" s="4" t="s">
        <v>661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2" t="s">
        <v>967</v>
      </c>
      <c r="I69" s="2" t="s">
        <v>10</v>
      </c>
      <c r="J69" s="2" t="s">
        <v>911</v>
      </c>
    </row>
    <row r="70" spans="1:10" x14ac:dyDescent="0.3">
      <c r="A70" s="4" t="s">
        <v>664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2" t="s">
        <v>929</v>
      </c>
      <c r="I70" s="2" t="s">
        <v>910</v>
      </c>
      <c r="J70" s="2" t="s">
        <v>913</v>
      </c>
    </row>
    <row r="71" spans="1:10" x14ac:dyDescent="0.3">
      <c r="A71" s="4" t="s">
        <v>667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2" t="s">
        <v>929</v>
      </c>
      <c r="I71" s="2" t="s">
        <v>910</v>
      </c>
      <c r="J71" s="2" t="s">
        <v>913</v>
      </c>
    </row>
    <row r="72" spans="1:10" x14ac:dyDescent="0.3">
      <c r="A72" s="4" t="s">
        <v>670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2" t="s">
        <v>912</v>
      </c>
      <c r="I72" s="2" t="s">
        <v>920</v>
      </c>
      <c r="J72" s="2" t="s">
        <v>913</v>
      </c>
    </row>
    <row r="73" spans="1:10" x14ac:dyDescent="0.3">
      <c r="A73" s="4" t="s">
        <v>673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2" t="s">
        <v>912</v>
      </c>
      <c r="I73" s="2" t="s">
        <v>920</v>
      </c>
      <c r="J73" s="2" t="s">
        <v>913</v>
      </c>
    </row>
    <row r="74" spans="1:10" x14ac:dyDescent="0.3">
      <c r="A74" s="4" t="s">
        <v>676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2" t="s">
        <v>968</v>
      </c>
      <c r="I74" s="2" t="s">
        <v>10</v>
      </c>
      <c r="J74" s="2" t="s">
        <v>911</v>
      </c>
    </row>
    <row r="75" spans="1:10" x14ac:dyDescent="0.3">
      <c r="A75" s="4" t="s">
        <v>679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2" t="s">
        <v>968</v>
      </c>
      <c r="I75" s="2" t="s">
        <v>10</v>
      </c>
      <c r="J75" s="2" t="s">
        <v>911</v>
      </c>
    </row>
    <row r="76" spans="1:10" x14ac:dyDescent="0.3">
      <c r="A76" s="4" t="s">
        <v>682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2" t="s">
        <v>969</v>
      </c>
      <c r="I76" s="2" t="s">
        <v>960</v>
      </c>
      <c r="J76" s="2" t="s">
        <v>937</v>
      </c>
    </row>
    <row r="77" spans="1:10" x14ac:dyDescent="0.3">
      <c r="A77" s="4" t="s">
        <v>685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2" t="s">
        <v>969</v>
      </c>
      <c r="I77" s="2" t="s">
        <v>960</v>
      </c>
      <c r="J77" s="2" t="s">
        <v>937</v>
      </c>
    </row>
    <row r="78" spans="1:10" x14ac:dyDescent="0.3">
      <c r="A78" s="4" t="s">
        <v>688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2" t="s">
        <v>952</v>
      </c>
      <c r="I78" s="2" t="s">
        <v>10</v>
      </c>
      <c r="J78" s="2" t="s">
        <v>921</v>
      </c>
    </row>
    <row r="79" spans="1:10" x14ac:dyDescent="0.3">
      <c r="A79" s="4" t="s">
        <v>691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2" t="s">
        <v>952</v>
      </c>
      <c r="I79" s="2" t="s">
        <v>10</v>
      </c>
      <c r="J79" s="2" t="s">
        <v>921</v>
      </c>
    </row>
    <row r="80" spans="1:10" x14ac:dyDescent="0.3">
      <c r="A80" s="4" t="s">
        <v>694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2" t="s">
        <v>970</v>
      </c>
      <c r="I80" s="2" t="s">
        <v>920</v>
      </c>
      <c r="J80" s="2" t="s">
        <v>971</v>
      </c>
    </row>
    <row r="81" spans="1:10" x14ac:dyDescent="0.3">
      <c r="A81" s="4" t="s">
        <v>697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2" t="s">
        <v>970</v>
      </c>
      <c r="I81" s="2" t="s">
        <v>920</v>
      </c>
      <c r="J81" s="2" t="s">
        <v>971</v>
      </c>
    </row>
    <row r="82" spans="1:10" x14ac:dyDescent="0.3">
      <c r="A82" s="4" t="s">
        <v>700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2" t="s">
        <v>972</v>
      </c>
      <c r="I82" s="2" t="s">
        <v>10</v>
      </c>
      <c r="J82" s="2" t="s">
        <v>913</v>
      </c>
    </row>
    <row r="83" spans="1:10" x14ac:dyDescent="0.3">
      <c r="A83" s="4" t="s">
        <v>703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2" t="s">
        <v>972</v>
      </c>
      <c r="I83" s="2" t="s">
        <v>10</v>
      </c>
      <c r="J83" s="2" t="s">
        <v>913</v>
      </c>
    </row>
    <row r="84" spans="1:10" x14ac:dyDescent="0.3">
      <c r="A84" s="4" t="s">
        <v>706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2" t="s">
        <v>17</v>
      </c>
      <c r="I84" s="2" t="s">
        <v>973</v>
      </c>
      <c r="J84" s="2" t="s">
        <v>945</v>
      </c>
    </row>
    <row r="85" spans="1:10" x14ac:dyDescent="0.3">
      <c r="A85" s="4" t="s">
        <v>709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2" t="s">
        <v>17</v>
      </c>
      <c r="I85" s="2" t="s">
        <v>973</v>
      </c>
      <c r="J85" s="2" t="s">
        <v>945</v>
      </c>
    </row>
    <row r="86" spans="1:10" x14ac:dyDescent="0.3">
      <c r="A86" s="4" t="s">
        <v>712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2" t="s">
        <v>347</v>
      </c>
      <c r="I86" s="2" t="s">
        <v>910</v>
      </c>
      <c r="J86" s="2" t="s">
        <v>926</v>
      </c>
    </row>
    <row r="87" spans="1:10" x14ac:dyDescent="0.3">
      <c r="A87" s="4" t="s">
        <v>715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2" t="s">
        <v>347</v>
      </c>
      <c r="I87" s="2" t="s">
        <v>910</v>
      </c>
      <c r="J87" s="2" t="s">
        <v>926</v>
      </c>
    </row>
    <row r="88" spans="1:10" x14ac:dyDescent="0.3">
      <c r="A88" s="4" t="s">
        <v>718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2" t="s">
        <v>974</v>
      </c>
      <c r="I88" s="2" t="s">
        <v>926</v>
      </c>
      <c r="J88" s="2" t="s">
        <v>934</v>
      </c>
    </row>
    <row r="89" spans="1:10" x14ac:dyDescent="0.3">
      <c r="A89" s="4" t="s">
        <v>721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2" t="s">
        <v>974</v>
      </c>
      <c r="I89" s="2" t="s">
        <v>926</v>
      </c>
      <c r="J89" s="2" t="s">
        <v>934</v>
      </c>
    </row>
    <row r="90" spans="1:10" x14ac:dyDescent="0.3">
      <c r="A90" s="4" t="s">
        <v>724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2" t="s">
        <v>967</v>
      </c>
      <c r="I90" s="2" t="s">
        <v>973</v>
      </c>
      <c r="J90" s="2" t="s">
        <v>913</v>
      </c>
    </row>
    <row r="91" spans="1:10" x14ac:dyDescent="0.3">
      <c r="A91" s="4" t="s">
        <v>727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2" t="s">
        <v>967</v>
      </c>
      <c r="I91" s="2" t="s">
        <v>973</v>
      </c>
      <c r="J91" s="2" t="s">
        <v>913</v>
      </c>
    </row>
    <row r="92" spans="1:10" x14ac:dyDescent="0.3">
      <c r="A92" s="4" t="s">
        <v>730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2" t="s">
        <v>912</v>
      </c>
      <c r="I92" s="2" t="s">
        <v>958</v>
      </c>
      <c r="J92" s="2" t="s">
        <v>926</v>
      </c>
    </row>
    <row r="93" spans="1:10" x14ac:dyDescent="0.3">
      <c r="A93" s="4" t="s">
        <v>733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2" t="s">
        <v>912</v>
      </c>
      <c r="I93" s="2" t="s">
        <v>958</v>
      </c>
      <c r="J93" s="2" t="s">
        <v>926</v>
      </c>
    </row>
    <row r="94" spans="1:10" x14ac:dyDescent="0.3">
      <c r="A94" s="4" t="s">
        <v>736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2" t="s">
        <v>909</v>
      </c>
      <c r="I94" s="2" t="s">
        <v>975</v>
      </c>
      <c r="J94" s="2" t="s">
        <v>954</v>
      </c>
    </row>
    <row r="95" spans="1:10" x14ac:dyDescent="0.3">
      <c r="A95" s="4" t="s">
        <v>739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2" t="s">
        <v>909</v>
      </c>
      <c r="I95" s="2" t="s">
        <v>975</v>
      </c>
      <c r="J95" s="2" t="s">
        <v>954</v>
      </c>
    </row>
    <row r="96" spans="1:10" x14ac:dyDescent="0.3">
      <c r="A96" s="4" t="s">
        <v>742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2" t="s">
        <v>976</v>
      </c>
      <c r="I96" s="2" t="s">
        <v>283</v>
      </c>
      <c r="J96" s="2" t="s">
        <v>926</v>
      </c>
    </row>
    <row r="97" spans="1:10" x14ac:dyDescent="0.3">
      <c r="A97" s="4" t="s">
        <v>745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2" t="s">
        <v>976</v>
      </c>
      <c r="I97" s="2" t="s">
        <v>283</v>
      </c>
      <c r="J97" s="2" t="s">
        <v>926</v>
      </c>
    </row>
    <row r="98" spans="1:10" x14ac:dyDescent="0.3">
      <c r="A98" s="4" t="s">
        <v>748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2" t="s">
        <v>977</v>
      </c>
      <c r="I98" s="2" t="s">
        <v>10</v>
      </c>
      <c r="J98" s="2" t="s">
        <v>978</v>
      </c>
    </row>
    <row r="99" spans="1:10" x14ac:dyDescent="0.3">
      <c r="A99" s="4" t="s">
        <v>751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2" t="s">
        <v>977</v>
      </c>
      <c r="I99" s="2" t="s">
        <v>10</v>
      </c>
      <c r="J99" s="2" t="s">
        <v>978</v>
      </c>
    </row>
    <row r="100" spans="1:10" x14ac:dyDescent="0.3">
      <c r="A100" s="4" t="s">
        <v>754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2" t="s">
        <v>966</v>
      </c>
      <c r="I100" s="2" t="s">
        <v>979</v>
      </c>
      <c r="J100" s="2" t="s">
        <v>956</v>
      </c>
    </row>
    <row r="101" spans="1:10" x14ac:dyDescent="0.3">
      <c r="A101" s="4" t="s">
        <v>756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2" t="s">
        <v>966</v>
      </c>
      <c r="I101" s="2" t="s">
        <v>979</v>
      </c>
      <c r="J101" s="2" t="s">
        <v>956</v>
      </c>
    </row>
    <row r="102" spans="1:10" x14ac:dyDescent="0.3">
      <c r="A102" s="4" t="s">
        <v>759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2" t="s">
        <v>980</v>
      </c>
      <c r="I102" s="2" t="s">
        <v>283</v>
      </c>
      <c r="J102" s="2" t="s">
        <v>918</v>
      </c>
    </row>
    <row r="103" spans="1:10" x14ac:dyDescent="0.3">
      <c r="A103" s="4" t="s">
        <v>762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2" t="s">
        <v>980</v>
      </c>
      <c r="I103" s="2" t="s">
        <v>283</v>
      </c>
      <c r="J103" s="2" t="s">
        <v>918</v>
      </c>
    </row>
    <row r="104" spans="1:10" x14ac:dyDescent="0.3">
      <c r="A104" s="4" t="s">
        <v>765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2" t="s">
        <v>981</v>
      </c>
      <c r="I104" s="2" t="s">
        <v>283</v>
      </c>
      <c r="J104" s="2" t="s">
        <v>940</v>
      </c>
    </row>
    <row r="105" spans="1:10" x14ac:dyDescent="0.3">
      <c r="A105" s="4" t="s">
        <v>768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2" t="s">
        <v>981</v>
      </c>
      <c r="I105" s="2" t="s">
        <v>283</v>
      </c>
      <c r="J105" s="2" t="s">
        <v>940</v>
      </c>
    </row>
    <row r="106" spans="1:10" x14ac:dyDescent="0.3">
      <c r="A106" s="4" t="s">
        <v>771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2" t="s">
        <v>982</v>
      </c>
      <c r="I106" s="2" t="s">
        <v>916</v>
      </c>
      <c r="J106" s="2" t="s">
        <v>911</v>
      </c>
    </row>
    <row r="107" spans="1:10" x14ac:dyDescent="0.3">
      <c r="A107" s="4" t="s">
        <v>774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2" t="s">
        <v>982</v>
      </c>
      <c r="I107" s="2" t="s">
        <v>916</v>
      </c>
      <c r="J107" s="2" t="s">
        <v>911</v>
      </c>
    </row>
    <row r="108" spans="1:10" x14ac:dyDescent="0.3">
      <c r="A108" s="4" t="s">
        <v>776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2" t="s">
        <v>914</v>
      </c>
      <c r="I108" s="2" t="s">
        <v>10</v>
      </c>
      <c r="J108" s="2" t="s">
        <v>958</v>
      </c>
    </row>
    <row r="109" spans="1:10" x14ac:dyDescent="0.3">
      <c r="A109" s="4" t="s">
        <v>778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2" t="s">
        <v>914</v>
      </c>
      <c r="I109" s="2" t="s">
        <v>10</v>
      </c>
      <c r="J109" s="2" t="s">
        <v>958</v>
      </c>
    </row>
    <row r="110" spans="1:10" x14ac:dyDescent="0.3">
      <c r="A110" s="4" t="s">
        <v>781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2" t="s">
        <v>983</v>
      </c>
      <c r="I110" s="2"/>
      <c r="J110" s="2" t="s">
        <v>954</v>
      </c>
    </row>
    <row r="111" spans="1:10" x14ac:dyDescent="0.3">
      <c r="A111" s="4" t="s">
        <v>784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2" t="s">
        <v>983</v>
      </c>
      <c r="I111" s="2"/>
      <c r="J111" s="2" t="s">
        <v>954</v>
      </c>
    </row>
    <row r="112" spans="1:10" x14ac:dyDescent="0.3">
      <c r="A112" s="4" t="s">
        <v>787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2" t="s">
        <v>984</v>
      </c>
      <c r="I112" s="2" t="s">
        <v>10</v>
      </c>
      <c r="J112" s="2" t="s">
        <v>945</v>
      </c>
    </row>
    <row r="113" spans="1:10" x14ac:dyDescent="0.3">
      <c r="A113" s="4" t="s">
        <v>790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2" t="s">
        <v>984</v>
      </c>
      <c r="I113" s="2" t="s">
        <v>10</v>
      </c>
      <c r="J113" s="2" t="s">
        <v>945</v>
      </c>
    </row>
    <row r="114" spans="1:10" x14ac:dyDescent="0.3">
      <c r="A114" s="4" t="s">
        <v>793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2" t="s">
        <v>985</v>
      </c>
      <c r="I114" s="2" t="s">
        <v>956</v>
      </c>
      <c r="J114" s="2" t="s">
        <v>916</v>
      </c>
    </row>
    <row r="115" spans="1:10" x14ac:dyDescent="0.3">
      <c r="A115" s="4" t="s">
        <v>796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2" t="s">
        <v>985</v>
      </c>
      <c r="I115" s="2" t="s">
        <v>956</v>
      </c>
      <c r="J115" s="2" t="s">
        <v>916</v>
      </c>
    </row>
    <row r="116" spans="1:10" x14ac:dyDescent="0.3">
      <c r="A116" s="4" t="s">
        <v>799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2" t="s">
        <v>986</v>
      </c>
      <c r="I116" s="2" t="s">
        <v>910</v>
      </c>
      <c r="J116" s="2" t="s">
        <v>921</v>
      </c>
    </row>
    <row r="117" spans="1:10" x14ac:dyDescent="0.3">
      <c r="A117" s="4" t="s">
        <v>801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2" t="s">
        <v>986</v>
      </c>
      <c r="I117" s="2" t="s">
        <v>910</v>
      </c>
      <c r="J117" s="2" t="s">
        <v>921</v>
      </c>
    </row>
    <row r="118" spans="1:10" x14ac:dyDescent="0.3">
      <c r="A118" s="4" t="s">
        <v>804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2" t="s">
        <v>987</v>
      </c>
      <c r="I118" s="2" t="s">
        <v>988</v>
      </c>
      <c r="J118" s="2" t="s">
        <v>913</v>
      </c>
    </row>
    <row r="119" spans="1:10" x14ac:dyDescent="0.3">
      <c r="A119" s="4" t="s">
        <v>807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2" t="s">
        <v>987</v>
      </c>
      <c r="I119" s="2" t="s">
        <v>988</v>
      </c>
      <c r="J119" s="2" t="s">
        <v>913</v>
      </c>
    </row>
    <row r="120" spans="1:10" x14ac:dyDescent="0.3">
      <c r="A120" s="4" t="s">
        <v>810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2" t="s">
        <v>980</v>
      </c>
      <c r="I120" s="2" t="s">
        <v>920</v>
      </c>
      <c r="J120" s="2" t="s">
        <v>940</v>
      </c>
    </row>
    <row r="121" spans="1:10" x14ac:dyDescent="0.3">
      <c r="A121" s="4" t="s">
        <v>813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2" t="s">
        <v>980</v>
      </c>
      <c r="I121" s="2" t="s">
        <v>920</v>
      </c>
      <c r="J121" s="2" t="s">
        <v>940</v>
      </c>
    </row>
    <row r="122" spans="1:10" x14ac:dyDescent="0.3">
      <c r="A122" s="4" t="s">
        <v>816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2" t="s">
        <v>989</v>
      </c>
      <c r="I122" s="2" t="s">
        <v>10</v>
      </c>
      <c r="J122" s="2" t="s">
        <v>916</v>
      </c>
    </row>
    <row r="123" spans="1:10" x14ac:dyDescent="0.3">
      <c r="A123" s="4" t="s">
        <v>819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2" t="s">
        <v>989</v>
      </c>
      <c r="I123" s="2" t="s">
        <v>10</v>
      </c>
      <c r="J123" s="2" t="s">
        <v>916</v>
      </c>
    </row>
    <row r="124" spans="1:10" x14ac:dyDescent="0.3">
      <c r="A124" s="4" t="s">
        <v>822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2" t="s">
        <v>990</v>
      </c>
      <c r="I124" s="2" t="s">
        <v>911</v>
      </c>
      <c r="J124" s="2" t="s">
        <v>956</v>
      </c>
    </row>
    <row r="125" spans="1:10" x14ac:dyDescent="0.3">
      <c r="A125" s="4" t="s">
        <v>825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2" t="s">
        <v>990</v>
      </c>
      <c r="I125" s="2" t="s">
        <v>911</v>
      </c>
      <c r="J125" s="2" t="s">
        <v>956</v>
      </c>
    </row>
    <row r="126" spans="1:10" x14ac:dyDescent="0.3">
      <c r="A126" s="4" t="s">
        <v>828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2" t="s">
        <v>984</v>
      </c>
      <c r="I126" s="2" t="s">
        <v>916</v>
      </c>
      <c r="J126" s="2" t="s">
        <v>991</v>
      </c>
    </row>
    <row r="127" spans="1:10" x14ac:dyDescent="0.3">
      <c r="A127" s="4" t="s">
        <v>831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2" t="s">
        <v>984</v>
      </c>
      <c r="I127" s="2" t="s">
        <v>916</v>
      </c>
      <c r="J127" s="2" t="s">
        <v>991</v>
      </c>
    </row>
    <row r="128" spans="1:10" x14ac:dyDescent="0.3">
      <c r="A128" s="4" t="s">
        <v>834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2" t="s">
        <v>992</v>
      </c>
      <c r="I128" s="2" t="s">
        <v>923</v>
      </c>
      <c r="J128" s="2" t="s">
        <v>940</v>
      </c>
    </row>
    <row r="129" spans="1:10" x14ac:dyDescent="0.3">
      <c r="A129" s="4" t="s">
        <v>837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2" t="s">
        <v>992</v>
      </c>
      <c r="I129" s="2" t="s">
        <v>923</v>
      </c>
      <c r="J129" s="2" t="s">
        <v>940</v>
      </c>
    </row>
    <row r="130" spans="1:10" x14ac:dyDescent="0.3">
      <c r="A130" s="4" t="s">
        <v>840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2" t="s">
        <v>970</v>
      </c>
      <c r="I130" s="2" t="s">
        <v>10</v>
      </c>
      <c r="J130" s="2" t="s">
        <v>926</v>
      </c>
    </row>
    <row r="131" spans="1:10" x14ac:dyDescent="0.3">
      <c r="A131" s="4" t="s">
        <v>842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2" t="s">
        <v>970</v>
      </c>
      <c r="I131" s="2" t="s">
        <v>10</v>
      </c>
      <c r="J131" s="2" t="s">
        <v>926</v>
      </c>
    </row>
    <row r="132" spans="1:10" x14ac:dyDescent="0.3">
      <c r="A132" s="4" t="s">
        <v>845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2" t="s">
        <v>993</v>
      </c>
      <c r="I132" s="2" t="s">
        <v>10</v>
      </c>
      <c r="J132" s="2" t="s">
        <v>973</v>
      </c>
    </row>
    <row r="133" spans="1:10" x14ac:dyDescent="0.3">
      <c r="A133" s="4" t="s">
        <v>848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2" t="s">
        <v>993</v>
      </c>
      <c r="I133" s="2" t="s">
        <v>10</v>
      </c>
      <c r="J133" s="2" t="s">
        <v>973</v>
      </c>
    </row>
    <row r="134" spans="1:10" x14ac:dyDescent="0.3">
      <c r="A134" s="4" t="s">
        <v>850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2" t="s">
        <v>946</v>
      </c>
      <c r="I134" s="2" t="s">
        <v>994</v>
      </c>
      <c r="J134" s="2" t="s">
        <v>926</v>
      </c>
    </row>
    <row r="135" spans="1:10" x14ac:dyDescent="0.3">
      <c r="A135" s="4" t="s">
        <v>853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2" t="s">
        <v>946</v>
      </c>
      <c r="I135" s="2" t="s">
        <v>994</v>
      </c>
      <c r="J135" s="2" t="s">
        <v>926</v>
      </c>
    </row>
    <row r="136" spans="1:10" x14ac:dyDescent="0.3">
      <c r="A136" s="4" t="s">
        <v>856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2" t="s">
        <v>995</v>
      </c>
      <c r="I136" s="2" t="s">
        <v>996</v>
      </c>
      <c r="J136" s="2" t="s">
        <v>927</v>
      </c>
    </row>
    <row r="137" spans="1:10" x14ac:dyDescent="0.3">
      <c r="A137" s="4" t="s">
        <v>859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2" t="s">
        <v>995</v>
      </c>
      <c r="I137" s="2" t="s">
        <v>996</v>
      </c>
      <c r="J137" s="2" t="s">
        <v>927</v>
      </c>
    </row>
    <row r="138" spans="1:10" x14ac:dyDescent="0.3">
      <c r="A138" s="4" t="s">
        <v>862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2" t="s">
        <v>983</v>
      </c>
      <c r="I138" s="2" t="s">
        <v>934</v>
      </c>
      <c r="J138" s="2" t="s">
        <v>940</v>
      </c>
    </row>
    <row r="139" spans="1:10" x14ac:dyDescent="0.3">
      <c r="A139" s="4" t="s">
        <v>865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2" t="s">
        <v>983</v>
      </c>
      <c r="I139" s="2" t="s">
        <v>934</v>
      </c>
      <c r="J139" s="2" t="s">
        <v>940</v>
      </c>
    </row>
    <row r="140" spans="1:10" x14ac:dyDescent="0.3">
      <c r="A140" s="4" t="s">
        <v>868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2" t="s">
        <v>931</v>
      </c>
      <c r="I140" s="2" t="s">
        <v>997</v>
      </c>
      <c r="J140" s="2" t="s">
        <v>940</v>
      </c>
    </row>
    <row r="141" spans="1:10" x14ac:dyDescent="0.3">
      <c r="A141" s="4" t="s">
        <v>871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2" t="s">
        <v>931</v>
      </c>
      <c r="I141" s="2" t="s">
        <v>997</v>
      </c>
      <c r="J141" s="2" t="s">
        <v>940</v>
      </c>
    </row>
    <row r="142" spans="1:10" x14ac:dyDescent="0.3">
      <c r="A142" s="4" t="s">
        <v>874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2" t="s">
        <v>963</v>
      </c>
      <c r="I142" s="2" t="s">
        <v>998</v>
      </c>
      <c r="J142" s="2" t="s">
        <v>940</v>
      </c>
    </row>
    <row r="143" spans="1:10" x14ac:dyDescent="0.3">
      <c r="A143" s="4" t="s">
        <v>877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2" t="s">
        <v>963</v>
      </c>
      <c r="I143" s="2" t="s">
        <v>998</v>
      </c>
      <c r="J143" s="2" t="s">
        <v>940</v>
      </c>
    </row>
    <row r="144" spans="1:10" x14ac:dyDescent="0.3">
      <c r="A144" s="4" t="s">
        <v>880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2" t="s">
        <v>999</v>
      </c>
      <c r="I144" s="2" t="s">
        <v>1000</v>
      </c>
      <c r="J144" s="2" t="s">
        <v>935</v>
      </c>
    </row>
    <row r="145" spans="1:10" x14ac:dyDescent="0.3">
      <c r="A145" s="4" t="s">
        <v>883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2" t="s">
        <v>999</v>
      </c>
      <c r="I145" s="2" t="s">
        <v>1000</v>
      </c>
      <c r="J145" s="2" t="s">
        <v>935</v>
      </c>
    </row>
    <row r="146" spans="1:10" x14ac:dyDescent="0.3">
      <c r="A146" s="4" t="s">
        <v>886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2" t="s">
        <v>981</v>
      </c>
      <c r="I146" s="2" t="s">
        <v>10</v>
      </c>
      <c r="J146" s="2" t="s">
        <v>940</v>
      </c>
    </row>
    <row r="147" spans="1:10" x14ac:dyDescent="0.3">
      <c r="A147" s="4" t="s">
        <v>889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2" t="s">
        <v>981</v>
      </c>
      <c r="I147" s="2" t="s">
        <v>10</v>
      </c>
      <c r="J147" s="2" t="s">
        <v>940</v>
      </c>
    </row>
    <row r="148" spans="1:10" x14ac:dyDescent="0.3">
      <c r="A148" s="4" t="s">
        <v>892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2" t="s">
        <v>977</v>
      </c>
      <c r="I148" s="2" t="s">
        <v>10</v>
      </c>
      <c r="J148" s="2" t="s">
        <v>911</v>
      </c>
    </row>
    <row r="149" spans="1:10" x14ac:dyDescent="0.3">
      <c r="A149" s="4" t="s">
        <v>895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2" t="s">
        <v>977</v>
      </c>
      <c r="I149" s="2" t="s">
        <v>10</v>
      </c>
      <c r="J149" s="2" t="s">
        <v>911</v>
      </c>
    </row>
    <row r="150" spans="1:10" x14ac:dyDescent="0.3">
      <c r="A150" s="4" t="s">
        <v>898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8F5C-E134-4FAC-83A2-B3CB87256CFC}">
  <sheetPr codeName="Sheet4">
    <tabColor theme="8" tint="0.39997558519241921"/>
  </sheetPr>
  <dimension ref="A1:H150"/>
  <sheetViews>
    <sheetView workbookViewId="0">
      <selection activeCell="C16" sqref="C16"/>
    </sheetView>
  </sheetViews>
  <sheetFormatPr defaultRowHeight="14.4" x14ac:dyDescent="0.3"/>
  <cols>
    <col min="1" max="1" width="32.33203125" bestFit="1" customWidth="1"/>
    <col min="2" max="2" width="17.44140625" customWidth="1"/>
    <col min="3" max="3" width="10.33203125" bestFit="1" customWidth="1"/>
    <col min="4" max="4" width="10.33203125" customWidth="1"/>
    <col min="5" max="5" width="12.6640625" customWidth="1"/>
    <col min="6" max="6" width="7.6640625" bestFit="1" customWidth="1"/>
    <col min="7" max="7" width="8.5546875" customWidth="1"/>
  </cols>
  <sheetData>
    <row r="1" spans="1:8" ht="57.6" x14ac:dyDescent="0.3">
      <c r="A1" s="7" t="s">
        <v>446</v>
      </c>
      <c r="B1" s="8" t="s">
        <v>1001</v>
      </c>
      <c r="C1" s="10" t="s">
        <v>1002</v>
      </c>
      <c r="D1" s="9" t="s">
        <v>448</v>
      </c>
      <c r="E1" s="9" t="s">
        <v>7</v>
      </c>
      <c r="F1" s="9" t="s">
        <v>449</v>
      </c>
      <c r="G1" s="9" t="s">
        <v>451</v>
      </c>
    </row>
    <row r="2" spans="1:8" x14ac:dyDescent="0.3">
      <c r="A2" t="str">
        <f>Break!A2</f>
        <v>Mum_Abdul Hamid (1008512)</v>
      </c>
      <c r="B2" t="str">
        <f>MID(A2, FIND("_", A2) + 1, FIND("(", A2) - FIND("_", A2) - 2)</f>
        <v>Abdul Hamid</v>
      </c>
      <c r="C2" s="11">
        <f t="shared" ref="C2:C33" si="0">TIMEVALUE(VLOOKUP(A2, Efficiency_data, 2, 0))</f>
        <v>0.34424768518518517</v>
      </c>
      <c r="D2" s="11">
        <f t="shared" ref="D2:D33" si="1">TIMEVALUE(VLOOKUP(A2, Efficiency_data, 3, 0))</f>
        <v>0.20693287037037036</v>
      </c>
      <c r="E2" s="11">
        <f t="shared" ref="E2:E33" si="2">TIMEVALUE(VLOOKUP(A2, Break_data, 9, 0))</f>
        <v>4.7708333333333332E-2</v>
      </c>
      <c r="F2">
        <f t="shared" ref="F2:F33" si="3">VLOOKUP(A2, Performance_data, 2, 0)</f>
        <v>98</v>
      </c>
      <c r="G2" s="12">
        <f t="shared" ref="G2:G33" si="4">VLOOKUP(A2,Efficiency_data,6,0)</f>
        <v>0.55697138822580095</v>
      </c>
    </row>
    <row r="3" spans="1:8" x14ac:dyDescent="0.3">
      <c r="A3" t="str">
        <f>Break!A3</f>
        <v>Mum_Afzal Husain (1008513)</v>
      </c>
      <c r="B3" t="str">
        <f>MID(A3, FIND("_", A3) + 1, FIND("(", A3) - FIND("_", A3) - 2)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8" x14ac:dyDescent="0.3">
      <c r="A4" t="str">
        <f>Break!A4</f>
        <v>Mum_Anamika Gupta (1008514)</v>
      </c>
      <c r="B4" t="str">
        <f t="shared" ref="B4:B67" si="5">MID(A4, FIND("_", A4) + 1, FIND("(", A4) - FIND("_", A4) - 2)</f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8" x14ac:dyDescent="0.3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8" x14ac:dyDescent="0.3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8" x14ac:dyDescent="0.3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8" x14ac:dyDescent="0.3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8" x14ac:dyDescent="0.3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  <c r="H9" s="13"/>
    </row>
    <row r="10" spans="1:8" x14ac:dyDescent="0.3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8" x14ac:dyDescent="0.3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8" x14ac:dyDescent="0.3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8" x14ac:dyDescent="0.3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8" x14ac:dyDescent="0.3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8" x14ac:dyDescent="0.3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8" x14ac:dyDescent="0.3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1">
        <f t="shared" ref="C34:C65" si="6">TIMEVALUE(VLOOKUP(A34, Efficiency_data, 2, 0))</f>
        <v>0.34664351851851855</v>
      </c>
      <c r="D34" s="11">
        <f t="shared" ref="D34:D65" si="7">TIMEVALUE(VLOOKUP(A34, Efficiency_data, 3, 0))</f>
        <v>0.20781250000000001</v>
      </c>
      <c r="E34" s="11">
        <f t="shared" ref="E34:E65" si="8">TIMEVALUE(VLOOKUP(A34, Break_data, 9, 0))</f>
        <v>4.7951388888888891E-2</v>
      </c>
      <c r="F34">
        <f t="shared" ref="F34:F65" si="9">VLOOKUP(A34, Performance_data, 2, 0)</f>
        <v>65</v>
      </c>
      <c r="G34" s="12">
        <f t="shared" ref="G34:G65" si="10">VLOOKUP(A34,Efficiency_data,6,0)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1">
        <f t="shared" ref="C66:C97" si="11">TIMEVALUE(VLOOKUP(A66, Efficiency_data, 2, 0))</f>
        <v>0.20910879629629631</v>
      </c>
      <c r="D66" s="11">
        <f t="shared" ref="D66:D97" si="12">TIMEVALUE(VLOOKUP(A66, Efficiency_data, 3, 0))</f>
        <v>0.13449074074074074</v>
      </c>
      <c r="E66" s="11">
        <f t="shared" ref="E66:E97" si="13">TIMEVALUE(VLOOKUP(A66, Break_data, 9, 0))</f>
        <v>2.0532407407407409E-2</v>
      </c>
      <c r="F66">
        <f t="shared" ref="F66:F97" si="14">VLOOKUP(A66, Performance_data, 2, 0)</f>
        <v>33</v>
      </c>
      <c r="G66" s="12">
        <f t="shared" ref="G66:G97" si="15">VLOOKUP(A66,Efficiency_data,6,0)</f>
        <v>0.61244257486024201</v>
      </c>
    </row>
    <row r="67" spans="1:7" x14ac:dyDescent="0.3">
      <c r="A67" t="str">
        <f>Break!A67</f>
        <v>Hyd_Nandu Kumar (1008577)</v>
      </c>
      <c r="B67" t="str">
        <f t="shared" si="5"/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ref="B68:B131" si="16">MID(A68, FIND("_", A68) + 1, FIND("(", A68) - FIND("_", A68) - 2)</f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 Efficiency_data, 2, 0))</f>
        <v>0.33483796296296298</v>
      </c>
      <c r="D98" s="11">
        <f t="shared" ref="D98:D129" si="18">TIMEVALUE(VLOOKUP(A98, Efficiency_data, 3, 0))</f>
        <v>6.6759259259259254E-2</v>
      </c>
      <c r="E98" s="11">
        <f t="shared" ref="E98:E129" si="19">TIMEVALUE(VLOOKUP(A98, Break_data, 9, 0))</f>
        <v>0.23973379629629629</v>
      </c>
      <c r="F98">
        <f t="shared" ref="F98:F129" si="20">VLOOKUP(A98, Performance_data, 2, 0)</f>
        <v>55</v>
      </c>
      <c r="G98" s="12">
        <f t="shared" ref="G98:G129" si="21">VLOOKUP(A98,Efficiency_data,6,0)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 Efficiency_data, 2, 0))</f>
        <v>0.34416666666666668</v>
      </c>
      <c r="D130" s="11">
        <f t="shared" ref="D130:D150" si="23">TIMEVALUE(VLOOKUP(A130, Efficiency_data, 3, 0))</f>
        <v>0.12054398148148149</v>
      </c>
      <c r="E130" s="11">
        <f t="shared" ref="E130:E150" si="24">TIMEVALUE(VLOOKUP(A130, Break_data, 9, 0))</f>
        <v>0.19140046296296295</v>
      </c>
      <c r="F130">
        <f t="shared" ref="F130:F150" si="25">VLOOKUP(A130, Performance_data, 2, 0)</f>
        <v>87</v>
      </c>
      <c r="G130" s="12">
        <f t="shared" ref="G130:G150" si="26">VLOOKUP(A130,Efficiency_data,6,0)</f>
        <v>0.326035781544256</v>
      </c>
    </row>
    <row r="131" spans="1:7" x14ac:dyDescent="0.3">
      <c r="A131" t="str">
        <f>Break!A131</f>
        <v>Del_Sneh Khan (1008641)</v>
      </c>
      <c r="B131" t="str">
        <f t="shared" si="16"/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ref="B132:B150" si="27">MID(A132, FIND("_", A132) + 1, FIND("(", A132) - FIND("_", A132) - 2)</f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autoFilter ref="A1:G1" xr:uid="{8E998F5C-E134-4FAC-83A2-B3CB87256CF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4F0BD-2A95-47CB-8737-1696598D3D3A}">
  <sheetPr codeName="Sheet5">
    <tabColor rgb="FF00B050"/>
  </sheetPr>
  <dimension ref="A2:F11"/>
  <sheetViews>
    <sheetView tabSelected="1" zoomScale="73" workbookViewId="0">
      <selection activeCell="T20" sqref="T20"/>
    </sheetView>
  </sheetViews>
  <sheetFormatPr defaultRowHeight="14.4" x14ac:dyDescent="0.3"/>
  <cols>
    <col min="1" max="1" width="19.33203125" bestFit="1" customWidth="1"/>
    <col min="2" max="2" width="26.5546875" bestFit="1" customWidth="1"/>
    <col min="3" max="3" width="8.109375" bestFit="1" customWidth="1"/>
    <col min="4" max="4" width="18.88671875" customWidth="1"/>
    <col min="5" max="5" width="27.33203125" bestFit="1" customWidth="1"/>
    <col min="6" max="143" width="8.109375" bestFit="1" customWidth="1"/>
    <col min="144" max="144" width="10.77734375" bestFit="1" customWidth="1"/>
  </cols>
  <sheetData>
    <row r="2" spans="1:6" x14ac:dyDescent="0.3">
      <c r="A2" s="21"/>
      <c r="B2" s="21"/>
      <c r="C2" s="18">
        <v>5</v>
      </c>
      <c r="D2" s="21"/>
      <c r="E2" s="21"/>
      <c r="F2" s="18">
        <v>5</v>
      </c>
    </row>
    <row r="3" spans="1:6" x14ac:dyDescent="0.3">
      <c r="A3" s="21"/>
      <c r="B3" s="21"/>
      <c r="D3" s="21"/>
      <c r="E3" s="21"/>
    </row>
    <row r="4" spans="1:6" ht="14.4" customHeight="1" x14ac:dyDescent="0.3">
      <c r="A4" s="16"/>
      <c r="B4" s="16"/>
    </row>
    <row r="5" spans="1:6" ht="21" customHeight="1" x14ac:dyDescent="0.3">
      <c r="A5" s="20" t="s">
        <v>1009</v>
      </c>
      <c r="B5" s="20"/>
      <c r="D5" s="20" t="s">
        <v>1012</v>
      </c>
      <c r="E5" s="20"/>
    </row>
    <row r="6" spans="1:6" x14ac:dyDescent="0.3">
      <c r="A6" s="14" t="s">
        <v>1010</v>
      </c>
      <c r="B6" t="s">
        <v>1008</v>
      </c>
      <c r="D6" s="14" t="s">
        <v>1010</v>
      </c>
      <c r="E6" s="17" t="s">
        <v>1011</v>
      </c>
    </row>
    <row r="7" spans="1:6" x14ac:dyDescent="0.3">
      <c r="A7" s="15" t="s">
        <v>1003</v>
      </c>
      <c r="B7" s="11">
        <v>1.3668402777777779</v>
      </c>
      <c r="D7" s="15" t="s">
        <v>1003</v>
      </c>
      <c r="E7" s="19">
        <v>2.0905948641136138</v>
      </c>
    </row>
    <row r="8" spans="1:6" x14ac:dyDescent="0.3">
      <c r="A8" s="15" t="s">
        <v>1006</v>
      </c>
      <c r="B8" s="11">
        <v>1.0142939814814815</v>
      </c>
      <c r="D8" s="15" t="s">
        <v>1004</v>
      </c>
      <c r="E8" s="19">
        <v>1.064298009533315</v>
      </c>
    </row>
    <row r="9" spans="1:6" x14ac:dyDescent="0.3">
      <c r="A9" s="15" t="s">
        <v>1005</v>
      </c>
      <c r="B9" s="11">
        <v>0.67937500000000006</v>
      </c>
      <c r="D9" s="15" t="s">
        <v>1005</v>
      </c>
      <c r="E9" s="19">
        <v>1.122824596941316</v>
      </c>
    </row>
    <row r="10" spans="1:6" x14ac:dyDescent="0.3">
      <c r="A10" s="15" t="s">
        <v>1007</v>
      </c>
      <c r="B10" s="11">
        <v>0.67259259259259263</v>
      </c>
      <c r="D10" s="15" t="s">
        <v>1006</v>
      </c>
      <c r="E10" s="19">
        <v>1.7236731368386569</v>
      </c>
    </row>
    <row r="11" spans="1:6" x14ac:dyDescent="0.3">
      <c r="A11" s="15" t="s">
        <v>1004</v>
      </c>
      <c r="B11" s="11">
        <v>0.66396990740740747</v>
      </c>
      <c r="D11" s="15" t="s">
        <v>1007</v>
      </c>
      <c r="E11" s="19">
        <v>0.80510133036211395</v>
      </c>
    </row>
  </sheetData>
  <mergeCells count="4">
    <mergeCell ref="A5:B5"/>
    <mergeCell ref="A2:B3"/>
    <mergeCell ref="D5:E5"/>
    <mergeCell ref="D2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Spinner 2">
              <controlPr defaultSize="0" autoPict="0" macro="[0]!Spinner_code">
                <anchor moveWithCells="1" sizeWithCells="1">
                  <from>
                    <xdr:col>1</xdr:col>
                    <xdr:colOff>1409700</xdr:colOff>
                    <xdr:row>15</xdr:row>
                    <xdr:rowOff>106680</xdr:rowOff>
                  </from>
                  <to>
                    <xdr:col>1</xdr:col>
                    <xdr:colOff>1653540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6" name="Spinner 1">
              <controlPr defaultSize="0" autoPict="0" macro="[0]!Spinner_code">
                <anchor moveWithCells="1" sizeWithCells="1">
                  <from>
                    <xdr:col>1</xdr:col>
                    <xdr:colOff>182880</xdr:colOff>
                    <xdr:row>1</xdr:row>
                    <xdr:rowOff>38100</xdr:rowOff>
                  </from>
                  <to>
                    <xdr:col>1</xdr:col>
                    <xdr:colOff>426720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Spinner 8">
              <controlPr defaultSize="0" autoPict="0" macro="[0]!Spinner8_code">
                <anchor moveWithCells="1" sizeWithCells="1">
                  <from>
                    <xdr:col>4</xdr:col>
                    <xdr:colOff>220980</xdr:colOff>
                    <xdr:row>1</xdr:row>
                    <xdr:rowOff>15240</xdr:rowOff>
                  </from>
                  <to>
                    <xdr:col>4</xdr:col>
                    <xdr:colOff>464820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Spinner 9">
              <controlPr defaultSize="0" autoPict="0" macro="[0]!Spinner8_code">
                <anchor moveWithCells="1" sizeWithCells="1">
                  <from>
                    <xdr:col>4</xdr:col>
                    <xdr:colOff>1539240</xdr:colOff>
                    <xdr:row>14</xdr:row>
                    <xdr:rowOff>182880</xdr:rowOff>
                  </from>
                  <to>
                    <xdr:col>4</xdr:col>
                    <xdr:colOff>1752600</xdr:colOff>
                    <xdr:row>16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Overall-performance</vt:lpstr>
      <vt:lpstr>summary-sheet</vt:lpstr>
      <vt:lpstr>Dashboard</vt:lpstr>
      <vt:lpstr>Break_data</vt:lpstr>
      <vt:lpstr>Efficiency_data</vt:lpstr>
      <vt:lpstr>Performance_data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Singh</dc:creator>
  <cp:lastModifiedBy>Rohit Singh</cp:lastModifiedBy>
  <dcterms:created xsi:type="dcterms:W3CDTF">2025-05-27T06:20:04Z</dcterms:created>
  <dcterms:modified xsi:type="dcterms:W3CDTF">2025-05-27T19:50:35Z</dcterms:modified>
</cp:coreProperties>
</file>