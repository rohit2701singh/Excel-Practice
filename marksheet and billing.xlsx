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"/>
    </mc:Choice>
  </mc:AlternateContent>
  <xr:revisionPtr revIDLastSave="0" documentId="13_ncr:1_{5EA9261B-660D-40C1-9432-B62B7E2F9ADA}" xr6:coauthVersionLast="47" xr6:coauthVersionMax="47" xr10:uidLastSave="{00000000-0000-0000-0000-000000000000}"/>
  <bookViews>
    <workbookView xWindow="-108" yWindow="-108" windowWidth="23256" windowHeight="12456" tabRatio="608" activeTab="1" xr2:uid="{1477318E-431F-4BC9-AE0F-A6B1AD161D47}"/>
  </bookViews>
  <sheets>
    <sheet name="marksheet" sheetId="1" r:id="rId1"/>
    <sheet name="billing" sheetId="2" r:id="rId2"/>
    <sheet name="Decision Maker" sheetId="5" r:id="rId3"/>
  </sheets>
  <definedNames>
    <definedName name="_xlnm._FilterDatabase" localSheetId="1" hidden="1">billing!$A$1:$K$11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billing!$M$18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4" i="2"/>
  <c r="M5" i="2"/>
  <c r="M6" i="2"/>
  <c r="M7" i="2"/>
  <c r="M8" i="2"/>
  <c r="M9" i="2"/>
  <c r="M10" i="2"/>
  <c r="M11" i="2"/>
  <c r="K10" i="5"/>
  <c r="K9" i="5"/>
  <c r="K8" i="5"/>
  <c r="K7" i="5"/>
  <c r="K6" i="5"/>
  <c r="I10" i="5"/>
  <c r="I9" i="5"/>
  <c r="I8" i="5"/>
  <c r="I7" i="5"/>
  <c r="I6" i="5"/>
  <c r="G10" i="5"/>
  <c r="G9" i="5"/>
  <c r="G8" i="5"/>
  <c r="G7" i="5"/>
  <c r="G6" i="5"/>
  <c r="L6" i="5" s="1"/>
  <c r="E10" i="5"/>
  <c r="E9" i="5"/>
  <c r="E8" i="5"/>
  <c r="E7" i="5"/>
  <c r="E6" i="5"/>
  <c r="C7" i="5"/>
  <c r="L7" i="5" s="1"/>
  <c r="C8" i="5"/>
  <c r="L8" i="5" s="1"/>
  <c r="C9" i="5"/>
  <c r="L9" i="5" s="1"/>
  <c r="C10" i="5"/>
  <c r="L10" i="5" s="1"/>
  <c r="C6" i="5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P12" i="1"/>
  <c r="M5" i="1"/>
  <c r="P15" i="1"/>
  <c r="F14" i="1"/>
  <c r="O6" i="1"/>
  <c r="O1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3" i="1"/>
  <c r="L13" i="1"/>
  <c r="M13" i="1" s="1"/>
  <c r="O13" i="1" s="1"/>
  <c r="G17" i="1"/>
  <c r="D17" i="1"/>
  <c r="E17" i="1"/>
  <c r="C17" i="1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16" i="1"/>
  <c r="H5" i="1"/>
  <c r="H6" i="1"/>
  <c r="H7" i="1"/>
  <c r="H8" i="1"/>
  <c r="H9" i="1"/>
  <c r="H10" i="1"/>
  <c r="H11" i="1"/>
  <c r="H12" i="1"/>
  <c r="H13" i="1"/>
  <c r="H14" i="1"/>
  <c r="H15" i="1"/>
  <c r="H4" i="1"/>
  <c r="F5" i="1"/>
  <c r="L5" i="1" s="1"/>
  <c r="F6" i="1"/>
  <c r="L6" i="1" s="1"/>
  <c r="M6" i="1" s="1"/>
  <c r="P6" i="1" s="1"/>
  <c r="F7" i="1"/>
  <c r="L7" i="1" s="1"/>
  <c r="M7" i="1" s="1"/>
  <c r="F8" i="1"/>
  <c r="L8" i="1" s="1"/>
  <c r="M8" i="1" s="1"/>
  <c r="P8" i="1" s="1"/>
  <c r="F9" i="1"/>
  <c r="L9" i="1" s="1"/>
  <c r="M9" i="1" s="1"/>
  <c r="P9" i="1" s="1"/>
  <c r="F10" i="1"/>
  <c r="L10" i="1" s="1"/>
  <c r="M10" i="1" s="1"/>
  <c r="O10" i="1" s="1"/>
  <c r="F11" i="1"/>
  <c r="L11" i="1" s="1"/>
  <c r="M11" i="1" s="1"/>
  <c r="O11" i="1" s="1"/>
  <c r="F12" i="1"/>
  <c r="L12" i="1" s="1"/>
  <c r="M12" i="1" s="1"/>
  <c r="F13" i="1"/>
  <c r="L14" i="1"/>
  <c r="M14" i="1" s="1"/>
  <c r="O14" i="1" s="1"/>
  <c r="F15" i="1"/>
  <c r="L15" i="1" s="1"/>
  <c r="M15" i="1" s="1"/>
  <c r="O15" i="1" s="1"/>
  <c r="F16" i="1"/>
  <c r="L16" i="1" s="1"/>
  <c r="M16" i="1" s="1"/>
  <c r="P16" i="1" s="1"/>
  <c r="F4" i="1"/>
  <c r="L4" i="1" s="1"/>
  <c r="M4" i="1" s="1"/>
  <c r="K3" i="1"/>
  <c r="J3" i="1"/>
  <c r="I3" i="1"/>
  <c r="H3" i="1"/>
  <c r="F3" i="1"/>
  <c r="L3" i="1" s="1"/>
  <c r="M3" i="1" s="1"/>
  <c r="P3" i="1" s="1"/>
  <c r="J6" i="2" l="1"/>
  <c r="K6" i="2" s="1"/>
  <c r="J2" i="2"/>
  <c r="K2" i="2" s="1"/>
  <c r="J11" i="2"/>
  <c r="K11" i="2" s="1"/>
  <c r="J9" i="2"/>
  <c r="K9" i="2" s="1"/>
  <c r="J10" i="2"/>
  <c r="K10" i="2" s="1"/>
  <c r="J5" i="2"/>
  <c r="K5" i="2" s="1"/>
  <c r="J8" i="2"/>
  <c r="K8" i="2" s="1"/>
  <c r="J4" i="2"/>
  <c r="K4" i="2" s="1"/>
  <c r="J3" i="2"/>
  <c r="K3" i="2" s="1"/>
  <c r="J7" i="2"/>
  <c r="K7" i="2" s="1"/>
  <c r="P4" i="1"/>
  <c r="P7" i="1"/>
  <c r="O7" i="1"/>
  <c r="O5" i="1"/>
  <c r="P5" i="1"/>
  <c r="O9" i="1"/>
  <c r="O8" i="1"/>
  <c r="P11" i="1"/>
  <c r="P10" i="1"/>
  <c r="O3" i="1"/>
  <c r="O16" i="1"/>
  <c r="P13" i="1"/>
  <c r="P14" i="1"/>
  <c r="O4" i="1"/>
  <c r="H17" i="1"/>
  <c r="I17" i="1"/>
  <c r="F17" i="1"/>
  <c r="K17" i="1"/>
</calcChain>
</file>

<file path=xl/sharedStrings.xml><?xml version="1.0" encoding="utf-8"?>
<sst xmlns="http://schemas.openxmlformats.org/spreadsheetml/2006/main" count="108" uniqueCount="85">
  <si>
    <t>name of student</t>
  </si>
  <si>
    <t>subject1</t>
  </si>
  <si>
    <t>subject2</t>
  </si>
  <si>
    <t>subject3</t>
  </si>
  <si>
    <t>min</t>
  </si>
  <si>
    <t>max</t>
  </si>
  <si>
    <t>count</t>
  </si>
  <si>
    <t>avg</t>
  </si>
  <si>
    <t>per%</t>
  </si>
  <si>
    <t xml:space="preserve">grade </t>
  </si>
  <si>
    <t>rank</t>
  </si>
  <si>
    <t>aman</t>
  </si>
  <si>
    <t>akshay</t>
  </si>
  <si>
    <t>sachin</t>
  </si>
  <si>
    <t>bhavesh</t>
  </si>
  <si>
    <t>bhuwan</t>
  </si>
  <si>
    <t>rohit</t>
  </si>
  <si>
    <t>virat</t>
  </si>
  <si>
    <t>ramesh</t>
  </si>
  <si>
    <t>mahesh</t>
  </si>
  <si>
    <t>yash</t>
  </si>
  <si>
    <t>mohan</t>
  </si>
  <si>
    <t>mohit</t>
  </si>
  <si>
    <t>suyansh</t>
  </si>
  <si>
    <t>vikram</t>
  </si>
  <si>
    <t>total marks</t>
  </si>
  <si>
    <t>marks obtained</t>
  </si>
  <si>
    <t>Students Marksheet</t>
  </si>
  <si>
    <t>result (if)</t>
  </si>
  <si>
    <t>result (and)</t>
  </si>
  <si>
    <t>sr. no.</t>
  </si>
  <si>
    <t>fail</t>
  </si>
  <si>
    <t>Bill No.</t>
  </si>
  <si>
    <t>Name of Customer</t>
  </si>
  <si>
    <t>Product</t>
  </si>
  <si>
    <t>Sold Qty</t>
  </si>
  <si>
    <t>Rate</t>
  </si>
  <si>
    <t>Total Amount</t>
  </si>
  <si>
    <t>Discount in per%</t>
  </si>
  <si>
    <t>Discount in Amount</t>
  </si>
  <si>
    <t>Net Amount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</si>
  <si>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</si>
  <si>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</si>
  <si>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</si>
  <si>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</si>
  <si>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</si>
  <si>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</si>
  <si>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</si>
  <si>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</si>
  <si>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</si>
  <si>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</si>
  <si>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pratik</t>
  </si>
  <si>
    <t>mukesh</t>
  </si>
  <si>
    <t>nikhilesh</t>
  </si>
  <si>
    <t>nikita</t>
  </si>
  <si>
    <t>himanshu</t>
  </si>
  <si>
    <t>amilia</t>
  </si>
  <si>
    <t>bharat</t>
  </si>
  <si>
    <t>kailash</t>
  </si>
  <si>
    <t>mouse</t>
  </si>
  <si>
    <t>earbuds</t>
  </si>
  <si>
    <t>mobile</t>
  </si>
  <si>
    <t>keyboard</t>
  </si>
  <si>
    <t>laptop</t>
  </si>
  <si>
    <t>watch</t>
  </si>
  <si>
    <t>wholesaler</t>
  </si>
  <si>
    <t>retailer</t>
  </si>
  <si>
    <t>consumer</t>
  </si>
  <si>
    <t>Type of customer</t>
  </si>
  <si>
    <t>Date</t>
  </si>
  <si>
    <t>Pay</t>
  </si>
  <si>
    <t>Career Decisions</t>
  </si>
  <si>
    <t>Job</t>
  </si>
  <si>
    <t>McDonalds Manager</t>
  </si>
  <si>
    <t>Doctor</t>
  </si>
  <si>
    <t>NFL</t>
  </si>
  <si>
    <t>Engineer</t>
  </si>
  <si>
    <t>Truck Driver</t>
  </si>
  <si>
    <t>Job Market</t>
  </si>
  <si>
    <t>My Talent</t>
  </si>
  <si>
    <t>Schooling</t>
  </si>
  <si>
    <t>Enjoyment</t>
  </si>
  <si>
    <t>importance</t>
  </si>
  <si>
    <t>discount-vlookup</t>
  </si>
  <si>
    <t>before using vlookup sort values a to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</si>
</sst>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/>
    <xf numFmtId="0" fontId="0" fillId="0" borderId="1" xfId="0" applyBorder="1"/>
    <xf numFmtId="9" fontId="0" fillId="0" borderId="1" xfId="0" applyNumberFormat="1" applyBorder="1"/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9" fontId="0" fillId="0" borderId="1" xfId="1" applyFont="1" applyBorder="1"/>
    <xf numFmtId="0" fontId="3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/>
    <xf numFmtId="0" fontId="5" fillId="2" borderId="2" xfId="0" applyFont="1" applyFill="1" applyBorder="1" applyAlignment="1">
      <alignment horizontal="left" wrapText="1"/>
    </xf>
  </cellXfs>
  <cellStyles count="4">
    <cellStyle name="Comma 2" xfId="3" xr:uid="{525CE175-190E-48A4-9F1E-B1915909ABDB}"/>
    <cellStyle name="Normal" xfId="0" builtinId="0"/>
    <cellStyle name="Normal 2" xfId="2" xr:uid="{02B7657C-1433-451C-875A-F8792A888F8E}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00B050"/>
      </font>
    </dxf>
    <dxf>
      <fill>
        <patternFill>
          <bgColor theme="7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1A5C6-4644-46A7-B5E5-E21EDA817732}" name="Table1" displayName="Table1" ref="A1:K11" totalsRowShown="0" headerRowDxfId="16">
  <autoFilter ref="A1:K11" xr:uid="{A27393F6-42F2-4765-92DD-E96E400749A2}"/>
  <sortState xmlns:xlrd2="http://schemas.microsoft.com/office/spreadsheetml/2017/richdata2" ref="A2:K11">
    <sortCondition ref="A1:A11"/>
  </sortState>
  <tableColumns count="11">
    <tableColumn id="1" xr3:uid="{7BB02D1D-9062-482B-B76F-6DD3081311A3}" name="Bill No." dataDxfId="15"/>
    <tableColumn id="2" xr3:uid="{B232CB85-378C-45D7-9BA6-30A29EE8D17B}" name="Date" dataDxfId="14"/>
    <tableColumn id="3" xr3:uid="{DCABB091-2C68-44FA-A57C-3711F5125208}" name="Name of Customer" dataDxfId="13"/>
    <tableColumn id="4" xr3:uid="{3960057E-C5F0-422A-BD83-34246E6B8768}" name="Type of customer" dataDxfId="12"/>
    <tableColumn id="5" xr3:uid="{DE6D905C-2CB6-496B-B205-29D0B4CA2F0F}" name="Product" dataDxfId="11"/>
    <tableColumn id="6" xr3:uid="{33C4DB98-048E-4835-8963-FF6F0C39403A}" name="Sold Qty" dataDxfId="10"/>
    <tableColumn id="7" xr3:uid="{1EAF8E3D-03C6-42F4-AD56-291F9756CBF6}" name="Rate" dataDxfId="9"/>
    <tableColumn id="8" xr3:uid="{8F2F4D8E-A67D-496E-90E6-FDC7AAE40D56}" name="Total Amount" dataDxfId="8">
      <calculatedColumnFormula>F2*G2</calculatedColumnFormula>
    </tableColumn>
    <tableColumn id="9" xr3:uid="{98CDF8CF-ADCD-4DC7-8EB7-7B196CA3CEE6}" name="Discount in per%" dataDxfId="7" dataCellStyle="Percent">
      <calculatedColumnFormula>IF(D2="wholesaler",$F$13,IF(D2="retailer",$F$14,IF(D2="consumer",$F$15)))</calculatedColumnFormula>
    </tableColumn>
    <tableColumn id="10" xr3:uid="{8D1040BE-8125-4AFA-AB77-4C9E5039DE06}" name="Discount in Amount" dataDxfId="6">
      <calculatedColumnFormula>H2*I2</calculatedColumnFormula>
    </tableColumn>
    <tableColumn id="11" xr3:uid="{9926864D-089B-45E0-AFB2-73E0D0EDBCA2}" name="Net Amount" dataDxfId="5">
      <calculatedColumnFormula>H2-J2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F9FE-88C7-42F8-8DA6-D6E73B2D2FAE}">
  <sheetPr codeName="Sheet1"/>
  <dimension ref="A1:P20"/>
  <sheetViews>
    <sheetView zoomScale="88" zoomScaleNormal="110" workbookViewId="0">
      <selection sqref="A1:P1"/>
    </sheetView>
  </sheetViews>
  <sheetFormatPr defaultRowHeight="14.4"/>
  <cols>
    <col min="1" max="1" width="4.109375" customWidth="1"/>
    <col min="2" max="2" width="9.6640625" customWidth="1"/>
    <col min="3" max="3" width="8.109375" customWidth="1"/>
    <col min="4" max="5" width="8.109375" bestFit="1" customWidth="1"/>
    <col min="6" max="6" width="8.5546875" customWidth="1"/>
    <col min="7" max="7" width="6.5546875" customWidth="1"/>
    <col min="8" max="9" width="5.88671875" customWidth="1"/>
    <col min="10" max="10" width="5.88671875" bestFit="1" customWidth="1"/>
    <col min="11" max="12" width="6.6640625" customWidth="1"/>
    <col min="13" max="14" width="8" customWidth="1"/>
    <col min="15" max="15" width="6.88671875" customWidth="1"/>
    <col min="16" max="16" width="6.88671875" style="1" customWidth="1"/>
  </cols>
  <sheetData>
    <row r="1" spans="1:16" ht="28.2" customHeight="1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s="4" customFormat="1" ht="39" customHeight="1">
      <c r="A2" s="2" t="s">
        <v>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26</v>
      </c>
      <c r="G2" s="2" t="s">
        <v>25</v>
      </c>
      <c r="H2" s="2" t="s">
        <v>5</v>
      </c>
      <c r="I2" s="2" t="s">
        <v>4</v>
      </c>
      <c r="J2" s="2" t="s">
        <v>6</v>
      </c>
      <c r="K2" s="2" t="s">
        <v>7</v>
      </c>
      <c r="L2" s="2" t="s">
        <v>8</v>
      </c>
      <c r="M2" s="2" t="s">
        <v>28</v>
      </c>
      <c r="N2" s="2" t="s">
        <v>29</v>
      </c>
      <c r="O2" s="2" t="s">
        <v>9</v>
      </c>
      <c r="P2" s="2" t="s">
        <v>10</v>
      </c>
    </row>
    <row r="3" spans="1:16" ht="24" customHeight="1">
      <c r="A3" s="3">
        <v>1</v>
      </c>
      <c r="B3" s="3" t="s">
        <v>11</v>
      </c>
      <c r="C3" s="3">
        <v>79</v>
      </c>
      <c r="D3" s="3">
        <v>49</v>
      </c>
      <c r="E3" s="3">
        <v>49</v>
      </c>
      <c r="F3" s="3">
        <f t="shared" ref="F3:F16" si="0">SUM(C3:E3)</f>
        <v>177</v>
      </c>
      <c r="G3" s="3">
        <v>300</v>
      </c>
      <c r="H3" s="3">
        <f t="shared" ref="H3:H16" si="1">MAX(C3:E3)</f>
        <v>79</v>
      </c>
      <c r="I3" s="3">
        <f t="shared" ref="I3:I16" si="2">MIN(C3:E3)</f>
        <v>49</v>
      </c>
      <c r="J3" s="3">
        <f t="shared" ref="J3:J16" si="3">COUNT(C3:E3)</f>
        <v>3</v>
      </c>
      <c r="K3" s="3">
        <f t="shared" ref="K3:K16" si="4">AVERAGE(C3:E3)</f>
        <v>59</v>
      </c>
      <c r="L3" s="3">
        <f>F3*100/G3</f>
        <v>59</v>
      </c>
      <c r="M3" s="3" t="str">
        <f>IF(L3&gt;65,"pass","fail")</f>
        <v>fail</v>
      </c>
      <c r="N3" s="3" t="str">
        <f>IF(AND(C3&gt;45,D3&gt;45,E3&gt;45),"pass","fail" )</f>
        <v>pass</v>
      </c>
      <c r="O3" s="3" t="str">
        <f>IF(M3="fail","fail", IF(L3&gt;80,"A++", IF(L3&gt;=70,"A", IF(L3&gt;=60,"B", IF(L3&lt;=60,"C")))))</f>
        <v>fail</v>
      </c>
      <c r="P3" s="3" t="str">
        <f>IF(M3="fail","fail",RANK(F3,$F$3:$F$16,0))</f>
        <v>fail</v>
      </c>
    </row>
    <row r="4" spans="1:16" ht="24" customHeight="1">
      <c r="A4" s="3">
        <v>2</v>
      </c>
      <c r="B4" s="3" t="s">
        <v>12</v>
      </c>
      <c r="C4" s="3">
        <v>77</v>
      </c>
      <c r="D4" s="3">
        <v>80</v>
      </c>
      <c r="E4" s="3">
        <v>90</v>
      </c>
      <c r="F4" s="3">
        <f t="shared" si="0"/>
        <v>247</v>
      </c>
      <c r="G4" s="3">
        <v>300</v>
      </c>
      <c r="H4" s="3">
        <f t="shared" si="1"/>
        <v>90</v>
      </c>
      <c r="I4" s="3">
        <f t="shared" si="2"/>
        <v>77</v>
      </c>
      <c r="J4" s="3">
        <f t="shared" si="3"/>
        <v>3</v>
      </c>
      <c r="K4" s="3">
        <f t="shared" si="4"/>
        <v>82.333333333333329</v>
      </c>
      <c r="L4" s="3">
        <f t="shared" ref="L4:L16" si="5">F4*100/G4</f>
        <v>82.333333333333329</v>
      </c>
      <c r="M4" s="3" t="str">
        <f>IF(L4&gt;=65,"pass","fail")</f>
        <v>pass</v>
      </c>
      <c r="N4" s="3" t="str">
        <f t="shared" ref="N4:N16" si="6">IF(AND(C4&gt;45,D4&gt;45,E4&gt;45),"pass","fail" )</f>
        <v>pass</v>
      </c>
      <c r="O4" s="3" t="str">
        <f t="shared" ref="O4:O16" si="7">IF(M4="fail","fail", IF(L4&gt;80,"A++", IF(L4&gt;=70,"A", IF(L4&gt;=60,"B", IF(L4&lt;=60,"C")))))</f>
        <v>A++</v>
      </c>
      <c r="P4" s="3">
        <f t="shared" ref="P4:P16" si="8">IF(M4="fail","fail",RANK(F4,$F$3:$F$16,0))</f>
        <v>1</v>
      </c>
    </row>
    <row r="5" spans="1:16" ht="24" customHeight="1">
      <c r="A5" s="3">
        <v>3</v>
      </c>
      <c r="B5" s="3" t="s">
        <v>13</v>
      </c>
      <c r="C5" s="3">
        <v>89</v>
      </c>
      <c r="D5" s="3">
        <v>77</v>
      </c>
      <c r="E5" s="3">
        <v>43</v>
      </c>
      <c r="F5" s="3">
        <f t="shared" si="0"/>
        <v>209</v>
      </c>
      <c r="G5" s="3">
        <v>300</v>
      </c>
      <c r="H5" s="3">
        <f t="shared" si="1"/>
        <v>89</v>
      </c>
      <c r="I5" s="3">
        <f t="shared" si="2"/>
        <v>43</v>
      </c>
      <c r="J5" s="3">
        <f t="shared" si="3"/>
        <v>3</v>
      </c>
      <c r="K5" s="3">
        <f t="shared" si="4"/>
        <v>69.666666666666671</v>
      </c>
      <c r="L5" s="3">
        <f t="shared" si="5"/>
        <v>69.666666666666671</v>
      </c>
      <c r="M5" s="3" t="str">
        <f>IF(L5&gt;=65,"pass","fail")</f>
        <v>pass</v>
      </c>
      <c r="N5" s="3" t="str">
        <f t="shared" si="6"/>
        <v>fail</v>
      </c>
      <c r="O5" s="3" t="str">
        <f t="shared" si="7"/>
        <v>B</v>
      </c>
      <c r="P5" s="3">
        <f t="shared" si="8"/>
        <v>7</v>
      </c>
    </row>
    <row r="6" spans="1:16" ht="24" customHeight="1">
      <c r="A6" s="3">
        <v>4</v>
      </c>
      <c r="B6" s="3" t="s">
        <v>14</v>
      </c>
      <c r="C6" s="3">
        <v>82</v>
      </c>
      <c r="D6" s="3">
        <v>66</v>
      </c>
      <c r="E6" s="3">
        <v>46</v>
      </c>
      <c r="F6" s="3">
        <f t="shared" si="0"/>
        <v>194</v>
      </c>
      <c r="G6" s="3">
        <v>300</v>
      </c>
      <c r="H6" s="3">
        <f t="shared" si="1"/>
        <v>82</v>
      </c>
      <c r="I6" s="3">
        <f t="shared" si="2"/>
        <v>46</v>
      </c>
      <c r="J6" s="3">
        <f t="shared" si="3"/>
        <v>3</v>
      </c>
      <c r="K6" s="3">
        <f t="shared" si="4"/>
        <v>64.666666666666671</v>
      </c>
      <c r="L6" s="3">
        <f t="shared" si="5"/>
        <v>64.666666666666671</v>
      </c>
      <c r="M6" s="3" t="str">
        <f t="shared" ref="M6:M16" si="9">IF(L6&gt;=65,"pass","fail")</f>
        <v>fail</v>
      </c>
      <c r="N6" s="3" t="str">
        <f t="shared" si="6"/>
        <v>pass</v>
      </c>
      <c r="O6" s="3" t="str">
        <f t="shared" si="7"/>
        <v>fail</v>
      </c>
      <c r="P6" s="3" t="str">
        <f t="shared" si="8"/>
        <v>fail</v>
      </c>
    </row>
    <row r="7" spans="1:16" ht="24" customHeight="1">
      <c r="A7" s="3">
        <v>5</v>
      </c>
      <c r="B7" s="3" t="s">
        <v>15</v>
      </c>
      <c r="C7" s="3">
        <v>74</v>
      </c>
      <c r="D7" s="3">
        <v>46</v>
      </c>
      <c r="E7" s="3">
        <v>94</v>
      </c>
      <c r="F7" s="3">
        <f t="shared" si="0"/>
        <v>214</v>
      </c>
      <c r="G7" s="3">
        <v>300</v>
      </c>
      <c r="H7" s="3">
        <f t="shared" si="1"/>
        <v>94</v>
      </c>
      <c r="I7" s="3">
        <f t="shared" si="2"/>
        <v>46</v>
      </c>
      <c r="J7" s="3">
        <f t="shared" si="3"/>
        <v>3</v>
      </c>
      <c r="K7" s="3">
        <f t="shared" si="4"/>
        <v>71.333333333333329</v>
      </c>
      <c r="L7" s="3">
        <f t="shared" si="5"/>
        <v>71.333333333333329</v>
      </c>
      <c r="M7" s="3" t="str">
        <f t="shared" si="9"/>
        <v>pass</v>
      </c>
      <c r="N7" s="3" t="str">
        <f t="shared" si="6"/>
        <v>pass</v>
      </c>
      <c r="O7" s="3" t="str">
        <f t="shared" si="7"/>
        <v>A</v>
      </c>
      <c r="P7" s="3">
        <f t="shared" si="8"/>
        <v>6</v>
      </c>
    </row>
    <row r="8" spans="1:16" ht="24" customHeight="1">
      <c r="A8" s="3">
        <v>6</v>
      </c>
      <c r="B8" s="3" t="s">
        <v>16</v>
      </c>
      <c r="C8" s="3">
        <v>58</v>
      </c>
      <c r="D8" s="3">
        <v>52</v>
      </c>
      <c r="E8" s="3">
        <v>68</v>
      </c>
      <c r="F8" s="3">
        <f t="shared" si="0"/>
        <v>178</v>
      </c>
      <c r="G8" s="3">
        <v>300</v>
      </c>
      <c r="H8" s="3">
        <f t="shared" si="1"/>
        <v>68</v>
      </c>
      <c r="I8" s="3">
        <f t="shared" si="2"/>
        <v>52</v>
      </c>
      <c r="J8" s="3">
        <f t="shared" si="3"/>
        <v>3</v>
      </c>
      <c r="K8" s="3">
        <f t="shared" si="4"/>
        <v>59.333333333333336</v>
      </c>
      <c r="L8" s="3">
        <f t="shared" si="5"/>
        <v>59.333333333333336</v>
      </c>
      <c r="M8" s="3" t="str">
        <f t="shared" si="9"/>
        <v>fail</v>
      </c>
      <c r="N8" s="3" t="str">
        <f t="shared" si="6"/>
        <v>pass</v>
      </c>
      <c r="O8" s="3" t="str">
        <f t="shared" si="7"/>
        <v>fail</v>
      </c>
      <c r="P8" s="3" t="str">
        <f t="shared" si="8"/>
        <v>fail</v>
      </c>
    </row>
    <row r="9" spans="1:16" ht="24" customHeight="1">
      <c r="A9" s="3">
        <v>7</v>
      </c>
      <c r="B9" s="3" t="s">
        <v>17</v>
      </c>
      <c r="C9" s="3">
        <v>82</v>
      </c>
      <c r="D9" s="3">
        <v>96</v>
      </c>
      <c r="E9" s="3">
        <v>67</v>
      </c>
      <c r="F9" s="3">
        <f t="shared" si="0"/>
        <v>245</v>
      </c>
      <c r="G9" s="3">
        <v>300</v>
      </c>
      <c r="H9" s="3">
        <f t="shared" si="1"/>
        <v>96</v>
      </c>
      <c r="I9" s="3">
        <f t="shared" si="2"/>
        <v>67</v>
      </c>
      <c r="J9" s="3">
        <f t="shared" si="3"/>
        <v>3</v>
      </c>
      <c r="K9" s="3">
        <f t="shared" si="4"/>
        <v>81.666666666666671</v>
      </c>
      <c r="L9" s="3">
        <f t="shared" si="5"/>
        <v>81.666666666666671</v>
      </c>
      <c r="M9" s="3" t="str">
        <f t="shared" si="9"/>
        <v>pass</v>
      </c>
      <c r="N9" s="3" t="str">
        <f t="shared" si="6"/>
        <v>pass</v>
      </c>
      <c r="O9" s="3" t="str">
        <f t="shared" si="7"/>
        <v>A++</v>
      </c>
      <c r="P9" s="3">
        <f t="shared" si="8"/>
        <v>2</v>
      </c>
    </row>
    <row r="10" spans="1:16" ht="24" customHeight="1">
      <c r="A10" s="3">
        <v>8</v>
      </c>
      <c r="B10" s="3" t="s">
        <v>18</v>
      </c>
      <c r="C10" s="3">
        <v>59</v>
      </c>
      <c r="D10" s="3">
        <v>84</v>
      </c>
      <c r="E10" s="3">
        <v>49</v>
      </c>
      <c r="F10" s="3">
        <f t="shared" si="0"/>
        <v>192</v>
      </c>
      <c r="G10" s="3">
        <v>300</v>
      </c>
      <c r="H10" s="3">
        <f t="shared" si="1"/>
        <v>84</v>
      </c>
      <c r="I10" s="3">
        <f t="shared" si="2"/>
        <v>49</v>
      </c>
      <c r="J10" s="3">
        <f t="shared" si="3"/>
        <v>3</v>
      </c>
      <c r="K10" s="3">
        <f t="shared" si="4"/>
        <v>64</v>
      </c>
      <c r="L10" s="3">
        <f t="shared" si="5"/>
        <v>64</v>
      </c>
      <c r="M10" s="3" t="str">
        <f t="shared" si="9"/>
        <v>fail</v>
      </c>
      <c r="N10" s="3" t="str">
        <f t="shared" si="6"/>
        <v>pass</v>
      </c>
      <c r="O10" s="3" t="str">
        <f t="shared" si="7"/>
        <v>fail</v>
      </c>
      <c r="P10" s="3" t="str">
        <f t="shared" si="8"/>
        <v>fail</v>
      </c>
    </row>
    <row r="11" spans="1:16" ht="24" customHeight="1">
      <c r="A11" s="3">
        <v>9</v>
      </c>
      <c r="B11" s="3" t="s">
        <v>19</v>
      </c>
      <c r="C11" s="3">
        <v>42</v>
      </c>
      <c r="D11" s="3">
        <v>69</v>
      </c>
      <c r="E11" s="3">
        <v>66</v>
      </c>
      <c r="F11" s="3">
        <f t="shared" si="0"/>
        <v>177</v>
      </c>
      <c r="G11" s="3">
        <v>300</v>
      </c>
      <c r="H11" s="3">
        <f t="shared" si="1"/>
        <v>69</v>
      </c>
      <c r="I11" s="3">
        <f t="shared" si="2"/>
        <v>42</v>
      </c>
      <c r="J11" s="3">
        <f t="shared" si="3"/>
        <v>3</v>
      </c>
      <c r="K11" s="3">
        <f t="shared" si="4"/>
        <v>59</v>
      </c>
      <c r="L11" s="3">
        <f t="shared" si="5"/>
        <v>59</v>
      </c>
      <c r="M11" s="3" t="str">
        <f t="shared" si="9"/>
        <v>fail</v>
      </c>
      <c r="N11" s="3" t="str">
        <f t="shared" si="6"/>
        <v>fail</v>
      </c>
      <c r="O11" s="3" t="str">
        <f t="shared" si="7"/>
        <v>fail</v>
      </c>
      <c r="P11" s="3" t="str">
        <f t="shared" si="8"/>
        <v>fail</v>
      </c>
    </row>
    <row r="12" spans="1:16" ht="24" customHeight="1">
      <c r="A12" s="3">
        <v>10</v>
      </c>
      <c r="B12" s="3" t="s">
        <v>20</v>
      </c>
      <c r="C12" s="3">
        <v>86</v>
      </c>
      <c r="D12" s="3">
        <v>52</v>
      </c>
      <c r="E12" s="3">
        <v>82</v>
      </c>
      <c r="F12" s="3">
        <f t="shared" si="0"/>
        <v>220</v>
      </c>
      <c r="G12" s="3">
        <v>300</v>
      </c>
      <c r="H12" s="3">
        <f t="shared" si="1"/>
        <v>86</v>
      </c>
      <c r="I12" s="3">
        <f t="shared" si="2"/>
        <v>52</v>
      </c>
      <c r="J12" s="3">
        <f t="shared" si="3"/>
        <v>3</v>
      </c>
      <c r="K12" s="3">
        <f t="shared" si="4"/>
        <v>73.333333333333329</v>
      </c>
      <c r="L12" s="3">
        <f t="shared" si="5"/>
        <v>73.333333333333329</v>
      </c>
      <c r="M12" s="3" t="str">
        <f t="shared" si="9"/>
        <v>pass</v>
      </c>
      <c r="N12" s="3" t="str">
        <f t="shared" si="6"/>
        <v>pass</v>
      </c>
      <c r="O12" s="3" t="str">
        <f t="shared" si="7"/>
        <v>A</v>
      </c>
      <c r="P12" s="3">
        <f>IF(M12="fail","fail",RANK(F12,$F$3:$F$16,0))</f>
        <v>4</v>
      </c>
    </row>
    <row r="13" spans="1:16" ht="24" customHeight="1">
      <c r="A13" s="3">
        <v>11</v>
      </c>
      <c r="B13" s="3" t="s">
        <v>21</v>
      </c>
      <c r="C13" s="3">
        <v>95</v>
      </c>
      <c r="D13" s="3">
        <v>76</v>
      </c>
      <c r="E13" s="3">
        <v>44</v>
      </c>
      <c r="F13" s="3">
        <f t="shared" si="0"/>
        <v>215</v>
      </c>
      <c r="G13" s="3">
        <v>300</v>
      </c>
      <c r="H13" s="3">
        <f t="shared" si="1"/>
        <v>95</v>
      </c>
      <c r="I13" s="3">
        <f t="shared" si="2"/>
        <v>44</v>
      </c>
      <c r="J13" s="3">
        <f t="shared" si="3"/>
        <v>3</v>
      </c>
      <c r="K13" s="3">
        <f t="shared" si="4"/>
        <v>71.666666666666671</v>
      </c>
      <c r="L13" s="3">
        <f t="shared" si="5"/>
        <v>71.666666666666671</v>
      </c>
      <c r="M13" s="3" t="str">
        <f t="shared" si="9"/>
        <v>pass</v>
      </c>
      <c r="N13" s="3" t="str">
        <f t="shared" si="6"/>
        <v>fail</v>
      </c>
      <c r="O13" s="3" t="str">
        <f t="shared" si="7"/>
        <v>A</v>
      </c>
      <c r="P13" s="3">
        <f t="shared" si="8"/>
        <v>5</v>
      </c>
    </row>
    <row r="14" spans="1:16" ht="24" customHeight="1">
      <c r="A14" s="3">
        <v>12</v>
      </c>
      <c r="B14" s="3" t="s">
        <v>22</v>
      </c>
      <c r="C14" s="3">
        <v>93</v>
      </c>
      <c r="D14" s="3">
        <v>46</v>
      </c>
      <c r="E14" s="3">
        <v>96</v>
      </c>
      <c r="F14" s="3">
        <f>SUM(C14:E14)</f>
        <v>235</v>
      </c>
      <c r="G14" s="3">
        <v>300</v>
      </c>
      <c r="H14" s="3">
        <f t="shared" si="1"/>
        <v>96</v>
      </c>
      <c r="I14" s="3">
        <f t="shared" si="2"/>
        <v>46</v>
      </c>
      <c r="J14" s="3">
        <f t="shared" si="3"/>
        <v>3</v>
      </c>
      <c r="K14" s="3">
        <f t="shared" si="4"/>
        <v>78.333333333333329</v>
      </c>
      <c r="L14" s="3">
        <f t="shared" si="5"/>
        <v>78.333333333333329</v>
      </c>
      <c r="M14" s="3" t="str">
        <f t="shared" si="9"/>
        <v>pass</v>
      </c>
      <c r="N14" s="3" t="str">
        <f t="shared" si="6"/>
        <v>pass</v>
      </c>
      <c r="O14" s="3" t="str">
        <f t="shared" si="7"/>
        <v>A</v>
      </c>
      <c r="P14" s="3">
        <f t="shared" si="8"/>
        <v>3</v>
      </c>
    </row>
    <row r="15" spans="1:16" ht="24" customHeight="1">
      <c r="A15" s="3">
        <v>13</v>
      </c>
      <c r="B15" s="3" t="s">
        <v>23</v>
      </c>
      <c r="C15" s="3">
        <v>49</v>
      </c>
      <c r="D15" s="3">
        <v>82</v>
      </c>
      <c r="E15" s="3">
        <v>57</v>
      </c>
      <c r="F15" s="3">
        <f t="shared" si="0"/>
        <v>188</v>
      </c>
      <c r="G15" s="3">
        <v>300</v>
      </c>
      <c r="H15" s="3">
        <f t="shared" si="1"/>
        <v>82</v>
      </c>
      <c r="I15" s="3">
        <f t="shared" si="2"/>
        <v>49</v>
      </c>
      <c r="J15" s="3">
        <f t="shared" si="3"/>
        <v>3</v>
      </c>
      <c r="K15" s="3">
        <f t="shared" si="4"/>
        <v>62.666666666666664</v>
      </c>
      <c r="L15" s="3">
        <f t="shared" si="5"/>
        <v>62.666666666666664</v>
      </c>
      <c r="M15" s="3" t="str">
        <f t="shared" si="9"/>
        <v>fail</v>
      </c>
      <c r="N15" s="3" t="str">
        <f t="shared" si="6"/>
        <v>pass</v>
      </c>
      <c r="O15" s="3" t="str">
        <f t="shared" si="7"/>
        <v>fail</v>
      </c>
      <c r="P15" s="3" t="str">
        <f t="shared" si="8"/>
        <v>fail</v>
      </c>
    </row>
    <row r="16" spans="1:16" ht="24" customHeight="1">
      <c r="A16" s="3">
        <v>14</v>
      </c>
      <c r="B16" s="3" t="s">
        <v>24</v>
      </c>
      <c r="C16" s="3">
        <v>53</v>
      </c>
      <c r="D16" s="3">
        <v>77</v>
      </c>
      <c r="E16" s="3">
        <v>43</v>
      </c>
      <c r="F16" s="3">
        <f t="shared" si="0"/>
        <v>173</v>
      </c>
      <c r="G16" s="3">
        <v>300</v>
      </c>
      <c r="H16" s="3">
        <f t="shared" si="1"/>
        <v>77</v>
      </c>
      <c r="I16" s="3">
        <f t="shared" si="2"/>
        <v>43</v>
      </c>
      <c r="J16" s="3">
        <f t="shared" si="3"/>
        <v>3</v>
      </c>
      <c r="K16" s="3">
        <f t="shared" si="4"/>
        <v>57.666666666666664</v>
      </c>
      <c r="L16" s="3">
        <f t="shared" si="5"/>
        <v>57.666666666666664</v>
      </c>
      <c r="M16" s="3" t="str">
        <f t="shared" si="9"/>
        <v>fail</v>
      </c>
      <c r="N16" s="3" t="str">
        <f t="shared" si="6"/>
        <v>fail</v>
      </c>
      <c r="O16" s="3" t="str">
        <f t="shared" si="7"/>
        <v>fail</v>
      </c>
      <c r="P16" s="3" t="str">
        <f t="shared" si="8"/>
        <v>fail</v>
      </c>
    </row>
    <row r="17" spans="1:16" ht="24" customHeight="1">
      <c r="A17" s="3"/>
      <c r="B17" s="3"/>
      <c r="C17" s="3">
        <f>SUM(C3:C16)</f>
        <v>1018</v>
      </c>
      <c r="D17" s="3">
        <f t="shared" ref="D17:F17" si="10">SUM(D3:D16)</f>
        <v>952</v>
      </c>
      <c r="E17" s="3">
        <f t="shared" si="10"/>
        <v>894</v>
      </c>
      <c r="F17" s="3">
        <f t="shared" si="10"/>
        <v>2864</v>
      </c>
      <c r="G17" s="3">
        <f>SUM(G3:G16)</f>
        <v>4200</v>
      </c>
      <c r="H17" s="3">
        <f>MAX(H3:H16)</f>
        <v>96</v>
      </c>
      <c r="I17" s="3">
        <f>MIN(I3:I16)</f>
        <v>42</v>
      </c>
      <c r="J17" s="3"/>
      <c r="K17" s="3">
        <f>AVERAGE(K3:K16)</f>
        <v>68.19047619047619</v>
      </c>
      <c r="L17" s="3"/>
      <c r="M17" s="3"/>
      <c r="N17" s="3"/>
      <c r="O17" s="3"/>
      <c r="P17" s="3"/>
    </row>
    <row r="18" spans="1:16">
      <c r="B18" s="5"/>
    </row>
    <row r="20" spans="1:16">
      <c r="M20" t="s">
        <v>31</v>
      </c>
    </row>
  </sheetData>
  <mergeCells count="1">
    <mergeCell ref="A1:P1"/>
  </mergeCells>
  <phoneticPr fontId="2" type="noConversion"/>
  <conditionalFormatting sqref="A3:P16">
    <cfRule type="expression" dxfId="4" priority="1">
      <formula>$M$20=$M3</formula>
    </cfRule>
  </conditionalFormatting>
  <conditionalFormatting sqref="C3:E16">
    <cfRule type="cellIs" dxfId="3" priority="8" operator="between">
      <formula>80</formula>
      <formula>90</formula>
    </cfRule>
  </conditionalFormatting>
  <conditionalFormatting sqref="C3:E17">
    <cfRule type="cellIs" dxfId="2" priority="9" operator="lessThan">
      <formula>60</formula>
    </cfRule>
  </conditionalFormatting>
  <conditionalFormatting sqref="C17:E17">
    <cfRule type="cellIs" dxfId="1" priority="11" operator="lessThan">
      <formula>50</formula>
    </cfRule>
  </conditionalFormatting>
  <dataValidations count="4">
    <dataValidation type="whole" allowBlank="1" showInputMessage="1" showErrorMessage="1" errorTitle="number between 40 to 100" error="only number between 40 to 100 is allowed._x000a_change data validation from Data tag._x000a_select range where you want to apply validation then-&gt;Data-&gt;data validation-&gt;clear all" promptTitle="number between 40 to 100" prompt="only number between 40 to 100 is allowed._x000a_change data validation from Data tag._x000a_select range where you want to apply validation then-&gt;Data-&gt;data validation-&gt;clear all" sqref="E8:E16 E3:E6 C10:C16 C3:C8 D3:D7 D9:D16 D8" xr:uid="{6186776C-9612-415C-9B9F-86143E716E6F}">
      <formula1>40</formula1>
      <formula2>80</formula2>
    </dataValidation>
    <dataValidation type="whole" allowBlank="1" showInputMessage="1" showErrorMessage="1" errorTitle="number between 40 to 100" error="only number between 40 to 100 is allowed._x000a_change data validation from Data tag._x000a_select range where you want to apply validation then-&gt;Data-&gt;data validation-&gt;clear all" promptTitle="number between 40 to 100" prompt="only number between 40 to 100 is allowed._x000a_change data validation from Data tag._x000a_select range where you want to apply validation then-&gt;Data-&gt;data validation-&gt;clear all" sqref="E7" xr:uid="{8146DFDA-04E0-4648-8171-0EA2058D5AA2}">
      <formula1>40</formula1>
      <formula2>100</formula2>
    </dataValidation>
    <dataValidation type="whole" allowBlank="1" showErrorMessage="1" errorTitle="number between 40 to 100" error="only number between 40 to 100 is allowed._x000a_change data validation from Data tag._x000a_select range where you want to apply validation then-&gt;Data-&gt;data validation-&gt;clear all" promptTitle="number between 40 to 100" prompt="only number between 40 to 100 is allowed._x000a_change data validation from Data tag._x000a_select range where you want to apply validation then-&gt;Data-&gt;data validation-&gt;clear all" sqref="C9" xr:uid="{E0B831D0-8428-4342-AA86-3ED5DB5EA730}">
      <formula1>40</formula1>
      <formula2>80</formula2>
    </dataValidation>
    <dataValidation type="list" allowBlank="1" showInputMessage="1" showErrorMessage="1" sqref="M20" xr:uid="{B1F305D2-35F6-4C8F-810C-B5BF974E77BE}">
      <formula1>"pass, fail"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93F6-42F2-4765-92DD-E96E400749A2}">
  <dimension ref="A1:M19"/>
  <sheetViews>
    <sheetView tabSelected="1" topLeftCell="B1" workbookViewId="0">
      <selection activeCell="O15" sqref="O15"/>
    </sheetView>
  </sheetViews>
  <sheetFormatPr defaultRowHeight="14.4"/>
  <cols>
    <col min="1" max="1" width="11.33203125" bestFit="1" customWidth="1"/>
    <col min="2" max="2" width="10.33203125" style="10" bestFit="1" customWidth="1"/>
    <col min="3" max="3" width="18.33203125" customWidth="1"/>
    <col min="4" max="4" width="17.109375" customWidth="1"/>
    <col min="5" max="5" width="11.77734375" bestFit="1" customWidth="1"/>
    <col min="6" max="6" width="12.21875" bestFit="1" customWidth="1"/>
    <col min="7" max="7" width="9.21875" bestFit="1" customWidth="1"/>
    <col min="8" max="8" width="14" customWidth="1"/>
    <col min="9" max="9" width="16.44140625" style="7" customWidth="1"/>
    <col min="10" max="10" width="18.77734375" customWidth="1"/>
    <col min="11" max="11" width="12.77734375" customWidth="1"/>
  </cols>
  <sheetData>
    <row r="1" spans="1:13" s="6" customFormat="1" ht="28.8">
      <c r="A1" s="6" t="s">
        <v>32</v>
      </c>
      <c r="B1" s="23" t="s">
        <v>69</v>
      </c>
      <c r="C1" s="6" t="s">
        <v>33</v>
      </c>
      <c r="D1" s="6" t="s">
        <v>68</v>
      </c>
      <c r="E1" s="6" t="s">
        <v>34</v>
      </c>
      <c r="F1" s="6" t="s">
        <v>35</v>
      </c>
      <c r="G1" s="6" t="s">
        <v>36</v>
      </c>
      <c r="H1" s="6" t="s">
        <v>37</v>
      </c>
      <c r="I1" s="24" t="s">
        <v>38</v>
      </c>
      <c r="J1" s="6" t="s">
        <v>39</v>
      </c>
      <c r="K1" s="6" t="s">
        <v>40</v>
      </c>
      <c r="M1" s="29" t="s">
        <v>83</v>
      </c>
    </row>
    <row r="2" spans="1:13">
      <c r="A2" s="8" t="s">
        <v>41</v>
      </c>
      <c r="B2" s="25">
        <v>45794</v>
      </c>
      <c r="C2" s="8" t="s">
        <v>51</v>
      </c>
      <c r="D2" s="8" t="s">
        <v>65</v>
      </c>
      <c r="E2" s="8" t="s">
        <v>59</v>
      </c>
      <c r="F2" s="8">
        <v>1</v>
      </c>
      <c r="G2" s="8">
        <v>100</v>
      </c>
      <c r="H2" s="8">
        <f t="shared" ref="H2:H11" si="0">F2*G2</f>
        <v>100</v>
      </c>
      <c r="I2" s="26">
        <f t="shared" ref="I2:I11" si="1">IF(D2="wholesaler",$F$13,IF(D2="retailer",$F$14,IF(D2="consumer",$F$15)))</f>
        <v>0.2</v>
      </c>
      <c r="J2" s="8">
        <f t="shared" ref="J2:J11" si="2">H2*I2</f>
        <v>20</v>
      </c>
      <c r="K2" s="8">
        <f t="shared" ref="K2:K11" si="3">H2-J2</f>
        <v>80</v>
      </c>
      <c r="M2" s="30">
        <f>VLOOKUP(Table1[[#This Row],[Type of customer]],$H$17:$I$19,2,FALSE)</f>
        <v>0.2</v>
      </c>
    </row>
    <row r="3" spans="1:13">
      <c r="A3" s="8" t="s">
        <v>42</v>
      </c>
      <c r="B3" s="25">
        <v>45795</v>
      </c>
      <c r="C3" s="8" t="s">
        <v>18</v>
      </c>
      <c r="D3" s="8" t="s">
        <v>66</v>
      </c>
      <c r="E3" s="8" t="s">
        <v>60</v>
      </c>
      <c r="F3" s="8">
        <v>2</v>
      </c>
      <c r="G3" s="8">
        <v>500</v>
      </c>
      <c r="H3" s="8">
        <f t="shared" si="0"/>
        <v>1000</v>
      </c>
      <c r="I3" s="26">
        <f t="shared" si="1"/>
        <v>0.1</v>
      </c>
      <c r="J3" s="8">
        <f t="shared" si="2"/>
        <v>100</v>
      </c>
      <c r="K3" s="8">
        <f t="shared" si="3"/>
        <v>900</v>
      </c>
      <c r="M3" s="30">
        <f>VLOOKUP(Table1[[#This Row],[Type of customer]],$H$17:$I$19,2,FALSE)</f>
        <v>0.1</v>
      </c>
    </row>
    <row r="4" spans="1:13">
      <c r="A4" s="8" t="s">
        <v>43</v>
      </c>
      <c r="B4" s="25">
        <v>45796</v>
      </c>
      <c r="C4" s="8" t="s">
        <v>52</v>
      </c>
      <c r="D4" s="8" t="s">
        <v>66</v>
      </c>
      <c r="E4" s="8" t="s">
        <v>59</v>
      </c>
      <c r="F4" s="8">
        <v>3</v>
      </c>
      <c r="G4" s="8">
        <v>100</v>
      </c>
      <c r="H4" s="8">
        <f t="shared" si="0"/>
        <v>300</v>
      </c>
      <c r="I4" s="26">
        <f t="shared" si="1"/>
        <v>0.1</v>
      </c>
      <c r="J4" s="8">
        <f t="shared" si="2"/>
        <v>30</v>
      </c>
      <c r="K4" s="8">
        <f t="shared" si="3"/>
        <v>270</v>
      </c>
      <c r="M4" s="30">
        <f>VLOOKUP(Table1[[#This Row],[Type of customer]],$H$17:$I$19,2,FALSE)</f>
        <v>0.1</v>
      </c>
    </row>
    <row r="5" spans="1:13">
      <c r="A5" s="8" t="s">
        <v>44</v>
      </c>
      <c r="B5" s="25">
        <v>45797</v>
      </c>
      <c r="C5" s="8" t="s">
        <v>53</v>
      </c>
      <c r="D5" s="8" t="s">
        <v>67</v>
      </c>
      <c r="E5" s="8" t="s">
        <v>61</v>
      </c>
      <c r="F5" s="8">
        <v>4</v>
      </c>
      <c r="G5" s="8">
        <v>2000</v>
      </c>
      <c r="H5" s="8">
        <f t="shared" si="0"/>
        <v>8000</v>
      </c>
      <c r="I5" s="26">
        <f t="shared" si="1"/>
        <v>0</v>
      </c>
      <c r="J5" s="8">
        <f t="shared" si="2"/>
        <v>0</v>
      </c>
      <c r="K5" s="8">
        <f t="shared" si="3"/>
        <v>8000</v>
      </c>
      <c r="M5" s="30">
        <f>VLOOKUP(Table1[[#This Row],[Type of customer]],$H$17:$I$19,2,FALSE)</f>
        <v>0</v>
      </c>
    </row>
    <row r="6" spans="1:13">
      <c r="A6" s="8" t="s">
        <v>45</v>
      </c>
      <c r="B6" s="25">
        <v>45798</v>
      </c>
      <c r="C6" s="8" t="s">
        <v>54</v>
      </c>
      <c r="D6" s="8" t="s">
        <v>66</v>
      </c>
      <c r="E6" s="8" t="s">
        <v>62</v>
      </c>
      <c r="F6" s="8">
        <v>5</v>
      </c>
      <c r="G6" s="8">
        <v>600</v>
      </c>
      <c r="H6" s="8">
        <f t="shared" si="0"/>
        <v>3000</v>
      </c>
      <c r="I6" s="26">
        <f t="shared" si="1"/>
        <v>0.1</v>
      </c>
      <c r="J6" s="8">
        <f t="shared" si="2"/>
        <v>300</v>
      </c>
      <c r="K6" s="8">
        <f t="shared" si="3"/>
        <v>2700</v>
      </c>
      <c r="M6" s="30">
        <f>VLOOKUP(Table1[[#This Row],[Type of customer]],$H$17:$I$19,2,FALSE)</f>
        <v>0.1</v>
      </c>
    </row>
    <row r="7" spans="1:13">
      <c r="A7" s="8" t="s">
        <v>46</v>
      </c>
      <c r="B7" s="25">
        <v>45799</v>
      </c>
      <c r="C7" s="8" t="s">
        <v>55</v>
      </c>
      <c r="D7" s="8" t="s">
        <v>66</v>
      </c>
      <c r="E7" s="8" t="s">
        <v>60</v>
      </c>
      <c r="F7" s="8">
        <v>6</v>
      </c>
      <c r="G7" s="8">
        <v>500</v>
      </c>
      <c r="H7" s="8">
        <f t="shared" si="0"/>
        <v>3000</v>
      </c>
      <c r="I7" s="26">
        <f t="shared" si="1"/>
        <v>0.1</v>
      </c>
      <c r="J7" s="8">
        <f t="shared" si="2"/>
        <v>300</v>
      </c>
      <c r="K7" s="8">
        <f t="shared" si="3"/>
        <v>2700</v>
      </c>
      <c r="M7" s="30">
        <f>VLOOKUP(Table1[[#This Row],[Type of customer]],$H$17:$I$19,2,FALSE)</f>
        <v>0.1</v>
      </c>
    </row>
    <row r="8" spans="1:13">
      <c r="A8" s="8" t="s">
        <v>47</v>
      </c>
      <c r="B8" s="25">
        <v>45800</v>
      </c>
      <c r="C8" s="8" t="s">
        <v>16</v>
      </c>
      <c r="D8" s="8" t="s">
        <v>65</v>
      </c>
      <c r="E8" s="8" t="s">
        <v>59</v>
      </c>
      <c r="F8" s="8">
        <v>7</v>
      </c>
      <c r="G8" s="8">
        <v>400</v>
      </c>
      <c r="H8" s="8">
        <f t="shared" si="0"/>
        <v>2800</v>
      </c>
      <c r="I8" s="26">
        <f t="shared" si="1"/>
        <v>0.2</v>
      </c>
      <c r="J8" s="8">
        <f t="shared" si="2"/>
        <v>560</v>
      </c>
      <c r="K8" s="8">
        <f t="shared" si="3"/>
        <v>2240</v>
      </c>
      <c r="M8" s="30">
        <f>VLOOKUP(Table1[[#This Row],[Type of customer]],$H$17:$I$19,2,FALSE)</f>
        <v>0.2</v>
      </c>
    </row>
    <row r="9" spans="1:13">
      <c r="A9" s="8" t="s">
        <v>48</v>
      </c>
      <c r="B9" s="25">
        <v>45801</v>
      </c>
      <c r="C9" s="8" t="s">
        <v>56</v>
      </c>
      <c r="D9" s="8" t="s">
        <v>67</v>
      </c>
      <c r="E9" s="8" t="s">
        <v>60</v>
      </c>
      <c r="F9" s="8">
        <v>8</v>
      </c>
      <c r="G9" s="8">
        <v>300</v>
      </c>
      <c r="H9" s="8">
        <f t="shared" si="0"/>
        <v>2400</v>
      </c>
      <c r="I9" s="26">
        <f t="shared" si="1"/>
        <v>0</v>
      </c>
      <c r="J9" s="8">
        <f t="shared" si="2"/>
        <v>0</v>
      </c>
      <c r="K9" s="8">
        <f t="shared" si="3"/>
        <v>2400</v>
      </c>
      <c r="M9" s="30">
        <f>VLOOKUP(Table1[[#This Row],[Type of customer]],$H$17:$I$19,2,FALSE)</f>
        <v>0</v>
      </c>
    </row>
    <row r="10" spans="1:13">
      <c r="A10" s="8" t="s">
        <v>49</v>
      </c>
      <c r="B10" s="25">
        <v>45802</v>
      </c>
      <c r="C10" s="8" t="s">
        <v>57</v>
      </c>
      <c r="D10" s="8" t="s">
        <v>67</v>
      </c>
      <c r="E10" s="8" t="s">
        <v>64</v>
      </c>
      <c r="F10" s="8">
        <v>9</v>
      </c>
      <c r="G10" s="8">
        <v>100</v>
      </c>
      <c r="H10" s="8">
        <f t="shared" si="0"/>
        <v>900</v>
      </c>
      <c r="I10" s="26">
        <f t="shared" si="1"/>
        <v>0</v>
      </c>
      <c r="J10" s="8">
        <f t="shared" si="2"/>
        <v>0</v>
      </c>
      <c r="K10" s="8">
        <f t="shared" si="3"/>
        <v>900</v>
      </c>
      <c r="M10" s="30">
        <f>VLOOKUP(Table1[[#This Row],[Type of customer]],$H$17:$I$19,2,FALSE)</f>
        <v>0</v>
      </c>
    </row>
    <row r="11" spans="1:13">
      <c r="A11" s="8" t="s">
        <v>50</v>
      </c>
      <c r="B11" s="25">
        <v>45803</v>
      </c>
      <c r="C11" s="8" t="s">
        <v>58</v>
      </c>
      <c r="D11" s="8" t="s">
        <v>65</v>
      </c>
      <c r="E11" s="8" t="s">
        <v>63</v>
      </c>
      <c r="F11" s="8">
        <v>10</v>
      </c>
      <c r="G11" s="8">
        <v>1000</v>
      </c>
      <c r="H11" s="8">
        <f t="shared" si="0"/>
        <v>10000</v>
      </c>
      <c r="I11" s="26">
        <f t="shared" si="1"/>
        <v>0.2</v>
      </c>
      <c r="J11" s="8">
        <f t="shared" si="2"/>
        <v>2000</v>
      </c>
      <c r="K11" s="8">
        <f t="shared" si="3"/>
        <v>8000</v>
      </c>
      <c r="M11" s="30">
        <f>VLOOKUP(Table1[[#This Row],[Type of customer]],$H$17:$I$19,2,FALSE)</f>
        <v>0.2</v>
      </c>
    </row>
    <row r="13" spans="1:13">
      <c r="E13" s="8" t="s">
        <v>65</v>
      </c>
      <c r="F13" s="9">
        <v>0.2</v>
      </c>
    </row>
    <row r="14" spans="1:13">
      <c r="E14" s="8" t="s">
        <v>66</v>
      </c>
      <c r="F14" s="9">
        <v>0.1</v>
      </c>
    </row>
    <row r="15" spans="1:13">
      <c r="E15" s="8" t="s">
        <v>67</v>
      </c>
      <c r="F15" s="9">
        <v>0</v>
      </c>
    </row>
    <row r="16" spans="1:13" ht="28.2" customHeight="1">
      <c r="H16" s="31" t="s">
        <v>84</v>
      </c>
      <c r="I16" s="31"/>
    </row>
    <row r="17" spans="8:9">
      <c r="H17" s="8" t="s">
        <v>67</v>
      </c>
      <c r="I17" s="9">
        <v>0</v>
      </c>
    </row>
    <row r="18" spans="8:9">
      <c r="H18" s="8" t="s">
        <v>66</v>
      </c>
      <c r="I18" s="9">
        <v>0.1</v>
      </c>
    </row>
    <row r="19" spans="8:9">
      <c r="H19" s="8" t="s">
        <v>65</v>
      </c>
      <c r="I19" s="9">
        <v>0.2</v>
      </c>
    </row>
  </sheetData>
  <sortState xmlns:xlrd2="http://schemas.microsoft.com/office/spreadsheetml/2017/richdata2" ref="H17:I19">
    <sortCondition ref="H18:H19"/>
  </sortState>
  <mergeCells count="1">
    <mergeCell ref="H16:I16"/>
  </mergeCells>
  <phoneticPr fontId="2" type="noConversion"/>
  <dataValidations count="1">
    <dataValidation type="list" allowBlank="1" showInputMessage="1" showErrorMessage="1" sqref="E2:E11" xr:uid="{F726C445-45FB-47EA-86D6-5458C9588B71}">
      <formula1>"laptop, watch, mouse, mobile, earbuds, keyboard"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C95B-F494-4019-A21B-797E7D031769}">
  <dimension ref="A1:L10"/>
  <sheetViews>
    <sheetView workbookViewId="0">
      <selection activeCell="G19" sqref="G19"/>
    </sheetView>
  </sheetViews>
  <sheetFormatPr defaultRowHeight="14.4"/>
  <cols>
    <col min="1" max="1" width="18" bestFit="1" customWidth="1"/>
    <col min="2" max="2" width="5.5546875" customWidth="1"/>
    <col min="3" max="3" width="10.33203125" bestFit="1" customWidth="1"/>
    <col min="4" max="4" width="10.109375" bestFit="1" customWidth="1"/>
    <col min="5" max="5" width="10.33203125" bestFit="1" customWidth="1"/>
    <col min="6" max="6" width="9.6640625" bestFit="1" customWidth="1"/>
    <col min="7" max="7" width="9.6640625" customWidth="1"/>
    <col min="8" max="8" width="9.109375" bestFit="1" customWidth="1"/>
    <col min="9" max="9" width="9.109375" customWidth="1"/>
    <col min="11" max="11" width="10.33203125" bestFit="1" customWidth="1"/>
  </cols>
  <sheetData>
    <row r="1" spans="1:12">
      <c r="A1" s="28" t="s">
        <v>71</v>
      </c>
      <c r="B1" s="28"/>
    </row>
    <row r="2" spans="1:12">
      <c r="A2" s="28"/>
      <c r="B2" s="28"/>
    </row>
    <row r="3" spans="1:12" ht="18.600000000000001" customHeight="1">
      <c r="A3" s="22"/>
      <c r="B3" s="22"/>
    </row>
    <row r="4" spans="1:12">
      <c r="C4" t="s">
        <v>82</v>
      </c>
      <c r="E4" t="s">
        <v>82</v>
      </c>
      <c r="G4" t="s">
        <v>82</v>
      </c>
      <c r="I4" t="s">
        <v>82</v>
      </c>
      <c r="K4" t="s">
        <v>82</v>
      </c>
    </row>
    <row r="5" spans="1:12">
      <c r="A5" s="16" t="s">
        <v>72</v>
      </c>
      <c r="B5" s="17" t="s">
        <v>70</v>
      </c>
      <c r="C5" s="17">
        <v>3</v>
      </c>
      <c r="D5" s="18" t="s">
        <v>78</v>
      </c>
      <c r="E5" s="18">
        <v>5</v>
      </c>
      <c r="F5" s="19" t="s">
        <v>81</v>
      </c>
      <c r="G5" s="19">
        <v>4</v>
      </c>
      <c r="H5" s="20" t="s">
        <v>79</v>
      </c>
      <c r="I5" s="20">
        <v>3</v>
      </c>
      <c r="J5" s="21" t="s">
        <v>80</v>
      </c>
      <c r="K5" s="21">
        <v>1</v>
      </c>
      <c r="L5" s="16"/>
    </row>
    <row r="6" spans="1:12">
      <c r="A6" s="5" t="s">
        <v>73</v>
      </c>
      <c r="B6" s="11">
        <v>1</v>
      </c>
      <c r="C6" s="11">
        <f>C$5*B6</f>
        <v>3</v>
      </c>
      <c r="D6" s="12">
        <v>5</v>
      </c>
      <c r="E6" s="12">
        <f>E$5*D6</f>
        <v>25</v>
      </c>
      <c r="F6" s="13">
        <v>1</v>
      </c>
      <c r="G6" s="13">
        <f>G$5*F6</f>
        <v>4</v>
      </c>
      <c r="H6" s="14">
        <v>4</v>
      </c>
      <c r="I6" s="14">
        <f>I$5*H6</f>
        <v>12</v>
      </c>
      <c r="J6" s="15">
        <v>5</v>
      </c>
      <c r="K6" s="15">
        <f>K$5*J6</f>
        <v>5</v>
      </c>
      <c r="L6" s="5">
        <f>C6+E6+G6+I6+K6</f>
        <v>49</v>
      </c>
    </row>
    <row r="7" spans="1:12">
      <c r="A7" s="5" t="s">
        <v>74</v>
      </c>
      <c r="B7" s="11">
        <v>4</v>
      </c>
      <c r="C7" s="11">
        <f t="shared" ref="C7:C10" si="0">C$5*B7</f>
        <v>12</v>
      </c>
      <c r="D7" s="12">
        <v>4</v>
      </c>
      <c r="E7" s="12">
        <f t="shared" ref="E7" si="1">E$5*D7</f>
        <v>20</v>
      </c>
      <c r="F7" s="13">
        <v>3</v>
      </c>
      <c r="G7" s="13">
        <f t="shared" ref="G7" si="2">G$5*F7</f>
        <v>12</v>
      </c>
      <c r="H7" s="14">
        <v>2</v>
      </c>
      <c r="I7" s="14">
        <f t="shared" ref="I7" si="3">I$5*H7</f>
        <v>6</v>
      </c>
      <c r="J7" s="15">
        <v>1</v>
      </c>
      <c r="K7" s="15">
        <f t="shared" ref="K7" si="4">K$5*J7</f>
        <v>1</v>
      </c>
      <c r="L7" s="5">
        <f t="shared" ref="L7:L10" si="5">C7+E7+G7+I7+K7</f>
        <v>51</v>
      </c>
    </row>
    <row r="8" spans="1:12">
      <c r="A8" s="5" t="s">
        <v>75</v>
      </c>
      <c r="B8" s="11">
        <v>5</v>
      </c>
      <c r="C8" s="11">
        <f t="shared" si="0"/>
        <v>15</v>
      </c>
      <c r="D8" s="12">
        <v>1</v>
      </c>
      <c r="E8" s="12">
        <f t="shared" ref="E8" si="6">E$5*D8</f>
        <v>5</v>
      </c>
      <c r="F8" s="13">
        <v>5</v>
      </c>
      <c r="G8" s="13">
        <f t="shared" ref="G8" si="7">G$5*F8</f>
        <v>20</v>
      </c>
      <c r="H8" s="14">
        <v>3</v>
      </c>
      <c r="I8" s="14">
        <f t="shared" ref="I8" si="8">I$5*H8</f>
        <v>9</v>
      </c>
      <c r="J8" s="15">
        <v>3</v>
      </c>
      <c r="K8" s="15">
        <f t="shared" ref="K8" si="9">K$5*J8</f>
        <v>3</v>
      </c>
      <c r="L8" s="5">
        <f t="shared" si="5"/>
        <v>52</v>
      </c>
    </row>
    <row r="9" spans="1:12">
      <c r="A9" s="5" t="s">
        <v>76</v>
      </c>
      <c r="B9" s="11">
        <v>3</v>
      </c>
      <c r="C9" s="11">
        <f t="shared" si="0"/>
        <v>9</v>
      </c>
      <c r="D9" s="12">
        <v>5</v>
      </c>
      <c r="E9" s="12">
        <f t="shared" ref="E9" si="10">E$5*D9</f>
        <v>25</v>
      </c>
      <c r="F9" s="13">
        <v>4</v>
      </c>
      <c r="G9" s="13">
        <f t="shared" ref="G9" si="11">G$5*F9</f>
        <v>16</v>
      </c>
      <c r="H9" s="14">
        <v>4</v>
      </c>
      <c r="I9" s="14">
        <f t="shared" ref="I9" si="12">I$5*H9</f>
        <v>12</v>
      </c>
      <c r="J9" s="15">
        <v>3</v>
      </c>
      <c r="K9" s="15">
        <f t="shared" ref="K9" si="13">K$5*J9</f>
        <v>3</v>
      </c>
      <c r="L9" s="5">
        <f t="shared" si="5"/>
        <v>65</v>
      </c>
    </row>
    <row r="10" spans="1:12">
      <c r="A10" s="5" t="s">
        <v>77</v>
      </c>
      <c r="B10" s="11">
        <v>3</v>
      </c>
      <c r="C10" s="11">
        <f t="shared" si="0"/>
        <v>9</v>
      </c>
      <c r="D10" s="12">
        <v>5</v>
      </c>
      <c r="E10" s="12">
        <f t="shared" ref="E10" si="14">E$5*D10</f>
        <v>25</v>
      </c>
      <c r="F10" s="13">
        <v>2</v>
      </c>
      <c r="G10" s="13">
        <f t="shared" ref="G10" si="15">G$5*F10</f>
        <v>8</v>
      </c>
      <c r="H10" s="14">
        <v>2</v>
      </c>
      <c r="I10" s="14">
        <f t="shared" ref="I10" si="16">I$5*H10</f>
        <v>6</v>
      </c>
      <c r="J10" s="15">
        <v>5</v>
      </c>
      <c r="K10" s="15">
        <f t="shared" ref="K10" si="17">K$5*J10</f>
        <v>5</v>
      </c>
      <c r="L10" s="5">
        <f t="shared" si="5"/>
        <v>53</v>
      </c>
    </row>
  </sheetData>
  <mergeCells count="1">
    <mergeCell ref="A1:B2"/>
  </mergeCells>
  <conditionalFormatting sqref="L6:L10">
    <cfRule type="top10" dxfId="0" priority="1" percent="1" rank="10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billing</vt:lpstr>
      <vt:lpstr>Decision 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cp:lastPrinted>2025-05-17T21:03:17Z</cp:lastPrinted>
  <dcterms:created xsi:type="dcterms:W3CDTF">2025-05-17T06:19:05Z</dcterms:created>
  <dcterms:modified xsi:type="dcterms:W3CDTF">2025-05-28T07:08:46Z</dcterms:modified>
</cp:coreProperties>
</file>