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3.xml" ContentType="application/vnd.openxmlformats-officedocument.spreadsheetml.pivot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6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drawings/drawing3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8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ohit\Excel_Practice\PowerQuery-and-PowerPivot\Power-Query\"/>
    </mc:Choice>
  </mc:AlternateContent>
  <xr:revisionPtr revIDLastSave="0" documentId="13_ncr:1_{65A75EC0-C56D-4DED-9C84-1815849DC0BB}" xr6:coauthVersionLast="47" xr6:coauthVersionMax="47" xr10:uidLastSave="{00000000-0000-0000-0000-000000000000}"/>
  <bookViews>
    <workbookView xWindow="-108" yWindow="-108" windowWidth="23256" windowHeight="12456" tabRatio="778" activeTab="3" xr2:uid="{22B2529F-C0DC-4E17-A673-D829C45BF6B0}"/>
  </bookViews>
  <sheets>
    <sheet name="Topics-covered" sheetId="3" r:id="rId1"/>
    <sheet name="SplitName_UpperCase_sheet" sheetId="5" r:id="rId2"/>
    <sheet name="data-1" sheetId="1" r:id="rId3"/>
    <sheet name="UnpivotedData" sheetId="10" r:id="rId4"/>
    <sheet name="DataForUnpivot" sheetId="9" r:id="rId5"/>
    <sheet name="GroupByTable" sheetId="8" r:id="rId6"/>
    <sheet name="DataForGroupBy" sheetId="6" r:id="rId7"/>
    <sheet name="DateTimeData" sheetId="11" r:id="rId8"/>
    <sheet name="AddExtra_Columns" sheetId="12" r:id="rId9"/>
  </sheets>
  <definedNames>
    <definedName name="ExternalData_1" localSheetId="8" hidden="1">AddExtra_Columns!$F$3:$J$14</definedName>
    <definedName name="ExternalData_1" localSheetId="2" hidden="1">'data-1'!$E$17:$G$27</definedName>
    <definedName name="ExternalData_1" localSheetId="7" hidden="1">DateTimeData!$F$6:$F$31</definedName>
    <definedName name="ExternalData_1" localSheetId="5" hidden="1">GroupByTable!$A$1:$C$23</definedName>
    <definedName name="ExternalData_1" localSheetId="1" hidden="1">SplitName_UpperCase_sheet!$A$1:$L$11</definedName>
    <definedName name="ExternalData_1" localSheetId="3" hidden="1">UnpivotedData!$A$1:$C$46</definedName>
    <definedName name="ExternalData_2" localSheetId="8" hidden="1">AddExtra_Columns!$F$21:$J$57</definedName>
    <definedName name="ExternalData_2" localSheetId="7" hidden="1">DateTimeData!$P$4:$R$16</definedName>
    <definedName name="ExternalData_3" localSheetId="7" hidden="1">DateTimeData!$P$23:$S$34</definedName>
  </definedNames>
  <calcPr calcId="191029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8" i="9" l="1"/>
  <c r="I9" i="9"/>
  <c r="I10" i="9"/>
  <c r="I11" i="9"/>
  <c r="I12" i="9"/>
  <c r="I13" i="9"/>
  <c r="I14" i="9"/>
  <c r="I15" i="9"/>
  <c r="I16" i="9"/>
  <c r="I8" i="9"/>
  <c r="D18" i="9"/>
  <c r="E18" i="9"/>
  <c r="F18" i="9"/>
  <c r="G18" i="9"/>
  <c r="C18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80F947-4C1B-4323-A8EE-C171AD249CB0}" keepAlive="1" name="Query - Age_Calculation" description="Connection to the 'Age_Calculation' query in the workbook." type="5" refreshedVersion="8" background="1" saveData="1">
    <dbPr connection="Provider=Microsoft.Mashup.OleDb.1;Data Source=$Workbook$;Location=Age_Calculation;Extended Properties=&quot;&quot;" command="SELECT * FROM [Age_Calculation]"/>
  </connection>
  <connection id="2" xr16:uid="{4216CED5-10F4-4319-9FF9-6260C4F92EFB}" keepAlive="1" name="Query - Conditional-ColumnTable" description="Connection to the 'Conditional-ColumnTable' query in the workbook." type="5" refreshedVersion="8" background="1" saveData="1">
    <dbPr connection="Provider=Microsoft.Mashup.OleDb.1;Data Source=$Workbook$;Location=Conditional-ColumnTable;Extended Properties=&quot;&quot;" command="SELECT * FROM [Conditional-ColumnTable]"/>
  </connection>
  <connection id="3" xr16:uid="{68CEE823-B4D7-4DAF-84C1-1173CC14961B}" keepAlive="1" name="Query - DateConnection" description="Connection to the 'DateConnection' query in the workbook." type="5" refreshedVersion="0" background="1">
    <dbPr connection="Provider=Microsoft.Mashup.OleDb.1;Data Source=$Workbook$;Location=DateConnection;Extended Properties=&quot;&quot;" command="SELECT * FROM [DateConnection]"/>
  </connection>
  <connection id="4" xr16:uid="{CB1040FC-1CB5-4845-BDA2-5AB7D99DC35D}" keepAlive="1" name="Query - DatesWithoutHolidayMerge" description="Connection to the 'DatesWithoutHolidayMerge' query in the workbook." type="5" refreshedVersion="8" background="1" saveData="1">
    <dbPr connection="Provider=Microsoft.Mashup.OleDb.1;Data Source=$Workbook$;Location=DatesWithoutHolidayMerge;Extended Properties=&quot;&quot;" command="SELECT * FROM [DatesWithoutHolidayMerge]"/>
  </connection>
  <connection id="5" xr16:uid="{01898EF6-7534-4DFD-841D-14E9018A30E7}" keepAlive="1" name="Query - GroupByTable" description="Connection to the 'GroupByTable' query in the workbook." type="5" refreshedVersion="8" background="1" saveData="1">
    <dbPr connection="Provider=Microsoft.Mashup.OleDb.1;Data Source=$Workbook$;Location=GroupByTable;Extended Properties=&quot;&quot;" command="SELECT * FROM [GroupByTable]"/>
  </connection>
  <connection id="6" xr16:uid="{F71D8E40-70BF-4FF5-B9EA-77A8D81FA796}" keepAlive="1" name="Query - HolidayConnction" description="Connection to the 'HolidayConnction' query in the workbook." type="5" refreshedVersion="0" background="1">
    <dbPr connection="Provider=Microsoft.Mashup.OleDb.1;Data Source=$Workbook$;Location=HolidayConnction;Extended Properties=&quot;&quot;" command="SELECT * FROM [HolidayConnction]"/>
  </connection>
  <connection id="7" xr16:uid="{3EF5BF0A-1F70-4542-8B2C-3B17CA4B1C72}" keepAlive="1" name="Query - Profit_CustomColumn" description="Connection to the 'Profit_CustomColumn' query in the workbook." type="5" refreshedVersion="8" background="1" saveData="1">
    <dbPr connection="Provider=Microsoft.Mashup.OleDb.1;Data Source=$Workbook$;Location=Profit_CustomColumn;Extended Properties=&quot;&quot;" command="SELECT * FROM [Profit_CustomColumn]"/>
  </connection>
  <connection id="8" xr16:uid="{F3B9163B-E8D0-4B1D-8554-9926761288EA}" keepAlive="1" name="Query - SplitColumnUsingExmple" description="Connection to the 'SplitColumnUsingExmple' query in the workbook." type="5" refreshedVersion="8" background="1" saveData="1">
    <dbPr connection="Provider=Microsoft.Mashup.OleDb.1;Data Source=$Workbook$;Location=SplitColumnUsingExmple;Extended Properties=&quot;&quot;" command="SELECT * FROM [SplitColumnUsingExmple]"/>
  </connection>
  <connection id="9" xr16:uid="{C5548C0C-FF76-47DB-9B5C-AF3C4F4D1339}" keepAlive="1" name="Query - SplitName_UpperCase_sheet" description="Connection to the 'SplitName_UpperCase_sheet' query in the workbook." type="5" refreshedVersion="8" background="1" saveData="1">
    <dbPr connection="Provider=Microsoft.Mashup.OleDb.1;Data Source=$Workbook$;Location=SplitName_UpperCase_sheet;Extended Properties=&quot;&quot;" command="SELECT * FROM [SplitName_UpperCase_sheet]"/>
  </connection>
  <connection id="10" xr16:uid="{8A04F59D-58C4-4488-9420-DC75E9C09697}" keepAlive="1" name="Query - Time_Difference" description="Connection to the 'Time_Difference' query in the workbook." type="5" refreshedVersion="8" background="1" saveData="1">
    <dbPr connection="Provider=Microsoft.Mashup.OleDb.1;Data Source=$Workbook$;Location=Time_Difference;Extended Properties=&quot;&quot;" command="SELECT * FROM [Time_Difference]"/>
  </connection>
  <connection id="11" xr16:uid="{0B53214D-A082-4ADD-975A-692F0D493B8C}" keepAlive="1" name="Query - UnpivotedData" description="Connection to the 'UnpivotedData' query in the workbook." type="5" refreshedVersion="8" background="1" saveData="1">
    <dbPr connection="Provider=Microsoft.Mashup.OleDb.1;Data Source=$Workbook$;Location=UnpivotedData;Extended Properties=&quot;&quot;" command="SELECT * FROM [UnpivotedData]"/>
  </connection>
</connections>
</file>

<file path=xl/sharedStrings.xml><?xml version="1.0" encoding="utf-8"?>
<sst xmlns="http://schemas.openxmlformats.org/spreadsheetml/2006/main" count="787" uniqueCount="286">
  <si>
    <t>S.N.</t>
  </si>
  <si>
    <t>NAME</t>
  </si>
  <si>
    <t>FATHER NAME</t>
  </si>
  <si>
    <t>DOB</t>
  </si>
  <si>
    <t>CLASS</t>
  </si>
  <si>
    <t>SEC</t>
  </si>
  <si>
    <t>MOBILE NO.</t>
  </si>
  <si>
    <t>sanjay</t>
  </si>
  <si>
    <t>12.07.2001</t>
  </si>
  <si>
    <r>
      <t>12</t>
    </r>
    <r>
      <rPr>
        <vertAlign val="superscript"/>
        <sz val="11"/>
        <color theme="1"/>
        <rFont val="Calibri"/>
        <family val="2"/>
        <scheme val="minor"/>
      </rPr>
      <t>TH</t>
    </r>
  </si>
  <si>
    <t>A</t>
  </si>
  <si>
    <t>89XXXX2545</t>
  </si>
  <si>
    <t>devnand</t>
  </si>
  <si>
    <t>15.03.2002</t>
  </si>
  <si>
    <t>84XXXX3545</t>
  </si>
  <si>
    <t>18.03.2005</t>
  </si>
  <si>
    <t>65XXXX4584</t>
  </si>
  <si>
    <t>kumar</t>
  </si>
  <si>
    <t>14.03.2000</t>
  </si>
  <si>
    <t>B</t>
  </si>
  <si>
    <t>65XXXX3654</t>
  </si>
  <si>
    <t>75XXXX3654</t>
  </si>
  <si>
    <t>ranjan</t>
  </si>
  <si>
    <t>10.03.2001</t>
  </si>
  <si>
    <t>85XXXX3481</t>
  </si>
  <si>
    <t>vijay</t>
  </si>
  <si>
    <t>25.03.2008</t>
  </si>
  <si>
    <t>32XXXX1015</t>
  </si>
  <si>
    <t>sanjeet</t>
  </si>
  <si>
    <t>30.01.2001</t>
  </si>
  <si>
    <t>32XXXX3525</t>
  </si>
  <si>
    <t>ranjeet</t>
  </si>
  <si>
    <t>12.05.2004</t>
  </si>
  <si>
    <t>54XXXX3658</t>
  </si>
  <si>
    <t>30.04.2001</t>
  </si>
  <si>
    <t>65XXXX3648</t>
  </si>
  <si>
    <t>VISHAL</t>
  </si>
  <si>
    <t>SANJAY</t>
  </si>
  <si>
    <t>12TH</t>
  </si>
  <si>
    <t>ROHIT</t>
  </si>
  <si>
    <t>DEVNAND</t>
  </si>
  <si>
    <t>MONU</t>
  </si>
  <si>
    <t>KUMAR</t>
  </si>
  <si>
    <t>SONU</t>
  </si>
  <si>
    <t>AJAY</t>
  </si>
  <si>
    <t>RANJAN</t>
  </si>
  <si>
    <t>RAHUL</t>
  </si>
  <si>
    <t>VIJAY</t>
  </si>
  <si>
    <t>MOHIT</t>
  </si>
  <si>
    <t>SANJEET</t>
  </si>
  <si>
    <t>RANJEET</t>
  </si>
  <si>
    <t>VIVEK</t>
  </si>
  <si>
    <t>Power Query open and Transform table itmes to UPPERCASE</t>
  </si>
  <si>
    <t>Split Column</t>
  </si>
  <si>
    <t>Vishal Kumar</t>
  </si>
  <si>
    <t>Rohit Sharma</t>
  </si>
  <si>
    <t>Arun Kumar</t>
  </si>
  <si>
    <t>Rohit Yadav</t>
  </si>
  <si>
    <t>sonu sharma</t>
  </si>
  <si>
    <t>raj sen</t>
  </si>
  <si>
    <t>Mohit Sharma</t>
  </si>
  <si>
    <t>Rahul Sharma</t>
  </si>
  <si>
    <t>Rahul Yadav</t>
  </si>
  <si>
    <t>Vishal sen</t>
  </si>
  <si>
    <t>FIRST NAME</t>
  </si>
  <si>
    <t>LAST NAME</t>
  </si>
  <si>
    <t>SHARMA</t>
  </si>
  <si>
    <t>ARUN</t>
  </si>
  <si>
    <t>YADAV</t>
  </si>
  <si>
    <t>RAJ</t>
  </si>
  <si>
    <t>SEN</t>
  </si>
  <si>
    <t>1</t>
  </si>
  <si>
    <t>12-07-2001</t>
  </si>
  <si>
    <t>2</t>
  </si>
  <si>
    <t>15-03-2002</t>
  </si>
  <si>
    <t>3</t>
  </si>
  <si>
    <t>18-03-2005</t>
  </si>
  <si>
    <t>4</t>
  </si>
  <si>
    <t>14-03-2000</t>
  </si>
  <si>
    <t>5</t>
  </si>
  <si>
    <t>6</t>
  </si>
  <si>
    <t>10-03-2001</t>
  </si>
  <si>
    <t>7</t>
  </si>
  <si>
    <t>25-03-2008</t>
  </si>
  <si>
    <t>8</t>
  </si>
  <si>
    <t>30-01-2001</t>
  </si>
  <si>
    <t>9</t>
  </si>
  <si>
    <t>12-05-2004</t>
  </si>
  <si>
    <t>10</t>
  </si>
  <si>
    <t>30-04-2001</t>
  </si>
  <si>
    <t>email</t>
  </si>
  <si>
    <t>vishalKumar@gmail.com</t>
  </si>
  <si>
    <t>rohit23Sharma@hotmail.com</t>
  </si>
  <si>
    <t>arun@yahoomail</t>
  </si>
  <si>
    <t>sonuSharma@apnabusiness.com</t>
  </si>
  <si>
    <t>yadavrohit@outlook.in</t>
  </si>
  <si>
    <t>yadavrahul@outlook.in</t>
  </si>
  <si>
    <t>raj@gov.in</t>
  </si>
  <si>
    <t>sharmaMohit123@gmail.com</t>
  </si>
  <si>
    <t>Rahul123@yahoo.com</t>
  </si>
  <si>
    <t>vishalSen@supermain.com</t>
  </si>
  <si>
    <t>EMAIL USER NAME</t>
  </si>
  <si>
    <t>DOMAIN NAME</t>
  </si>
  <si>
    <t>vishalKumar</t>
  </si>
  <si>
    <t>gmail.com</t>
  </si>
  <si>
    <t>rohit23Sharma</t>
  </si>
  <si>
    <t>hotmail.com</t>
  </si>
  <si>
    <t>arun</t>
  </si>
  <si>
    <t>yahoomail</t>
  </si>
  <si>
    <t>yadavrohit</t>
  </si>
  <si>
    <t>outlook.in</t>
  </si>
  <si>
    <t>sonuSharma</t>
  </si>
  <si>
    <t>apnabusiness.com</t>
  </si>
  <si>
    <t>raj</t>
  </si>
  <si>
    <t>gov.in</t>
  </si>
  <si>
    <t>sharmaMohit123</t>
  </si>
  <si>
    <t>Rahul123</t>
  </si>
  <si>
    <t>yahoo.com</t>
  </si>
  <si>
    <t>yadavrahul</t>
  </si>
  <si>
    <t>vishalSen</t>
  </si>
  <si>
    <t>supermain.com</t>
  </si>
  <si>
    <t>YEAR/ MODEL</t>
  </si>
  <si>
    <t>2008 abc</t>
  </si>
  <si>
    <t>2009 eb century</t>
  </si>
  <si>
    <t>2010 century</t>
  </si>
  <si>
    <t>2011 Topaz</t>
  </si>
  <si>
    <t>2012 century</t>
  </si>
  <si>
    <t>2013 PT Hybrid</t>
  </si>
  <si>
    <t xml:space="preserve">2014 Puma </t>
  </si>
  <si>
    <t>2015 Foxtron</t>
  </si>
  <si>
    <t>2016 Hundaii</t>
  </si>
  <si>
    <t>2017 Swift</t>
  </si>
  <si>
    <t>YEAR</t>
  </si>
  <si>
    <t>MODEL</t>
  </si>
  <si>
    <t>2008</t>
  </si>
  <si>
    <t xml:space="preserve"> ABC</t>
  </si>
  <si>
    <t>2009</t>
  </si>
  <si>
    <t xml:space="preserve"> EB CENTURY</t>
  </si>
  <si>
    <t>2010</t>
  </si>
  <si>
    <t xml:space="preserve"> CENTURY</t>
  </si>
  <si>
    <t>2011</t>
  </si>
  <si>
    <t xml:space="preserve"> TOPAZ</t>
  </si>
  <si>
    <t>2012</t>
  </si>
  <si>
    <t>2013</t>
  </si>
  <si>
    <t xml:space="preserve"> PT HYBRID</t>
  </si>
  <si>
    <t>2014</t>
  </si>
  <si>
    <t xml:space="preserve"> PUMA </t>
  </si>
  <si>
    <t>2015</t>
  </si>
  <si>
    <t xml:space="preserve"> FOXTRON</t>
  </si>
  <si>
    <t>2016</t>
  </si>
  <si>
    <t xml:space="preserve"> HUNDAII</t>
  </si>
  <si>
    <t>2017</t>
  </si>
  <si>
    <t xml:space="preserve"> SWIFT</t>
  </si>
  <si>
    <t>Product</t>
  </si>
  <si>
    <t>State</t>
  </si>
  <si>
    <t>Amount</t>
  </si>
  <si>
    <t>Carrot</t>
  </si>
  <si>
    <t>Rajasthan</t>
  </si>
  <si>
    <t>Broccoli</t>
  </si>
  <si>
    <t>Delhi</t>
  </si>
  <si>
    <t>Banana</t>
  </si>
  <si>
    <t>Hariyana</t>
  </si>
  <si>
    <t>Beans</t>
  </si>
  <si>
    <t>UP</t>
  </si>
  <si>
    <t>Orange</t>
  </si>
  <si>
    <t>Gujrat</t>
  </si>
  <si>
    <t>Apple</t>
  </si>
  <si>
    <t>Mango</t>
  </si>
  <si>
    <t>Total Amount</t>
  </si>
  <si>
    <t>Row Labels</t>
  </si>
  <si>
    <t>Grand Total</t>
  </si>
  <si>
    <t>Sum of Amount</t>
  </si>
  <si>
    <t>PivotTable</t>
  </si>
  <si>
    <t>SALES 2020</t>
  </si>
  <si>
    <t>JAN</t>
  </si>
  <si>
    <t>FEB</t>
  </si>
  <si>
    <t>MARCH</t>
  </si>
  <si>
    <t>APRIL</t>
  </si>
  <si>
    <t>MAY</t>
  </si>
  <si>
    <t>ANSH</t>
  </si>
  <si>
    <t>RAM</t>
  </si>
  <si>
    <t>GroupBy</t>
  </si>
  <si>
    <t>Unpivot data</t>
  </si>
  <si>
    <t>Month</t>
  </si>
  <si>
    <t>total sale by person</t>
  </si>
  <si>
    <t>total sale in month</t>
  </si>
  <si>
    <t>sum</t>
  </si>
  <si>
    <t>total</t>
  </si>
  <si>
    <t>DATE</t>
  </si>
  <si>
    <t>HOLIDAYS</t>
  </si>
  <si>
    <t>Remove holidays from date column here</t>
  </si>
  <si>
    <t>Time difference</t>
  </si>
  <si>
    <t>Date Difference (Age Calculation)</t>
  </si>
  <si>
    <t>SHAYAM</t>
  </si>
  <si>
    <t>MOHAN</t>
  </si>
  <si>
    <t>KARAN</t>
  </si>
  <si>
    <t>KIRAN</t>
  </si>
  <si>
    <t>ANIL</t>
  </si>
  <si>
    <t>RITIK</t>
  </si>
  <si>
    <t>Start Date</t>
  </si>
  <si>
    <t>End Date</t>
  </si>
  <si>
    <t>8/17/23 5:30</t>
  </si>
  <si>
    <t>8/20/23 18:30</t>
  </si>
  <si>
    <t>8/18/23 5:30</t>
  </si>
  <si>
    <t>8/21/23 18:00</t>
  </si>
  <si>
    <t>8/19/23 5:30</t>
  </si>
  <si>
    <t>8/22/23 14:20</t>
  </si>
  <si>
    <t>8/20/23 5:30</t>
  </si>
  <si>
    <t>8/23/23 13:30</t>
  </si>
  <si>
    <t>8/21/23 5:30</t>
  </si>
  <si>
    <t>8/24/23 18:30</t>
  </si>
  <si>
    <t>8/22/23 5:30</t>
  </si>
  <si>
    <t>8/25/23 18:30</t>
  </si>
  <si>
    <t>8/23/23 5:30</t>
  </si>
  <si>
    <t>8/26/23 18:30</t>
  </si>
  <si>
    <t>Total Years</t>
  </si>
  <si>
    <t>Time Difference</t>
  </si>
  <si>
    <t>Date difference (Age Calculation): add column -&gt; Date -&gt; age( in days) . To convert into years, select age column -&gt; add column -&gt; time -&gt; years</t>
  </si>
  <si>
    <r>
      <t xml:space="preserve">Date and Time ( use </t>
    </r>
    <r>
      <rPr>
        <sz val="12"/>
        <color rgb="FFFF0000"/>
        <rFont val="Calibri"/>
        <family val="2"/>
        <scheme val="minor"/>
      </rPr>
      <t xml:space="preserve">Merging </t>
    </r>
    <r>
      <rPr>
        <sz val="12"/>
        <color theme="1"/>
        <rFont val="Calibri"/>
        <family val="2"/>
        <scheme val="minor"/>
      </rPr>
      <t>two tables and change</t>
    </r>
    <r>
      <rPr>
        <sz val="12"/>
        <color rgb="FFFF0000"/>
        <rFont val="Calibri"/>
        <family val="2"/>
        <scheme val="minor"/>
      </rPr>
      <t xml:space="preserve"> join kind-&gt; left anti</t>
    </r>
    <r>
      <rPr>
        <sz val="12"/>
        <color theme="1"/>
        <rFont val="Calibri"/>
        <family val="2"/>
        <scheme val="minor"/>
      </rPr>
      <t>)</t>
    </r>
  </si>
  <si>
    <t>Days</t>
  </si>
  <si>
    <t>Territroy ID</t>
  </si>
  <si>
    <t>Region Name</t>
  </si>
  <si>
    <t>Country</t>
  </si>
  <si>
    <t>Group</t>
  </si>
  <si>
    <t>North</t>
  </si>
  <si>
    <t>United States</t>
  </si>
  <si>
    <t>North America</t>
  </si>
  <si>
    <t>NorthEast</t>
  </si>
  <si>
    <t>Northwest</t>
  </si>
  <si>
    <t>Southeast</t>
  </si>
  <si>
    <t>Central</t>
  </si>
  <si>
    <t>Australia</t>
  </si>
  <si>
    <t>Pacific</t>
  </si>
  <si>
    <t>Canada</t>
  </si>
  <si>
    <t>Italy</t>
  </si>
  <si>
    <t>Eurpoe</t>
  </si>
  <si>
    <t>Germany</t>
  </si>
  <si>
    <t>Europe</t>
  </si>
  <si>
    <t>Conditional Column</t>
  </si>
  <si>
    <t>USA</t>
  </si>
  <si>
    <t>AUS</t>
  </si>
  <si>
    <t>Add Conditional Column from Power Query</t>
  </si>
  <si>
    <t>India</t>
  </si>
  <si>
    <t>SouthAsia</t>
  </si>
  <si>
    <t>Asia</t>
  </si>
  <si>
    <t>Africa</t>
  </si>
  <si>
    <t>South Africa</t>
  </si>
  <si>
    <t>IND</t>
  </si>
  <si>
    <t>split column second example</t>
  </si>
  <si>
    <t>Name &amp; Position</t>
  </si>
  <si>
    <t>Marty Rigeld, Executive</t>
  </si>
  <si>
    <t>Ben Reid, Executive</t>
  </si>
  <si>
    <t>Bart Donaldson, Director</t>
  </si>
  <si>
    <t>Paul Tully, CFO</t>
  </si>
  <si>
    <t>Frank Watt, Executive</t>
  </si>
  <si>
    <t>Anne Smith, Director</t>
  </si>
  <si>
    <t>Belle Ramsay, Director</t>
  </si>
  <si>
    <t>Rebecca Johnson, Executive</t>
  </si>
  <si>
    <t>Sarah-Jane Bell, COO</t>
  </si>
  <si>
    <t>Mynda Treacy, The Boss!</t>
  </si>
  <si>
    <t>Name</t>
  </si>
  <si>
    <t>Position</t>
  </si>
  <si>
    <t>Marty Rigeld</t>
  </si>
  <si>
    <t>Executive</t>
  </si>
  <si>
    <t>Ben Reid</t>
  </si>
  <si>
    <t>Bart Donaldson</t>
  </si>
  <si>
    <t>Director</t>
  </si>
  <si>
    <t>Paul Tully</t>
  </si>
  <si>
    <t>CFO</t>
  </si>
  <si>
    <t>Frank Watt</t>
  </si>
  <si>
    <t>Anne Smith</t>
  </si>
  <si>
    <t>Belle Ramsay</t>
  </si>
  <si>
    <t>Rebecca Johnson</t>
  </si>
  <si>
    <t>Sarah-Jane Bell</t>
  </si>
  <si>
    <t>COO</t>
  </si>
  <si>
    <t>Mynda Treacy</t>
  </si>
  <si>
    <t>The Boss!</t>
  </si>
  <si>
    <t>Period</t>
  </si>
  <si>
    <t>Region</t>
  </si>
  <si>
    <t>Sales</t>
  </si>
  <si>
    <t>Asia Pac</t>
  </si>
  <si>
    <t>UK</t>
  </si>
  <si>
    <t>Profit 10% of Sales</t>
  </si>
  <si>
    <t>Total Sales</t>
  </si>
  <si>
    <t>Using Custom Column add profit and total sales Column</t>
  </si>
  <si>
    <t>Add Columns: column using example/ custom column/ conditional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</si>
</sst>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₹&quot;\ #,##0.00;[Red]&quot;₹&quot;\ \-#,##0.00"/>
    <numFmt numFmtId="176" formatCode="0.000"/>
    <numFmt numFmtId="179" formatCode="dd/mm/yyyy\ h\.mm"/>
    <numFmt numFmtId="180" formatCode="d\ &quot;days&quot;\.hh\ &quot;hours&quot;\.mm\.ss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5B9B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4472C4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8EAADB"/>
      </bottom>
      <diagonal/>
    </border>
    <border>
      <left style="medium">
        <color rgb="FFCCCCCC"/>
      </left>
      <right/>
      <top/>
      <bottom style="medium">
        <color rgb="FF8EAADB"/>
      </bottom>
      <diagonal/>
    </border>
    <border>
      <left/>
      <right style="medium">
        <color rgb="FFCCCCCC"/>
      </right>
      <top style="medium">
        <color rgb="FFCCCCCC"/>
      </top>
      <bottom style="medium">
        <color rgb="FF8EAADB"/>
      </bottom>
      <diagonal/>
    </border>
    <border>
      <left style="medium">
        <color rgb="FFCCCCCC"/>
      </left>
      <right/>
      <top style="medium">
        <color rgb="FFCCCCCC"/>
      </top>
      <bottom style="medium">
        <color rgb="FF8EAADB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8EAADB"/>
      </bottom>
      <diagonal/>
    </border>
    <border>
      <left/>
      <right/>
      <top/>
      <bottom style="medium">
        <color rgb="FF8EAADB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8EAADB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3" borderId="1" xfId="0" applyFill="1" applyBorder="1"/>
    <xf numFmtId="0" fontId="0" fillId="0" borderId="1" xfId="0" applyBorder="1"/>
    <xf numFmtId="0" fontId="1" fillId="3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3" xfId="0" applyFont="1" applyFill="1" applyBorder="1"/>
    <xf numFmtId="0" fontId="0" fillId="0" borderId="3" xfId="0" applyBorder="1"/>
    <xf numFmtId="14" fontId="0" fillId="0" borderId="0" xfId="0" applyNumberFormat="1"/>
    <xf numFmtId="0" fontId="3" fillId="2" borderId="0" xfId="0" applyFont="1" applyFill="1"/>
    <xf numFmtId="8" fontId="0" fillId="0" borderId="0" xfId="0" applyNumberFormat="1"/>
    <xf numFmtId="0" fontId="1" fillId="4" borderId="0" xfId="0" applyFont="1" applyFill="1" applyAlignment="1">
      <alignment wrapText="1"/>
    </xf>
    <xf numFmtId="0" fontId="0" fillId="5" borderId="0" xfId="0" applyFill="1" applyAlignment="1">
      <alignment wrapText="1"/>
    </xf>
    <xf numFmtId="8" fontId="0" fillId="5" borderId="0" xfId="0" applyNumberFormat="1" applyFill="1" applyAlignment="1">
      <alignment horizontal="right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center" vertical="center"/>
    </xf>
    <xf numFmtId="0" fontId="6" fillId="7" borderId="0" xfId="0" applyFont="1" applyFill="1" applyAlignment="1">
      <alignment horizontal="center" wrapText="1"/>
    </xf>
    <xf numFmtId="14" fontId="0" fillId="5" borderId="0" xfId="0" applyNumberFormat="1" applyFill="1" applyAlignment="1">
      <alignment horizontal="center" wrapText="1"/>
    </xf>
    <xf numFmtId="14" fontId="0" fillId="0" borderId="0" xfId="0" applyNumberFormat="1" applyAlignment="1">
      <alignment horizontal="center" wrapText="1"/>
    </xf>
    <xf numFmtId="0" fontId="0" fillId="2" borderId="0" xfId="0" applyFill="1" applyAlignment="1">
      <alignment horizontal="left"/>
    </xf>
    <xf numFmtId="0" fontId="5" fillId="6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left"/>
    </xf>
    <xf numFmtId="14" fontId="0" fillId="5" borderId="0" xfId="0" applyNumberFormat="1" applyFill="1" applyAlignment="1">
      <alignment wrapText="1"/>
    </xf>
    <xf numFmtId="14" fontId="0" fillId="0" borderId="0" xfId="0" applyNumberFormat="1" applyAlignment="1">
      <alignment wrapText="1"/>
    </xf>
    <xf numFmtId="0" fontId="7" fillId="7" borderId="0" xfId="0" applyFont="1" applyFill="1" applyBorder="1" applyAlignment="1">
      <alignment wrapText="1"/>
    </xf>
    <xf numFmtId="0" fontId="1" fillId="0" borderId="0" xfId="0" applyFont="1" applyFill="1" applyBorder="1" applyAlignment="1">
      <alignment wrapText="1"/>
    </xf>
    <xf numFmtId="14" fontId="8" fillId="0" borderId="0" xfId="0" applyNumberFormat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left"/>
    </xf>
    <xf numFmtId="22" fontId="0" fillId="0" borderId="0" xfId="0" applyNumberFormat="1"/>
    <xf numFmtId="0" fontId="9" fillId="2" borderId="0" xfId="0" applyFont="1" applyFill="1" applyAlignment="1">
      <alignment horizontal="left" vertical="center" wrapText="1"/>
    </xf>
    <xf numFmtId="0" fontId="0" fillId="0" borderId="0" xfId="0" applyNumberFormat="1"/>
    <xf numFmtId="176" fontId="0" fillId="0" borderId="0" xfId="0" applyNumberFormat="1"/>
    <xf numFmtId="0" fontId="8" fillId="0" borderId="0" xfId="0" applyFont="1"/>
    <xf numFmtId="0" fontId="9" fillId="2" borderId="0" xfId="0" applyFont="1" applyFill="1"/>
    <xf numFmtId="179" fontId="0" fillId="0" borderId="0" xfId="0" applyNumberFormat="1"/>
    <xf numFmtId="180" fontId="0" fillId="0" borderId="0" xfId="0" applyNumberFormat="1"/>
    <xf numFmtId="0" fontId="0" fillId="10" borderId="5" xfId="0" applyFill="1" applyBorder="1" applyAlignment="1">
      <alignment wrapText="1"/>
    </xf>
    <xf numFmtId="0" fontId="0" fillId="11" borderId="5" xfId="0" applyFill="1" applyBorder="1" applyAlignment="1">
      <alignment wrapText="1"/>
    </xf>
    <xf numFmtId="0" fontId="0" fillId="10" borderId="6" xfId="0" applyFill="1" applyBorder="1" applyAlignment="1">
      <alignment horizontal="right" wrapText="1"/>
    </xf>
    <xf numFmtId="0" fontId="0" fillId="11" borderId="6" xfId="0" applyFill="1" applyBorder="1" applyAlignment="1">
      <alignment horizontal="right" wrapText="1"/>
    </xf>
    <xf numFmtId="0" fontId="0" fillId="10" borderId="7" xfId="0" applyFill="1" applyBorder="1" applyAlignment="1">
      <alignment wrapText="1"/>
    </xf>
    <xf numFmtId="0" fontId="0" fillId="11" borderId="7" xfId="0" applyFill="1" applyBorder="1" applyAlignment="1">
      <alignment wrapText="1"/>
    </xf>
    <xf numFmtId="0" fontId="0" fillId="9" borderId="8" xfId="0" applyFill="1" applyBorder="1" applyAlignment="1">
      <alignment wrapText="1"/>
    </xf>
    <xf numFmtId="0" fontId="0" fillId="9" borderId="9" xfId="0" applyFill="1" applyBorder="1" applyAlignment="1">
      <alignment wrapText="1"/>
    </xf>
    <xf numFmtId="0" fontId="0" fillId="9" borderId="10" xfId="0" applyFill="1" applyBorder="1" applyAlignment="1">
      <alignment wrapText="1"/>
    </xf>
    <xf numFmtId="0" fontId="0" fillId="10" borderId="11" xfId="0" applyFill="1" applyBorder="1" applyAlignment="1">
      <alignment horizontal="right" wrapText="1"/>
    </xf>
    <xf numFmtId="0" fontId="0" fillId="10" borderId="12" xfId="0" applyFill="1" applyBorder="1" applyAlignment="1">
      <alignment wrapText="1"/>
    </xf>
    <xf numFmtId="0" fontId="0" fillId="10" borderId="4" xfId="0" applyFill="1" applyBorder="1" applyAlignment="1">
      <alignment wrapText="1"/>
    </xf>
    <xf numFmtId="0" fontId="8" fillId="0" borderId="0" xfId="0" applyFont="1" applyAlignment="1">
      <alignment vertical="center"/>
    </xf>
    <xf numFmtId="0" fontId="8" fillId="8" borderId="0" xfId="0" applyFont="1" applyFill="1" applyAlignment="1">
      <alignment vertical="center" wrapText="1"/>
    </xf>
    <xf numFmtId="0" fontId="11" fillId="12" borderId="13" xfId="0" applyFont="1" applyFill="1" applyBorder="1" applyAlignment="1">
      <alignment wrapText="1"/>
    </xf>
    <xf numFmtId="0" fontId="11" fillId="12" borderId="14" xfId="0" applyFont="1" applyFill="1" applyBorder="1" applyAlignment="1">
      <alignment wrapText="1"/>
    </xf>
    <xf numFmtId="0" fontId="0" fillId="11" borderId="15" xfId="0" applyFill="1" applyBorder="1" applyAlignment="1">
      <alignment wrapText="1"/>
    </xf>
    <xf numFmtId="14" fontId="0" fillId="11" borderId="16" xfId="0" applyNumberFormat="1" applyFill="1" applyBorder="1" applyAlignment="1">
      <alignment horizontal="right" wrapText="1"/>
    </xf>
    <xf numFmtId="0" fontId="0" fillId="0" borderId="15" xfId="0" applyBorder="1" applyAlignment="1">
      <alignment wrapText="1"/>
    </xf>
    <xf numFmtId="14" fontId="0" fillId="0" borderId="16" xfId="0" applyNumberFormat="1" applyBorder="1" applyAlignment="1">
      <alignment horizontal="right" wrapText="1"/>
    </xf>
    <xf numFmtId="0" fontId="0" fillId="0" borderId="11" xfId="0" applyBorder="1" applyAlignment="1">
      <alignment wrapText="1"/>
    </xf>
    <xf numFmtId="14" fontId="0" fillId="0" borderId="4" xfId="0" applyNumberFormat="1" applyBorder="1" applyAlignment="1">
      <alignment horizontal="right" wrapText="1"/>
    </xf>
    <xf numFmtId="0" fontId="8" fillId="0" borderId="0" xfId="0" applyFont="1" applyFill="1" applyAlignment="1"/>
    <xf numFmtId="0" fontId="0" fillId="11" borderId="17" xfId="0" applyFill="1" applyBorder="1" applyAlignment="1">
      <alignment wrapText="1"/>
    </xf>
    <xf numFmtId="0" fontId="0" fillId="0" borderId="17" xfId="0" applyBorder="1" applyAlignment="1">
      <alignment wrapText="1"/>
    </xf>
    <xf numFmtId="0" fontId="0" fillId="0" borderId="12" xfId="0" applyBorder="1" applyAlignment="1">
      <alignment wrapText="1"/>
    </xf>
    <xf numFmtId="14" fontId="0" fillId="11" borderId="15" xfId="0" applyNumberFormat="1" applyFill="1" applyBorder="1" applyAlignment="1">
      <alignment horizontal="right" wrapText="1"/>
    </xf>
    <xf numFmtId="14" fontId="0" fillId="0" borderId="15" xfId="0" applyNumberFormat="1" applyBorder="1" applyAlignment="1">
      <alignment horizontal="right" wrapText="1"/>
    </xf>
    <xf numFmtId="0" fontId="0" fillId="11" borderId="16" xfId="0" applyFill="1" applyBorder="1" applyAlignment="1">
      <alignment horizontal="right" wrapText="1"/>
    </xf>
    <xf numFmtId="0" fontId="0" fillId="0" borderId="16" xfId="0" applyBorder="1" applyAlignment="1">
      <alignment horizontal="right" wrapText="1"/>
    </xf>
    <xf numFmtId="0" fontId="11" fillId="12" borderId="19" xfId="0" applyFont="1" applyFill="1" applyBorder="1" applyAlignment="1">
      <alignment wrapText="1"/>
    </xf>
    <xf numFmtId="14" fontId="0" fillId="0" borderId="11" xfId="0" applyNumberFormat="1" applyBorder="1" applyAlignment="1">
      <alignment horizontal="right" wrapText="1"/>
    </xf>
    <xf numFmtId="0" fontId="0" fillId="0" borderId="4" xfId="0" applyBorder="1" applyAlignment="1">
      <alignment horizontal="right" wrapText="1"/>
    </xf>
    <xf numFmtId="0" fontId="6" fillId="2" borderId="18" xfId="0" applyFont="1" applyFill="1" applyBorder="1" applyAlignment="1">
      <alignment horizontal="left" wrapText="1"/>
    </xf>
  </cellXfs>
  <cellStyles count="1">
    <cellStyle name="Normal" xfId="0" builtinId="0"/>
  </cellStyles>
  <dxfs count="86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8EAADB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8EAADB"/>
        </bottom>
        <vertical/>
        <horizontal/>
      </border>
    </dxf>
    <dxf>
      <numFmt numFmtId="19" formatCode="dd/mm/yyyy"/>
      <alignment horizontal="right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8EAADB"/>
        </bottom>
        <vertical/>
        <horizontal/>
      </border>
    </dxf>
    <dxf>
      <border outline="0">
        <top style="medium">
          <color rgb="FFCCCCCC"/>
        </top>
      </border>
    </dxf>
    <dxf>
      <border outline="0">
        <bottom style="medium">
          <color rgb="FF8EAADB"/>
        </bottom>
      </border>
    </dxf>
    <dxf>
      <border outline="0">
        <left style="medium">
          <color rgb="FF8EAADB"/>
        </left>
        <right style="medium">
          <color rgb="FF8EAADB"/>
        </right>
        <top style="medium">
          <color rgb="FF8EAADB"/>
        </top>
        <bottom style="medium">
          <color rgb="FF8EAADB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8EAADB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8EAADB"/>
        </bottom>
        <vertical/>
        <horizontal/>
      </border>
    </dxf>
    <dxf>
      <border outline="0">
        <top style="medium">
          <color rgb="FFCCCCCC"/>
        </top>
      </border>
    </dxf>
    <dxf>
      <border outline="0">
        <bottom style="medium">
          <color rgb="FF8EAADB"/>
        </bottom>
      </border>
    </dxf>
    <dxf>
      <border outline="0">
        <left style="medium">
          <color rgb="FF8EAADB"/>
        </left>
        <right style="medium">
          <color rgb="FF8EAADB"/>
        </right>
        <top style="medium">
          <color rgb="FF8EAADB"/>
        </top>
        <bottom style="medium">
          <color rgb="FF8EAA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80" formatCode="d\ &quot;days&quot;\.hh\ &quot;hours&quot;\.mm\.ss"/>
    </dxf>
    <dxf>
      <numFmt numFmtId="179" formatCode="dd/mm/yyyy\ h\.mm"/>
    </dxf>
    <dxf>
      <numFmt numFmtId="179" formatCode="dd/mm/yyyy\ h\.mm"/>
    </dxf>
    <dxf>
      <fill>
        <patternFill patternType="solid">
          <fgColor indexed="64"/>
          <bgColor rgb="FF70AD47"/>
        </patternFill>
      </fill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rgb="FFE2EFD9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E2EFD9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E2EFD9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E2EFD9"/>
        </patternFill>
      </fill>
      <alignment horizontal="right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bottom style="medium">
          <color rgb="FFCCCCCC"/>
        </bottom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numFmt numFmtId="176" formatCode="0.000"/>
    </dxf>
    <dxf>
      <numFmt numFmtId="19" formatCode="d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3"/>
        </patternFill>
      </fill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3"/>
        </patternFill>
      </fill>
      <alignment horizontal="center" vertical="bottom" textRotation="0" wrapText="1" indent="0" justifyLastLine="0" shrinkToFit="0" readingOrder="0"/>
    </dxf>
    <dxf>
      <numFmt numFmtId="19" formatCode="dd/mm/yyyy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3"/>
        </patternFill>
      </fill>
      <alignment horizontal="center" vertical="bottom" textRotation="0" wrapText="1" indent="0" justifyLastLine="0" shrinkToFit="0" readingOrder="0"/>
    </dxf>
    <dxf>
      <numFmt numFmtId="12" formatCode="&quot;₹&quot;\ #,##0.00;[Red]&quot;₹&quot;\ \-#,##0.00"/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5B9BD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274320</xdr:colOff>
      <xdr:row>20</xdr:row>
      <xdr:rowOff>137160</xdr:rowOff>
    </xdr:from>
    <xdr:to>
      <xdr:col>3</xdr:col>
      <xdr:colOff>274320</xdr:colOff>
      <xdr:row>22</xdr:row>
      <xdr:rowOff>99060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B7215656-0377-6706-9B67-1AB0E20FDAD2}"/>
            </a:ext>
          </a:extLst>
        </xdr:cNvPr>
        <xdr:cNvSpPr/>
      </xdr:nvSpPr>
      <xdr:spPr>
        <a:xfrm>
          <a:off x="2766060" y="4450080"/>
          <a:ext cx="1158240" cy="52578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381000</xdr:colOff>
      <xdr:row>8</xdr:row>
      <xdr:rowOff>104775</xdr:rowOff>
    </xdr:from>
    <xdr:to>
      <xdr:col>14</xdr:col>
      <xdr:colOff>304800</xdr:colOff>
      <xdr:row>11</xdr:row>
      <xdr:rowOff>57150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F505AB19-ED25-D35E-D049-FC5CB16B5453}"/>
            </a:ext>
          </a:extLst>
        </xdr:cNvPr>
        <xdr:cNvSpPr/>
      </xdr:nvSpPr>
      <xdr:spPr>
        <a:xfrm>
          <a:off x="10829795" y="1712282"/>
          <a:ext cx="1332978" cy="547361"/>
        </a:xfrm>
        <a:prstGeom prst="rightArrow">
          <a:avLst/>
        </a:prstGeom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324633</xdr:colOff>
      <xdr:row>26</xdr:row>
      <xdr:rowOff>58845</xdr:rowOff>
    </xdr:from>
    <xdr:to>
      <xdr:col>14</xdr:col>
      <xdr:colOff>248433</xdr:colOff>
      <xdr:row>29</xdr:row>
      <xdr:rowOff>42535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10893955-1266-0819-69D2-31846DCD3542}"/>
            </a:ext>
          </a:extLst>
        </xdr:cNvPr>
        <xdr:cNvSpPr/>
      </xdr:nvSpPr>
      <xdr:spPr>
        <a:xfrm>
          <a:off x="10773428" y="5173640"/>
          <a:ext cx="1332978" cy="547361"/>
        </a:xfrm>
        <a:prstGeom prst="rightArrow">
          <a:avLst/>
        </a:prstGeom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175260</xdr:colOff>
      <xdr:row>6</xdr:row>
      <xdr:rowOff>182880</xdr:rowOff>
    </xdr:from>
    <xdr:to>
      <xdr:col>4</xdr:col>
      <xdr:colOff>952500</xdr:colOff>
      <xdr:row>9</xdr:row>
      <xdr:rowOff>22860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C60EBBB3-2DAC-8A72-655A-4074F5C2ED0E}"/>
            </a:ext>
          </a:extLst>
        </xdr:cNvPr>
        <xdr:cNvSpPr/>
      </xdr:nvSpPr>
      <xdr:spPr>
        <a:xfrm>
          <a:off x="4381500" y="944880"/>
          <a:ext cx="777240" cy="411480"/>
        </a:xfrm>
        <a:prstGeom prst="rightArrow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350520</xdr:colOff>
      <xdr:row>25</xdr:row>
      <xdr:rowOff>182880</xdr:rowOff>
    </xdr:from>
    <xdr:to>
      <xdr:col>4</xdr:col>
      <xdr:colOff>464820</xdr:colOff>
      <xdr:row>28</xdr:row>
      <xdr:rowOff>22860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283247C9-747C-48BC-8467-8E657BF57D23}"/>
            </a:ext>
          </a:extLst>
        </xdr:cNvPr>
        <xdr:cNvSpPr/>
      </xdr:nvSpPr>
      <xdr:spPr>
        <a:xfrm>
          <a:off x="3436620" y="4914900"/>
          <a:ext cx="1234440" cy="411480"/>
        </a:xfrm>
        <a:prstGeom prst="rightArrow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hit Singh" refreshedDate="45806.071032870372" createdVersion="8" refreshedVersion="8" minRefreshableVersion="3" recordCount="42" xr:uid="{D1692155-978A-4586-9A90-8BC8B36AB593}">
  <cacheSource type="worksheet">
    <worksheetSource name="Table5"/>
  </cacheSource>
  <cacheFields count="3">
    <cacheField name="Product" numFmtId="0">
      <sharedItems count="7">
        <s v="Carrot"/>
        <s v="Broccoli"/>
        <s v="Banana"/>
        <s v="Beans"/>
        <s v="Orange"/>
        <s v="Apple"/>
        <s v="Mango"/>
      </sharedItems>
    </cacheField>
    <cacheField name="State" numFmtId="0">
      <sharedItems count="5">
        <s v="Rajasthan"/>
        <s v="Delhi"/>
        <s v="Hariyana"/>
        <s v="UP"/>
        <s v="Gujrat"/>
      </sharedItems>
    </cacheField>
    <cacheField name="Amount" numFmtId="8">
      <sharedItems containsSemiMixedTypes="0" containsString="0" containsNumber="1" containsInteger="1" minValue="250" maxValue="1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hit Singh" refreshedDate="45806.083663773148" createdVersion="8" refreshedVersion="8" minRefreshableVersion="3" recordCount="45" xr:uid="{513BE4F5-B388-4262-AF8C-A8D593F57306}">
  <cacheSource type="worksheet">
    <worksheetSource name="UnpivotedData"/>
  </cacheSource>
  <cacheFields count="3">
    <cacheField name="NAME" numFmtId="0">
      <sharedItems count="9">
        <s v="VISHAL"/>
        <s v="VIVEK"/>
        <s v="RAHUL"/>
        <s v="MONU"/>
        <s v="SONU"/>
        <s v="AJAY"/>
        <s v="ANSH"/>
        <s v="ROHIT"/>
        <s v="RAM"/>
      </sharedItems>
    </cacheField>
    <cacheField name="Month" numFmtId="0">
      <sharedItems count="5">
        <s v="JAN"/>
        <s v="FEB"/>
        <s v="MARCH"/>
        <s v="APRIL"/>
        <s v="MAY"/>
      </sharedItems>
    </cacheField>
    <cacheField name="Amount" numFmtId="0">
      <sharedItems containsSemiMixedTypes="0" containsString="0" containsNumber="1" containsInteger="1" minValue="1200" maxValue="134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x v="0"/>
    <n v="5200"/>
  </r>
  <r>
    <x v="1"/>
    <x v="1"/>
    <n v="8500"/>
  </r>
  <r>
    <x v="2"/>
    <x v="2"/>
    <n v="6500"/>
  </r>
  <r>
    <x v="3"/>
    <x v="3"/>
    <n v="7000"/>
  </r>
  <r>
    <x v="4"/>
    <x v="4"/>
    <n v="9540"/>
  </r>
  <r>
    <x v="1"/>
    <x v="1"/>
    <n v="6510"/>
  </r>
  <r>
    <x v="2"/>
    <x v="4"/>
    <n v="3560"/>
  </r>
  <r>
    <x v="5"/>
    <x v="2"/>
    <n v="10000"/>
  </r>
  <r>
    <x v="5"/>
    <x v="0"/>
    <n v="3600"/>
  </r>
  <r>
    <x v="6"/>
    <x v="0"/>
    <n v="4511"/>
  </r>
  <r>
    <x v="2"/>
    <x v="4"/>
    <n v="3250"/>
  </r>
  <r>
    <x v="3"/>
    <x v="4"/>
    <n v="5200"/>
  </r>
  <r>
    <x v="1"/>
    <x v="4"/>
    <n v="3500"/>
  </r>
  <r>
    <x v="4"/>
    <x v="1"/>
    <n v="3600"/>
  </r>
  <r>
    <x v="6"/>
    <x v="3"/>
    <n v="2500"/>
  </r>
  <r>
    <x v="2"/>
    <x v="3"/>
    <n v="4520"/>
  </r>
  <r>
    <x v="0"/>
    <x v="0"/>
    <n v="3500"/>
  </r>
  <r>
    <x v="0"/>
    <x v="0"/>
    <n v="6350"/>
  </r>
  <r>
    <x v="3"/>
    <x v="0"/>
    <n v="4570"/>
  </r>
  <r>
    <x v="5"/>
    <x v="3"/>
    <n v="3650"/>
  </r>
  <r>
    <x v="5"/>
    <x v="2"/>
    <n v="3500"/>
  </r>
  <r>
    <x v="6"/>
    <x v="4"/>
    <n v="3450"/>
  </r>
  <r>
    <x v="4"/>
    <x v="2"/>
    <n v="7800"/>
  </r>
  <r>
    <x v="5"/>
    <x v="3"/>
    <n v="9800"/>
  </r>
  <r>
    <x v="0"/>
    <x v="0"/>
    <n v="3500"/>
  </r>
  <r>
    <x v="5"/>
    <x v="1"/>
    <n v="6950"/>
  </r>
  <r>
    <x v="6"/>
    <x v="0"/>
    <n v="3600"/>
  </r>
  <r>
    <x v="4"/>
    <x v="4"/>
    <n v="3650"/>
  </r>
  <r>
    <x v="6"/>
    <x v="3"/>
    <n v="800"/>
  </r>
  <r>
    <x v="5"/>
    <x v="3"/>
    <n v="3600"/>
  </r>
  <r>
    <x v="5"/>
    <x v="3"/>
    <n v="950"/>
  </r>
  <r>
    <x v="5"/>
    <x v="2"/>
    <n v="650"/>
  </r>
  <r>
    <x v="5"/>
    <x v="4"/>
    <n v="250"/>
  </r>
  <r>
    <x v="3"/>
    <x v="2"/>
    <n v="3650"/>
  </r>
  <r>
    <x v="3"/>
    <x v="4"/>
    <n v="3640"/>
  </r>
  <r>
    <x v="3"/>
    <x v="0"/>
    <n v="6500"/>
  </r>
  <r>
    <x v="1"/>
    <x v="1"/>
    <n v="7500"/>
  </r>
  <r>
    <x v="4"/>
    <x v="2"/>
    <n v="9500"/>
  </r>
  <r>
    <x v="4"/>
    <x v="2"/>
    <n v="3560"/>
  </r>
  <r>
    <x v="5"/>
    <x v="0"/>
    <n v="4580"/>
  </r>
  <r>
    <x v="6"/>
    <x v="1"/>
    <n v="6500"/>
  </r>
  <r>
    <x v="6"/>
    <x v="1"/>
    <n v="78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n v="10000"/>
  </r>
  <r>
    <x v="0"/>
    <x v="1"/>
    <n v="9800"/>
  </r>
  <r>
    <x v="0"/>
    <x v="2"/>
    <n v="6500"/>
  </r>
  <r>
    <x v="0"/>
    <x v="3"/>
    <n v="3200"/>
  </r>
  <r>
    <x v="0"/>
    <x v="4"/>
    <n v="4500"/>
  </r>
  <r>
    <x v="1"/>
    <x v="0"/>
    <n v="8500"/>
  </r>
  <r>
    <x v="1"/>
    <x v="1"/>
    <n v="4600"/>
  </r>
  <r>
    <x v="1"/>
    <x v="2"/>
    <n v="9000"/>
  </r>
  <r>
    <x v="1"/>
    <x v="3"/>
    <n v="13400"/>
  </r>
  <r>
    <x v="1"/>
    <x v="4"/>
    <n v="3600"/>
  </r>
  <r>
    <x v="2"/>
    <x v="0"/>
    <n v="6000"/>
  </r>
  <r>
    <x v="2"/>
    <x v="1"/>
    <n v="7500"/>
  </r>
  <r>
    <x v="2"/>
    <x v="2"/>
    <n v="6300"/>
  </r>
  <r>
    <x v="2"/>
    <x v="3"/>
    <n v="3600"/>
  </r>
  <r>
    <x v="2"/>
    <x v="4"/>
    <n v="4500"/>
  </r>
  <r>
    <x v="3"/>
    <x v="0"/>
    <n v="5500"/>
  </r>
  <r>
    <x v="3"/>
    <x v="1"/>
    <n v="6300"/>
  </r>
  <r>
    <x v="3"/>
    <x v="2"/>
    <n v="6500"/>
  </r>
  <r>
    <x v="3"/>
    <x v="3"/>
    <n v="3800"/>
  </r>
  <r>
    <x v="3"/>
    <x v="4"/>
    <n v="3500"/>
  </r>
  <r>
    <x v="4"/>
    <x v="0"/>
    <n v="7000"/>
  </r>
  <r>
    <x v="4"/>
    <x v="1"/>
    <n v="2500"/>
  </r>
  <r>
    <x v="4"/>
    <x v="2"/>
    <n v="7500"/>
  </r>
  <r>
    <x v="4"/>
    <x v="3"/>
    <n v="4000"/>
  </r>
  <r>
    <x v="4"/>
    <x v="4"/>
    <n v="4500"/>
  </r>
  <r>
    <x v="5"/>
    <x v="0"/>
    <n v="7500"/>
  </r>
  <r>
    <x v="5"/>
    <x v="1"/>
    <n v="3600"/>
  </r>
  <r>
    <x v="5"/>
    <x v="2"/>
    <n v="8500"/>
  </r>
  <r>
    <x v="5"/>
    <x v="3"/>
    <n v="4200"/>
  </r>
  <r>
    <x v="5"/>
    <x v="4"/>
    <n v="6500"/>
  </r>
  <r>
    <x v="6"/>
    <x v="0"/>
    <n v="9000"/>
  </r>
  <r>
    <x v="6"/>
    <x v="1"/>
    <n v="4500"/>
  </r>
  <r>
    <x v="6"/>
    <x v="2"/>
    <n v="1580"/>
  </r>
  <r>
    <x v="6"/>
    <x v="3"/>
    <n v="6500"/>
  </r>
  <r>
    <x v="6"/>
    <x v="4"/>
    <n v="8500"/>
  </r>
  <r>
    <x v="7"/>
    <x v="0"/>
    <n v="10000"/>
  </r>
  <r>
    <x v="7"/>
    <x v="1"/>
    <n v="3520"/>
  </r>
  <r>
    <x v="7"/>
    <x v="2"/>
    <n v="1500"/>
  </r>
  <r>
    <x v="7"/>
    <x v="3"/>
    <n v="6200"/>
  </r>
  <r>
    <x v="7"/>
    <x v="4"/>
    <n v="6300"/>
  </r>
  <r>
    <x v="8"/>
    <x v="0"/>
    <n v="4000"/>
  </r>
  <r>
    <x v="8"/>
    <x v="1"/>
    <n v="4500"/>
  </r>
  <r>
    <x v="8"/>
    <x v="2"/>
    <n v="1200"/>
  </r>
  <r>
    <x v="8"/>
    <x v="3"/>
    <n v="3600"/>
  </r>
  <r>
    <x v="8"/>
    <x v="4"/>
    <n v="3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ECBEF1-F871-4E1E-A149-28F2402C8806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7:K13" firstHeaderRow="1" firstDataRow="1" firstDataCol="1"/>
  <pivotFields count="3">
    <pivotField showAll="0">
      <items count="10">
        <item x="5"/>
        <item x="6"/>
        <item x="3"/>
        <item x="2"/>
        <item x="8"/>
        <item x="7"/>
        <item x="4"/>
        <item x="0"/>
        <item x="1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Amount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4FB2FA-CDBA-4227-BA51-338FC22517F2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7:H17" firstHeaderRow="1" firstDataRow="1" firstDataCol="1"/>
  <pivotFields count="3">
    <pivotField axis="axisRow" showAll="0">
      <items count="10">
        <item x="5"/>
        <item x="6"/>
        <item x="3"/>
        <item x="2"/>
        <item x="8"/>
        <item x="7"/>
        <item x="4"/>
        <item x="0"/>
        <item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dataField="1"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 of Amount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25883A-2839-4BE1-B79C-6C962B81D83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1:G39" firstHeaderRow="1" firstDataRow="1" firstDataCol="1"/>
  <pivotFields count="3">
    <pivotField axis="axisRow" showAll="0">
      <items count="8">
        <item x="5"/>
        <item x="2"/>
        <item x="3"/>
        <item x="1"/>
        <item x="0"/>
        <item x="6"/>
        <item x="4"/>
        <item t="default"/>
      </items>
    </pivotField>
    <pivotField axis="axisRow" showAll="0">
      <items count="6">
        <item x="1"/>
        <item x="4"/>
        <item x="2"/>
        <item x="0"/>
        <item x="3"/>
        <item t="default"/>
      </items>
    </pivotField>
    <pivotField dataField="1" numFmtId="8" showAll="0"/>
  </pivotFields>
  <rowFields count="2">
    <field x="1"/>
    <field x="0"/>
  </rowFields>
  <rowItems count="28">
    <i>
      <x/>
    </i>
    <i r="1">
      <x/>
    </i>
    <i r="1">
      <x v="3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5"/>
    </i>
    <i r="1">
      <x v="6"/>
    </i>
    <i>
      <x v="2"/>
    </i>
    <i r="1">
      <x/>
    </i>
    <i r="1">
      <x v="1"/>
    </i>
    <i r="1">
      <x v="2"/>
    </i>
    <i r="1">
      <x v="6"/>
    </i>
    <i>
      <x v="3"/>
    </i>
    <i r="1">
      <x/>
    </i>
    <i r="1">
      <x v="2"/>
    </i>
    <i r="1">
      <x v="4"/>
    </i>
    <i r="1">
      <x v="5"/>
    </i>
    <i>
      <x v="4"/>
    </i>
    <i r="1">
      <x/>
    </i>
    <i r="1">
      <x v="1"/>
    </i>
    <i r="1">
      <x v="2"/>
    </i>
    <i r="1">
      <x v="5"/>
    </i>
    <i t="grand">
      <x/>
    </i>
  </rowItems>
  <colItems count="1">
    <i/>
  </colItems>
  <dataFields count="1">
    <dataField name="Sum of Amount" fld="2" baseField="0" baseItem="0" numFmtId="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FD179B9E-10C7-48A7-BC6B-07313ABD5147}" autoFormatId="16" applyNumberFormats="0" applyBorderFormats="0" applyFontFormats="0" applyPatternFormats="0" applyAlignmentFormats="0" applyWidthHeightFormats="0">
  <queryTableRefresh nextId="16">
    <queryTableFields count="12">
      <queryTableField id="1" name="S.N." tableColumnId="1"/>
      <queryTableField id="2" name="FIRST NAME" tableColumnId="2"/>
      <queryTableField id="3" name="LAST NAME" tableColumnId="3"/>
      <queryTableField id="4" name="FATHER NAME" tableColumnId="4"/>
      <queryTableField id="5" name="DOB" tableColumnId="5"/>
      <queryTableField id="6" name="CLASS" tableColumnId="6"/>
      <queryTableField id="7" name="SEC" tableColumnId="7"/>
      <queryTableField id="8" name="MOBILE NO." tableColumnId="8"/>
      <queryTableField id="10" name="EMAIL USER NAME" tableColumnId="10"/>
      <queryTableField id="11" name="DOMAIN NAME" tableColumnId="11"/>
      <queryTableField id="14" name="YEAR" tableColumnId="14"/>
      <queryTableField id="15" name="MODEL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F4B016A1-90E1-4C43-B596-ED066585857C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Position" tableColumnId="2"/>
      <queryTableField id="3" name="DOB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47A59DCD-BEB6-4B43-8337-667721FE56EB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Month" tableColumnId="2"/>
      <queryTableField id="3" name="Amount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6F538567-C4EB-42E7-B1D6-AD1E054419A1}" autoFormatId="16" applyNumberFormats="0" applyBorderFormats="0" applyFontFormats="0" applyPatternFormats="0" applyAlignmentFormats="0" applyWidthHeightFormats="0">
  <queryTableRefresh nextId="6">
    <queryTableFields count="3">
      <queryTableField id="4" name="Product" tableColumnId="4"/>
      <queryTableField id="2" name="State" tableColumnId="2"/>
      <queryTableField id="3" name="Total Amount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89833FE-4087-4FCD-BF80-5E92F87C59C3}" autoFormatId="16" applyNumberFormats="0" applyBorderFormats="0" applyFontFormats="0" applyPatternFormats="0" applyAlignmentFormats="0" applyWidthHeightFormats="0">
  <queryTableRefresh nextId="2">
    <queryTableFields count="1">
      <queryTableField id="1" name="DATE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ECDD5014-70FD-49C3-8D88-2E00E750811C}" autoFormatId="16" applyNumberFormats="0" applyBorderFormats="0" applyFontFormats="0" applyPatternFormats="0" applyAlignmentFormats="0" applyWidthHeightFormats="0">
  <queryTableRefresh nextId="5">
    <queryTableFields count="3">
      <queryTableField id="1" name="NAME" tableColumnId="1"/>
      <queryTableField id="2" name="DOB" tableColumnId="2"/>
      <queryTableField id="4" name="Total Years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0" xr16:uid="{48CD703E-BB21-4800-BB74-2B94A1A8F1D7}" autoFormatId="16" applyNumberFormats="0" applyBorderFormats="0" applyFontFormats="0" applyPatternFormats="0" applyAlignmentFormats="0" applyWidthHeightFormats="0">
  <queryTableRefresh nextId="5">
    <queryTableFields count="4">
      <queryTableField id="1" name="Start Date" tableColumnId="1"/>
      <queryTableField id="2" name="End Date" tableColumnId="2"/>
      <queryTableField id="3" name="Time Difference" tableColumnId="3"/>
      <queryTableField id="4" name="Days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A7B6CB5-4EB8-494D-9903-1A004C419E86}" autoFormatId="16" applyNumberFormats="0" applyBorderFormats="0" applyFontFormats="0" applyPatternFormats="0" applyAlignmentFormats="0" applyWidthHeightFormats="0">
  <queryTableRefresh nextId="6">
    <queryTableFields count="5">
      <queryTableField id="1" name="Territroy ID" tableColumnId="1"/>
      <queryTableField id="2" name="Region Name" tableColumnId="2"/>
      <queryTableField id="3" name="Country" tableColumnId="3"/>
      <queryTableField id="4" name="Group" tableColumnId="4"/>
      <queryTableField id="5" name="Conditional Column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3C04542F-B481-4C40-9423-0413760E0B8D}" autoFormatId="16" applyNumberFormats="0" applyBorderFormats="0" applyFontFormats="0" applyPatternFormats="0" applyAlignmentFormats="0" applyWidthHeightFormats="0">
  <queryTableRefresh nextId="6">
    <queryTableFields count="5">
      <queryTableField id="1" name="Period" tableColumnId="1"/>
      <queryTableField id="2" name="Region" tableColumnId="2"/>
      <queryTableField id="3" name="Sales" tableColumnId="3"/>
      <queryTableField id="4" name="Profit 10% of Sales" tableColumnId="4"/>
      <queryTableField id="5" name="Total Sale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2912A8-5687-4EBF-BD3B-180035671F54}" name="SplitName_UpperCase_sheet" displayName="SplitName_UpperCase_sheet" ref="A1:L11" tableType="queryTable" totalsRowShown="0">
  <autoFilter ref="A1:L11" xr:uid="{472912A8-5687-4EBF-BD3B-180035671F54}"/>
  <tableColumns count="12">
    <tableColumn id="1" xr3:uid="{08D87E19-AFEF-439F-8C3B-2E04A4D09A4B}" uniqueName="1" name="S.N." queryTableFieldId="1" dataDxfId="85"/>
    <tableColumn id="2" xr3:uid="{3F98087C-A021-4FE2-B7AB-A5D46C726B2F}" uniqueName="2" name="FIRST NAME" queryTableFieldId="2" dataDxfId="84"/>
    <tableColumn id="3" xr3:uid="{3CBB1A87-4EC3-41E0-B8EE-AE443684868E}" uniqueName="3" name="LAST NAME" queryTableFieldId="3" dataDxfId="83"/>
    <tableColumn id="4" xr3:uid="{BFE2E8D7-0B6B-4B92-83D6-DDC3D6FF848E}" uniqueName="4" name="FATHER NAME" queryTableFieldId="4" dataDxfId="82"/>
    <tableColumn id="5" xr3:uid="{3535EF45-69EE-4680-AB87-48CC8DE24DBB}" uniqueName="5" name="DOB" queryTableFieldId="5" dataDxfId="81"/>
    <tableColumn id="6" xr3:uid="{A2C41B7E-C21F-464D-A398-D6B7EB21FFA8}" uniqueName="6" name="CLASS" queryTableFieldId="6" dataDxfId="80"/>
    <tableColumn id="7" xr3:uid="{2C6114FF-2385-400A-AB32-34C03223DCC5}" uniqueName="7" name="SEC" queryTableFieldId="7" dataDxfId="79"/>
    <tableColumn id="8" xr3:uid="{9627A096-9E10-4856-9CC7-752B098BD4EB}" uniqueName="8" name="MOBILE NO." queryTableFieldId="8" dataDxfId="78"/>
    <tableColumn id="10" xr3:uid="{89434851-1676-44E5-A471-61B5D542A136}" uniqueName="10" name="EMAIL USER NAME" queryTableFieldId="10" dataDxfId="77"/>
    <tableColumn id="11" xr3:uid="{F2FC01BC-C540-4BBF-AC83-58ACCFD79E77}" uniqueName="11" name="DOMAIN NAME" queryTableFieldId="11" dataDxfId="76"/>
    <tableColumn id="14" xr3:uid="{89251BCE-97A3-4174-B0F3-C56C94D919AE}" uniqueName="14" name="YEAR" queryTableFieldId="14" dataDxfId="75"/>
    <tableColumn id="15" xr3:uid="{8B8C3976-0B38-44F7-8393-FF56E41F59B9}" uniqueName="15" name="MODEL" queryTableFieldId="15" dataDxfId="7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F73743-903A-4AD6-946B-D3ABAAA117D1}" name="tbl_splitUpper" displayName="tbl_splitUpper" ref="A1:I11" totalsRowShown="0" headerRowDxfId="73" tableBorderDxfId="72">
  <autoFilter ref="A1:I11" xr:uid="{9BF73743-903A-4AD6-946B-D3ABAAA117D1}"/>
  <tableColumns count="9">
    <tableColumn id="1" xr3:uid="{9B55BF73-7540-4751-BAAB-055DBE3BFAAA}" name="S.N." dataDxfId="71"/>
    <tableColumn id="2" xr3:uid="{F710A8CD-35F1-461A-B372-6E56FA7CFBD0}" name="NAME" dataDxfId="70"/>
    <tableColumn id="3" xr3:uid="{77B231C9-24D2-4896-A7D4-976A4F1A06DF}" name="FATHER NAME" dataDxfId="69"/>
    <tableColumn id="4" xr3:uid="{92C42D49-8C62-4F4C-8CF2-6E17567DCBFE}" name="DOB" dataDxfId="68"/>
    <tableColumn id="5" xr3:uid="{B833C4AD-76A8-4495-A133-CC32EA112D8D}" name="CLASS" dataDxfId="67"/>
    <tableColumn id="6" xr3:uid="{661ABA3F-E913-4915-B5F4-8D08389D9E5B}" name="SEC" dataDxfId="66"/>
    <tableColumn id="7" xr3:uid="{B2477404-C6E1-43DA-81B2-C15656144131}" name="MOBILE NO." dataDxfId="65"/>
    <tableColumn id="8" xr3:uid="{4EB720F9-11AC-4EE3-97AD-B9D68116874F}" name="email" dataDxfId="64"/>
    <tableColumn id="9" xr3:uid="{66835013-D043-49A5-A0C8-F39F8E9B262F}" name="YEAR/ MODEL" dataDxfId="6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B2F0770-5BB0-409B-B5E2-D2ECEAF722DA}" name="Table1" displayName="Table1" ref="A17:B27" totalsRowShown="0" headerRowDxfId="22" headerRowBorderDxfId="20" tableBorderDxfId="21" totalsRowBorderDxfId="19">
  <autoFilter ref="A17:B27" xr:uid="{1B2F0770-5BB0-409B-B5E2-D2ECEAF722DA}"/>
  <tableColumns count="2">
    <tableColumn id="1" xr3:uid="{1471D752-831D-4C1E-B1E5-9773E309F68C}" name="Name &amp; Position" dataDxfId="18"/>
    <tableColumn id="2" xr3:uid="{C1850DFD-FDF3-48E5-8EFA-6E5F01AEDAAE}" name="DOB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F161743-2707-4BAE-9E85-C8BC72462A4C}" name="SplitColumnUsingExmple" displayName="SplitColumnUsingExmple" ref="E17:G27" tableType="queryTable" totalsRowShown="0">
  <autoFilter ref="E17:G27" xr:uid="{2F161743-2707-4BAE-9E85-C8BC72462A4C}"/>
  <tableColumns count="3">
    <tableColumn id="1" xr3:uid="{247B331A-973D-4379-9448-A2FEEB901936}" uniqueName="1" name="Name" queryTableFieldId="1" dataDxfId="16"/>
    <tableColumn id="2" xr3:uid="{A186DFDD-736F-4B2C-98A7-546361EA7966}" uniqueName="2" name="Position" queryTableFieldId="2" dataDxfId="15"/>
    <tableColumn id="3" xr3:uid="{0AC3D2BB-A905-43B0-BC2E-D8551C8EF0CE}" uniqueName="3" name="DOB" queryTableFieldId="3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A84D793-1636-4093-9264-40EF96F05262}" name="UnpivotedData" displayName="UnpivotedData" ref="A1:C46" tableType="queryTable" totalsRowShown="0">
  <autoFilter ref="A1:C46" xr:uid="{EA84D793-1636-4093-9264-40EF96F05262}"/>
  <tableColumns count="3">
    <tableColumn id="1" xr3:uid="{5795CF8F-EDAA-4FA0-AAE5-5BC234AA7D8F}" uniqueName="1" name="NAME" queryTableFieldId="1" dataDxfId="62"/>
    <tableColumn id="2" xr3:uid="{C4B27AF8-9C46-487E-8F1D-8587F7A2D552}" uniqueName="2" name="Month" queryTableFieldId="2" dataDxfId="61"/>
    <tableColumn id="3" xr3:uid="{070B3BAF-55FC-49C4-B0C1-5F0BE37A49D5}" uniqueName="3" name="Amount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994062D-A1BE-4DCD-936F-49DA71A2D662}" name="Table7" displayName="Table7" ref="B7:G16" totalsRowShown="0" headerRowDxfId="60" dataDxfId="59">
  <autoFilter ref="B7:G16" xr:uid="{6994062D-A1BE-4DCD-936F-49DA71A2D662}"/>
  <tableColumns count="6">
    <tableColumn id="1" xr3:uid="{7A1E7B1B-AC05-46B8-85F7-14573FFF8FBF}" name="NAME" dataDxfId="58"/>
    <tableColumn id="2" xr3:uid="{F7351536-A8B6-4CB3-8BEF-BB0AB8C9AA3A}" name="JAN" dataDxfId="57"/>
    <tableColumn id="3" xr3:uid="{3C21D270-C333-4A29-870D-8902797F8CB9}" name="FEB" dataDxfId="56"/>
    <tableColumn id="4" xr3:uid="{D35D9A7A-E0BB-4D46-B6D1-C54D49482ACD}" name="MARCH" dataDxfId="55"/>
    <tableColumn id="5" xr3:uid="{B6304B87-84C5-4B87-AB9B-9FC63C9C2292}" name="APRIL" dataDxfId="54"/>
    <tableColumn id="6" xr3:uid="{DCA3AEC2-D1F7-4624-8855-E7100D74FDF4}" name="MAY" dataDxfId="5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B5492A-5A45-49AD-B805-7115B907B265}" name="GroupByTable" displayName="GroupByTable" ref="A1:C23" tableType="queryTable" totalsRowShown="0">
  <autoFilter ref="A1:C23" xr:uid="{B6B5492A-5A45-49AD-B805-7115B907B265}"/>
  <tableColumns count="3">
    <tableColumn id="4" xr3:uid="{F479C07B-E33E-4C53-BF0A-5D595E3CCD17}" uniqueName="4" name="Product" queryTableFieldId="4" dataDxfId="52"/>
    <tableColumn id="2" xr3:uid="{30F2C164-1D9F-4FA3-92BB-A0AFA77927D4}" uniqueName="2" name="State" queryTableFieldId="2" dataDxfId="51"/>
    <tableColumn id="3" xr3:uid="{E8EED9F8-9D12-47FF-8906-60744535F620}" uniqueName="3" name="Total Amount" queryTableFieldId="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640CA6-96A7-4809-9EAA-5C97AC535F49}" name="Table5" displayName="Table5" ref="A1:C43" totalsRowShown="0" headerRowDxfId="50">
  <autoFilter ref="A1:C43" xr:uid="{F2640CA6-96A7-4809-9EAA-5C97AC535F49}"/>
  <tableColumns count="3">
    <tableColumn id="1" xr3:uid="{3491185D-A829-4279-AAB9-E19F7144B11E}" name="Product" dataDxfId="49"/>
    <tableColumn id="2" xr3:uid="{198E11AB-385E-4ABB-9588-100A2E55EE2F}" name="State" dataDxfId="48"/>
    <tableColumn id="3" xr3:uid="{78E9F36E-83E9-49CA-A4B6-5BEB9B9A1B6A}" name="Amount" dataDxfId="4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47388C-7245-4C63-A1A7-D3E3CBCA32A6}" name="Table9" displayName="Table9" ref="A1:A31" totalsRowShown="0" headerRowDxfId="46" dataDxfId="45">
  <autoFilter ref="A1:A31" xr:uid="{F647388C-7245-4C63-A1A7-D3E3CBCA32A6}"/>
  <tableColumns count="1">
    <tableColumn id="1" xr3:uid="{5585B0E2-A22A-4C37-A647-2AB163E1A238}" name="DATE" dataDxfId="4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AE95D6-4977-4802-BC40-D9C4FBE57F9F}" name="Table10" displayName="Table10" ref="C1:C6" totalsRowShown="0" headerRowDxfId="43" dataDxfId="40">
  <autoFilter ref="C1:C6" xr:uid="{B0AE95D6-4977-4802-BC40-D9C4FBE57F9F}"/>
  <tableColumns count="1">
    <tableColumn id="1" xr3:uid="{8FB084C8-9E0F-4502-A96F-B8C82CC41163}" name="HOLIDAYS" dataDxfId="4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93F4D1-689F-4F48-B826-FC3F865FD361}" name="DatesWithoutHolidayMerge" displayName="DatesWithoutHolidayMerge" ref="F6:F31" tableType="queryTable" totalsRowShown="0">
  <autoFilter ref="F6:F31" xr:uid="{0093F4D1-689F-4F48-B826-FC3F865FD361}"/>
  <tableColumns count="1">
    <tableColumn id="1" xr3:uid="{AA77CA82-7E02-47D4-B13F-DC786366AECB}" uniqueName="1" name="DATE" queryTableFieldId="1" dataDxfId="4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DDBCFF-77F3-4477-AC71-5B24A340757B}" name="Table2" displayName="Table2" ref="L4:M16" totalsRowShown="0" headerRowDxfId="39">
  <autoFilter ref="L4:M16" xr:uid="{24DDBCFF-77F3-4477-AC71-5B24A340757B}"/>
  <tableColumns count="2">
    <tableColumn id="1" xr3:uid="{E0EAD7F5-268B-46CC-8146-5CD175C4862D}" name="NAME" dataDxfId="38"/>
    <tableColumn id="2" xr3:uid="{F22C7706-C054-4440-94B1-E0DB6A925D0A}" name="DOB" dataDxfId="3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4B84DC4-2D04-4F77-BC3F-4C11F969EA7C}" name="Age_Calculation" displayName="Age_Calculation" ref="P4:R16" tableType="queryTable" totalsRowShown="0">
  <autoFilter ref="P4:R16" xr:uid="{E4B84DC4-2D04-4F77-BC3F-4C11F969EA7C}"/>
  <tableColumns count="3">
    <tableColumn id="1" xr3:uid="{488CAE28-9FF0-4613-9611-561D3FF6E02D}" uniqueName="1" name="NAME" queryTableFieldId="1" dataDxfId="36"/>
    <tableColumn id="2" xr3:uid="{78FAE16A-1727-461D-98E7-975F44004A8F}" uniqueName="2" name="DOB" queryTableFieldId="2" dataDxfId="35"/>
    <tableColumn id="4" xr3:uid="{DA30187B-0D25-46CA-907C-C8D41FD4714B}" uniqueName="4" name="Total Years" queryTableFieldId="4" dataDxfId="3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A37334B-D9D2-43A5-B0BF-655A2E75499F}" name="Table13" displayName="Table13" ref="L23:M34" totalsRowShown="0">
  <autoFilter ref="L23:M34" xr:uid="{CA37334B-D9D2-43A5-B0BF-655A2E75499F}"/>
  <tableColumns count="2">
    <tableColumn id="1" xr3:uid="{C9549043-9566-418F-9E97-985DEA91863A}" name="Start Date"/>
    <tableColumn id="2" xr3:uid="{76A8575B-5750-4ADE-BA96-B50D85E4218A}" name="End Dat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E41EE03-7FE3-4343-947A-551A2D17D36A}" name="Time_Difference" displayName="Time_Difference" ref="P23:S34" tableType="queryTable" totalsRowShown="0">
  <autoFilter ref="P23:S34" xr:uid="{9E41EE03-7FE3-4343-947A-551A2D17D36A}"/>
  <tableColumns count="4">
    <tableColumn id="1" xr3:uid="{C7051A7A-4ED6-4DBE-94A2-392CD1E8BF2D}" uniqueName="1" name="Start Date" queryTableFieldId="1" dataDxfId="25"/>
    <tableColumn id="2" xr3:uid="{8E489B03-219A-440A-908B-50EDD2CBA63D}" uniqueName="2" name="End Date" queryTableFieldId="2" dataDxfId="24"/>
    <tableColumn id="3" xr3:uid="{2EC0CD6F-9343-4377-98A8-B9BE2FE7FF9E}" uniqueName="3" name="Time Difference" queryTableFieldId="3" dataDxfId="23"/>
    <tableColumn id="4" xr3:uid="{6A05DD3C-4E20-43AD-B95D-C917F7A998E7}" uniqueName="4" name="Days" queryTableFieldId="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67F6F37-B0DF-485F-87F8-5B39206A0D63}" name="tbl_addColumn" displayName="tbl_addColumn" ref="A3:D14" totalsRowShown="0" headerRowDxfId="26" headerRowBorderDxfId="32" tableBorderDxfId="33" totalsRowBorderDxfId="31">
  <autoFilter ref="A3:D14" xr:uid="{267F6F37-B0DF-485F-87F8-5B39206A0D63}"/>
  <tableColumns count="4">
    <tableColumn id="1" xr3:uid="{EFDCA4E7-D47C-4FDB-ABE5-C89833CD7D1F}" name="Territroy ID" dataDxfId="30"/>
    <tableColumn id="2" xr3:uid="{A09DBAB6-D6B2-436C-8AC2-BE3B46638D2A}" name="Region Name" dataDxfId="29"/>
    <tableColumn id="3" xr3:uid="{0CBB9FE2-12F7-4337-BBB4-DD44E7F9EF37}" name="Country" dataDxfId="28"/>
    <tableColumn id="4" xr3:uid="{F32E9808-97BE-4809-AD86-28DA7FE1FBAE}" name="Group" dataDxfId="2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D99FB37-8D63-4A83-B7A8-0510C2762291}" name="Conditional_ColumnTable" displayName="Conditional_ColumnTable" ref="F3:J14" tableType="queryTable" totalsRowShown="0">
  <autoFilter ref="F3:J14" xr:uid="{4D99FB37-8D63-4A83-B7A8-0510C2762291}"/>
  <tableColumns count="5">
    <tableColumn id="1" xr3:uid="{DA0DCD5A-D637-47DB-9D69-31A8D80174DB}" uniqueName="1" name="Territroy ID" queryTableFieldId="1"/>
    <tableColumn id="2" xr3:uid="{B6F3D9FE-1E59-4E1F-8232-DB7CC7999B7B}" uniqueName="2" name="Region Name" queryTableFieldId="2" dataDxfId="13"/>
    <tableColumn id="3" xr3:uid="{8AE7D19E-E6B7-4C38-97E3-D8EBDABB23BC}" uniqueName="3" name="Country" queryTableFieldId="3" dataDxfId="12"/>
    <tableColumn id="4" xr3:uid="{F6A22AB6-5C6F-49A2-911A-8676FE2F339A}" uniqueName="4" name="Group" queryTableFieldId="4" dataDxfId="11"/>
    <tableColumn id="5" xr3:uid="{BD8D2548-19CC-4EBA-A381-EFF6A33EA547}" uniqueName="5" name="Conditional Column" queryTableFieldId="5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6538B27-1B6D-4DB9-A7C9-6F9EE0E83B8D}" name="tbl_customColumn" displayName="tbl_customColumn" ref="A21:C57" totalsRowShown="0" headerRowDxfId="4" headerRowBorderDxfId="9" tableBorderDxfId="10" totalsRowBorderDxfId="8">
  <autoFilter ref="A21:C57" xr:uid="{C6538B27-1B6D-4DB9-A7C9-6F9EE0E83B8D}"/>
  <tableColumns count="3">
    <tableColumn id="1" xr3:uid="{78FDDB55-079B-490F-99BF-CFF50F6A35D7}" name="Period" dataDxfId="7"/>
    <tableColumn id="2" xr3:uid="{A0C1F7AA-26D2-4A39-91DB-CDE64F77A99F}" name="Region" dataDxfId="6"/>
    <tableColumn id="3" xr3:uid="{A35D0CB2-1840-44C6-BEBF-B47555F0F544}" name="Sales" dataDxfId="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E544BF9-EAF9-4D94-BCDC-6C7FBE3C23B0}" name="Profit_CustomColumn" displayName="Profit_CustomColumn" ref="F21:J57" tableType="queryTable" totalsRowShown="0">
  <autoFilter ref="F21:J57" xr:uid="{6E544BF9-EAF9-4D94-BCDC-6C7FBE3C23B0}"/>
  <tableColumns count="5">
    <tableColumn id="1" xr3:uid="{95D384B2-4EE6-4C07-93E1-962D6D4BC51A}" uniqueName="1" name="Period" queryTableFieldId="1" dataDxfId="3"/>
    <tableColumn id="2" xr3:uid="{C129CA83-3DCD-48F9-A283-AF7F71998795}" uniqueName="2" name="Region" queryTableFieldId="2" dataDxfId="2"/>
    <tableColumn id="3" xr3:uid="{988566A2-6F09-48F6-B4CC-C08727086054}" uniqueName="3" name="Sales" queryTableFieldId="3"/>
    <tableColumn id="4" xr3:uid="{B6F7A2DD-7997-431D-9CC9-BA954DD1A995}" uniqueName="4" name="Profit 10% of Sales" queryTableFieldId="4" dataDxfId="1"/>
    <tableColumn id="5" xr3:uid="{3FE5A9FE-234B-4AE9-881D-97CE628375EA}" uniqueName="5" name="Total Sales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4.xml"/><Relationship Id="rId3" Type="http://schemas.openxmlformats.org/officeDocument/2006/relationships/table" Target="../tables/table9.xml"/><Relationship Id="rId7" Type="http://schemas.openxmlformats.org/officeDocument/2006/relationships/table" Target="../tables/table1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Relationship Id="rId9" Type="http://schemas.openxmlformats.org/officeDocument/2006/relationships/table" Target="../tables/table1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drawing" Target="../drawings/drawing3.xml"/><Relationship Id="rId5" Type="http://schemas.openxmlformats.org/officeDocument/2006/relationships/table" Target="../tables/table19.xml"/><Relationship Id="rId4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9FA33-456F-4627-BD0C-9C2BBF80F301}">
  <sheetPr>
    <tabColor rgb="FFFFFF00"/>
  </sheetPr>
  <dimension ref="A3:B14"/>
  <sheetViews>
    <sheetView topLeftCell="A3" workbookViewId="0">
      <selection activeCell="J1" sqref="J1"/>
    </sheetView>
  </sheetViews>
  <sheetFormatPr defaultRowHeight="14.4" x14ac:dyDescent="0.3"/>
  <cols>
    <col min="2" max="2" width="69.77734375" bestFit="1" customWidth="1"/>
  </cols>
  <sheetData>
    <row r="3" spans="1:2" ht="15.6" x14ac:dyDescent="0.3">
      <c r="A3" s="39">
        <v>1</v>
      </c>
      <c r="B3" s="39" t="s">
        <v>52</v>
      </c>
    </row>
    <row r="4" spans="1:2" ht="15.6" x14ac:dyDescent="0.3">
      <c r="A4" s="39">
        <v>2</v>
      </c>
      <c r="B4" s="39" t="s">
        <v>53</v>
      </c>
    </row>
    <row r="5" spans="1:2" ht="15.6" x14ac:dyDescent="0.3">
      <c r="A5" s="39">
        <v>3</v>
      </c>
      <c r="B5" s="39" t="s">
        <v>181</v>
      </c>
    </row>
    <row r="6" spans="1:2" ht="15.6" x14ac:dyDescent="0.3">
      <c r="A6" s="39">
        <v>4</v>
      </c>
      <c r="B6" s="39" t="s">
        <v>182</v>
      </c>
    </row>
    <row r="7" spans="1:2" ht="15.6" x14ac:dyDescent="0.3">
      <c r="A7" s="39">
        <v>5</v>
      </c>
      <c r="B7" s="39" t="s">
        <v>218</v>
      </c>
    </row>
    <row r="8" spans="1:2" ht="31.2" x14ac:dyDescent="0.3">
      <c r="A8" s="39">
        <v>6</v>
      </c>
      <c r="B8" s="56" t="s">
        <v>217</v>
      </c>
    </row>
    <row r="9" spans="1:2" ht="15.6" x14ac:dyDescent="0.3">
      <c r="A9" s="39">
        <v>7</v>
      </c>
      <c r="B9" s="39" t="s">
        <v>191</v>
      </c>
    </row>
    <row r="10" spans="1:2" ht="15.6" x14ac:dyDescent="0.3">
      <c r="A10" s="39">
        <v>8</v>
      </c>
      <c r="B10" s="39" t="s">
        <v>285</v>
      </c>
    </row>
    <row r="11" spans="1:2" ht="15.6" x14ac:dyDescent="0.3">
      <c r="A11" s="39">
        <v>9</v>
      </c>
      <c r="B11" s="39"/>
    </row>
    <row r="12" spans="1:2" ht="15.6" x14ac:dyDescent="0.3">
      <c r="A12" s="39">
        <v>10</v>
      </c>
      <c r="B12" s="39"/>
    </row>
    <row r="13" spans="1:2" ht="15.6" x14ac:dyDescent="0.3">
      <c r="A13" s="39">
        <v>11</v>
      </c>
      <c r="B13" s="55"/>
    </row>
    <row r="14" spans="1:2" ht="15.6" x14ac:dyDescent="0.3">
      <c r="A14" s="39">
        <v>12</v>
      </c>
      <c r="B14" s="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AA41-E7B3-4E1E-829D-2C9E30F9B646}">
  <dimension ref="A1:L11"/>
  <sheetViews>
    <sheetView workbookViewId="0">
      <selection activeCell="J1" sqref="J1"/>
    </sheetView>
  </sheetViews>
  <sheetFormatPr defaultRowHeight="14.4" x14ac:dyDescent="0.3"/>
  <cols>
    <col min="1" max="1" width="6.6640625" bestFit="1" customWidth="1"/>
    <col min="2" max="2" width="13.5546875" bestFit="1" customWidth="1"/>
    <col min="3" max="3" width="13.109375" bestFit="1" customWidth="1"/>
    <col min="4" max="4" width="15.5546875" bestFit="1" customWidth="1"/>
    <col min="5" max="5" width="10.33203125" bestFit="1" customWidth="1"/>
    <col min="6" max="6" width="8.44140625" bestFit="1" customWidth="1"/>
    <col min="7" max="7" width="6.33203125" bestFit="1" customWidth="1"/>
    <col min="8" max="8" width="13.5546875" bestFit="1" customWidth="1"/>
    <col min="9" max="9" width="19.5546875" bestFit="1" customWidth="1"/>
    <col min="10" max="10" width="16.5546875" bestFit="1" customWidth="1"/>
    <col min="11" max="11" width="7.5546875" bestFit="1" customWidth="1"/>
    <col min="12" max="12" width="11.88671875" bestFit="1" customWidth="1"/>
    <col min="13" max="13" width="15.109375" bestFit="1" customWidth="1"/>
    <col min="14" max="14" width="28.109375" bestFit="1" customWidth="1"/>
  </cols>
  <sheetData>
    <row r="1" spans="1:12" x14ac:dyDescent="0.3">
      <c r="A1" t="s">
        <v>0</v>
      </c>
      <c r="B1" t="s">
        <v>64</v>
      </c>
      <c r="C1" t="s">
        <v>65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101</v>
      </c>
      <c r="J1" t="s">
        <v>102</v>
      </c>
      <c r="K1" t="s">
        <v>132</v>
      </c>
      <c r="L1" t="s">
        <v>133</v>
      </c>
    </row>
    <row r="2" spans="1:12" x14ac:dyDescent="0.3">
      <c r="A2" t="s">
        <v>71</v>
      </c>
      <c r="B2" t="s">
        <v>36</v>
      </c>
      <c r="C2" t="s">
        <v>42</v>
      </c>
      <c r="D2" t="s">
        <v>37</v>
      </c>
      <c r="E2" t="s">
        <v>72</v>
      </c>
      <c r="F2" t="s">
        <v>38</v>
      </c>
      <c r="G2" t="s">
        <v>10</v>
      </c>
      <c r="H2" t="s">
        <v>11</v>
      </c>
      <c r="I2" t="s">
        <v>103</v>
      </c>
      <c r="J2" t="s">
        <v>104</v>
      </c>
      <c r="K2" t="s">
        <v>134</v>
      </c>
      <c r="L2" t="s">
        <v>135</v>
      </c>
    </row>
    <row r="3" spans="1:12" x14ac:dyDescent="0.3">
      <c r="A3" t="s">
        <v>73</v>
      </c>
      <c r="B3" t="s">
        <v>39</v>
      </c>
      <c r="C3" t="s">
        <v>66</v>
      </c>
      <c r="D3" t="s">
        <v>40</v>
      </c>
      <c r="E3" t="s">
        <v>74</v>
      </c>
      <c r="F3" t="s">
        <v>38</v>
      </c>
      <c r="G3" t="s">
        <v>10</v>
      </c>
      <c r="H3" t="s">
        <v>14</v>
      </c>
      <c r="I3" t="s">
        <v>105</v>
      </c>
      <c r="J3" t="s">
        <v>106</v>
      </c>
      <c r="K3" t="s">
        <v>136</v>
      </c>
      <c r="L3" t="s">
        <v>137</v>
      </c>
    </row>
    <row r="4" spans="1:12" x14ac:dyDescent="0.3">
      <c r="A4" t="s">
        <v>75</v>
      </c>
      <c r="B4" t="s">
        <v>67</v>
      </c>
      <c r="C4" t="s">
        <v>42</v>
      </c>
      <c r="D4" t="s">
        <v>37</v>
      </c>
      <c r="E4" t="s">
        <v>76</v>
      </c>
      <c r="F4" t="s">
        <v>38</v>
      </c>
      <c r="G4" t="s">
        <v>10</v>
      </c>
      <c r="H4" t="s">
        <v>16</v>
      </c>
      <c r="I4" t="s">
        <v>107</v>
      </c>
      <c r="J4" t="s">
        <v>108</v>
      </c>
      <c r="K4" t="s">
        <v>138</v>
      </c>
      <c r="L4" t="s">
        <v>139</v>
      </c>
    </row>
    <row r="5" spans="1:12" x14ac:dyDescent="0.3">
      <c r="A5" t="s">
        <v>77</v>
      </c>
      <c r="B5" t="s">
        <v>39</v>
      </c>
      <c r="C5" t="s">
        <v>68</v>
      </c>
      <c r="D5" t="s">
        <v>42</v>
      </c>
      <c r="E5" t="s">
        <v>78</v>
      </c>
      <c r="F5" t="s">
        <v>38</v>
      </c>
      <c r="G5" t="s">
        <v>19</v>
      </c>
      <c r="H5" t="s">
        <v>20</v>
      </c>
      <c r="I5" t="s">
        <v>109</v>
      </c>
      <c r="J5" t="s">
        <v>110</v>
      </c>
      <c r="K5" t="s">
        <v>140</v>
      </c>
      <c r="L5" t="s">
        <v>141</v>
      </c>
    </row>
    <row r="6" spans="1:12" x14ac:dyDescent="0.3">
      <c r="A6" t="s">
        <v>79</v>
      </c>
      <c r="B6" t="s">
        <v>43</v>
      </c>
      <c r="C6" t="s">
        <v>66</v>
      </c>
      <c r="D6" t="s">
        <v>42</v>
      </c>
      <c r="E6" t="s">
        <v>76</v>
      </c>
      <c r="F6" t="s">
        <v>38</v>
      </c>
      <c r="G6" t="s">
        <v>19</v>
      </c>
      <c r="H6" t="s">
        <v>21</v>
      </c>
      <c r="I6" t="s">
        <v>111</v>
      </c>
      <c r="J6" t="s">
        <v>112</v>
      </c>
      <c r="K6" t="s">
        <v>142</v>
      </c>
      <c r="L6" t="s">
        <v>139</v>
      </c>
    </row>
    <row r="7" spans="1:12" x14ac:dyDescent="0.3">
      <c r="A7" t="s">
        <v>80</v>
      </c>
      <c r="B7" t="s">
        <v>69</v>
      </c>
      <c r="C7" t="s">
        <v>70</v>
      </c>
      <c r="D7" t="s">
        <v>45</v>
      </c>
      <c r="E7" t="s">
        <v>81</v>
      </c>
      <c r="F7" t="s">
        <v>38</v>
      </c>
      <c r="G7" t="s">
        <v>10</v>
      </c>
      <c r="H7" t="s">
        <v>24</v>
      </c>
      <c r="I7" t="s">
        <v>113</v>
      </c>
      <c r="J7" t="s">
        <v>114</v>
      </c>
      <c r="K7" t="s">
        <v>143</v>
      </c>
      <c r="L7" t="s">
        <v>144</v>
      </c>
    </row>
    <row r="8" spans="1:12" x14ac:dyDescent="0.3">
      <c r="A8" t="s">
        <v>82</v>
      </c>
      <c r="B8" t="s">
        <v>48</v>
      </c>
      <c r="C8" t="s">
        <v>66</v>
      </c>
      <c r="D8" t="s">
        <v>47</v>
      </c>
      <c r="E8" t="s">
        <v>83</v>
      </c>
      <c r="F8" t="s">
        <v>38</v>
      </c>
      <c r="G8" t="s">
        <v>10</v>
      </c>
      <c r="H8" t="s">
        <v>27</v>
      </c>
      <c r="I8" t="s">
        <v>115</v>
      </c>
      <c r="J8" t="s">
        <v>104</v>
      </c>
      <c r="K8" t="s">
        <v>145</v>
      </c>
      <c r="L8" t="s">
        <v>146</v>
      </c>
    </row>
    <row r="9" spans="1:12" x14ac:dyDescent="0.3">
      <c r="A9" t="s">
        <v>84</v>
      </c>
      <c r="B9" t="s">
        <v>46</v>
      </c>
      <c r="C9" t="s">
        <v>66</v>
      </c>
      <c r="D9" t="s">
        <v>49</v>
      </c>
      <c r="E9" t="s">
        <v>85</v>
      </c>
      <c r="F9" t="s">
        <v>38</v>
      </c>
      <c r="G9" t="s">
        <v>19</v>
      </c>
      <c r="H9" t="s">
        <v>30</v>
      </c>
      <c r="I9" t="s">
        <v>116</v>
      </c>
      <c r="J9" t="s">
        <v>117</v>
      </c>
      <c r="K9" t="s">
        <v>147</v>
      </c>
      <c r="L9" t="s">
        <v>148</v>
      </c>
    </row>
    <row r="10" spans="1:12" x14ac:dyDescent="0.3">
      <c r="A10" t="s">
        <v>86</v>
      </c>
      <c r="B10" t="s">
        <v>46</v>
      </c>
      <c r="C10" t="s">
        <v>68</v>
      </c>
      <c r="D10" t="s">
        <v>50</v>
      </c>
      <c r="E10" t="s">
        <v>87</v>
      </c>
      <c r="F10" t="s">
        <v>38</v>
      </c>
      <c r="G10" t="s">
        <v>19</v>
      </c>
      <c r="H10" t="s">
        <v>33</v>
      </c>
      <c r="I10" t="s">
        <v>118</v>
      </c>
      <c r="J10" t="s">
        <v>110</v>
      </c>
      <c r="K10" t="s">
        <v>149</v>
      </c>
      <c r="L10" t="s">
        <v>150</v>
      </c>
    </row>
    <row r="11" spans="1:12" x14ac:dyDescent="0.3">
      <c r="A11" t="s">
        <v>88</v>
      </c>
      <c r="B11" t="s">
        <v>36</v>
      </c>
      <c r="C11" t="s">
        <v>70</v>
      </c>
      <c r="D11" t="s">
        <v>47</v>
      </c>
      <c r="E11" t="s">
        <v>89</v>
      </c>
      <c r="F11" t="s">
        <v>38</v>
      </c>
      <c r="G11" t="s">
        <v>10</v>
      </c>
      <c r="H11" t="s">
        <v>35</v>
      </c>
      <c r="I11" t="s">
        <v>119</v>
      </c>
      <c r="J11" t="s">
        <v>120</v>
      </c>
      <c r="K11" t="s">
        <v>151</v>
      </c>
      <c r="L11" t="s">
        <v>152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339F6-6A50-402F-BA53-E7DC6B4CC0D7}">
  <sheetPr>
    <tabColor rgb="FFFF0000"/>
  </sheetPr>
  <dimension ref="A1:I27"/>
  <sheetViews>
    <sheetView topLeftCell="A10" zoomScaleNormal="100" workbookViewId="0">
      <selection activeCell="D29" sqref="D29"/>
    </sheetView>
  </sheetViews>
  <sheetFormatPr defaultRowHeight="14.4" x14ac:dyDescent="0.3"/>
  <cols>
    <col min="1" max="1" width="18.5546875" customWidth="1"/>
    <col min="2" max="2" width="17.77734375" customWidth="1"/>
    <col min="3" max="3" width="16.88671875" bestFit="1" customWidth="1"/>
    <col min="4" max="4" width="10.109375" bestFit="1" customWidth="1"/>
    <col min="5" max="5" width="17.21875" customWidth="1"/>
    <col min="6" max="6" width="10" bestFit="1" customWidth="1"/>
    <col min="7" max="7" width="10.33203125" bestFit="1" customWidth="1"/>
    <col min="8" max="8" width="28.109375" bestFit="1" customWidth="1"/>
    <col min="9" max="9" width="16.5546875" bestFit="1" customWidth="1"/>
  </cols>
  <sheetData>
    <row r="1" spans="1:9" ht="15.6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9" t="s">
        <v>90</v>
      </c>
      <c r="I1" s="9" t="s">
        <v>121</v>
      </c>
    </row>
    <row r="2" spans="1:9" ht="16.2" x14ac:dyDescent="0.3">
      <c r="A2" s="3">
        <v>1</v>
      </c>
      <c r="B2" s="1" t="s">
        <v>54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t="s">
        <v>91</v>
      </c>
      <c r="I2" s="7" t="s">
        <v>122</v>
      </c>
    </row>
    <row r="3" spans="1:9" ht="16.2" x14ac:dyDescent="0.3">
      <c r="A3" s="4">
        <v>2</v>
      </c>
      <c r="B3" s="2" t="s">
        <v>55</v>
      </c>
      <c r="C3" s="2" t="s">
        <v>12</v>
      </c>
      <c r="D3" s="2" t="s">
        <v>13</v>
      </c>
      <c r="E3" s="2" t="s">
        <v>9</v>
      </c>
      <c r="F3" s="2" t="s">
        <v>10</v>
      </c>
      <c r="G3" s="2" t="s">
        <v>14</v>
      </c>
      <c r="H3" t="s">
        <v>92</v>
      </c>
      <c r="I3" s="7" t="s">
        <v>123</v>
      </c>
    </row>
    <row r="4" spans="1:9" ht="16.2" x14ac:dyDescent="0.3">
      <c r="A4" s="3">
        <v>3</v>
      </c>
      <c r="B4" s="1" t="s">
        <v>56</v>
      </c>
      <c r="C4" s="1" t="s">
        <v>7</v>
      </c>
      <c r="D4" s="1" t="s">
        <v>15</v>
      </c>
      <c r="E4" s="1" t="s">
        <v>9</v>
      </c>
      <c r="F4" s="1" t="s">
        <v>10</v>
      </c>
      <c r="G4" s="1" t="s">
        <v>16</v>
      </c>
      <c r="H4" t="s">
        <v>93</v>
      </c>
      <c r="I4" s="7" t="s">
        <v>124</v>
      </c>
    </row>
    <row r="5" spans="1:9" ht="16.2" x14ac:dyDescent="0.3">
      <c r="A5" s="4">
        <v>4</v>
      </c>
      <c r="B5" s="2" t="s">
        <v>57</v>
      </c>
      <c r="C5" s="2" t="s">
        <v>17</v>
      </c>
      <c r="D5" s="2" t="s">
        <v>18</v>
      </c>
      <c r="E5" s="2" t="s">
        <v>9</v>
      </c>
      <c r="F5" s="2" t="s">
        <v>19</v>
      </c>
      <c r="G5" s="2" t="s">
        <v>20</v>
      </c>
      <c r="H5" t="s">
        <v>95</v>
      </c>
      <c r="I5" s="7" t="s">
        <v>125</v>
      </c>
    </row>
    <row r="6" spans="1:9" ht="16.2" x14ac:dyDescent="0.3">
      <c r="A6" s="3">
        <v>5</v>
      </c>
      <c r="B6" s="1" t="s">
        <v>58</v>
      </c>
      <c r="C6" s="1" t="s">
        <v>17</v>
      </c>
      <c r="D6" s="1" t="s">
        <v>15</v>
      </c>
      <c r="E6" s="1" t="s">
        <v>9</v>
      </c>
      <c r="F6" s="1" t="s">
        <v>19</v>
      </c>
      <c r="G6" s="1" t="s">
        <v>21</v>
      </c>
      <c r="H6" t="s">
        <v>94</v>
      </c>
      <c r="I6" s="7" t="s">
        <v>126</v>
      </c>
    </row>
    <row r="7" spans="1:9" ht="16.2" x14ac:dyDescent="0.3">
      <c r="A7" s="4">
        <v>6</v>
      </c>
      <c r="B7" s="2" t="s">
        <v>59</v>
      </c>
      <c r="C7" s="2" t="s">
        <v>22</v>
      </c>
      <c r="D7" s="2" t="s">
        <v>23</v>
      </c>
      <c r="E7" s="2" t="s">
        <v>9</v>
      </c>
      <c r="F7" s="2" t="s">
        <v>10</v>
      </c>
      <c r="G7" s="2" t="s">
        <v>24</v>
      </c>
      <c r="H7" t="s">
        <v>97</v>
      </c>
      <c r="I7" s="7" t="s">
        <v>127</v>
      </c>
    </row>
    <row r="8" spans="1:9" ht="16.2" x14ac:dyDescent="0.3">
      <c r="A8" s="3">
        <v>7</v>
      </c>
      <c r="B8" s="1" t="s">
        <v>60</v>
      </c>
      <c r="C8" s="1" t="s">
        <v>25</v>
      </c>
      <c r="D8" s="1" t="s">
        <v>26</v>
      </c>
      <c r="E8" s="1" t="s">
        <v>9</v>
      </c>
      <c r="F8" s="1" t="s">
        <v>10</v>
      </c>
      <c r="G8" s="1" t="s">
        <v>27</v>
      </c>
      <c r="H8" t="s">
        <v>98</v>
      </c>
      <c r="I8" s="7" t="s">
        <v>128</v>
      </c>
    </row>
    <row r="9" spans="1:9" ht="16.2" x14ac:dyDescent="0.3">
      <c r="A9" s="4">
        <v>8</v>
      </c>
      <c r="B9" s="2" t="s">
        <v>61</v>
      </c>
      <c r="C9" s="2" t="s">
        <v>28</v>
      </c>
      <c r="D9" s="2" t="s">
        <v>29</v>
      </c>
      <c r="E9" s="2" t="s">
        <v>9</v>
      </c>
      <c r="F9" s="2" t="s">
        <v>19</v>
      </c>
      <c r="G9" s="2" t="s">
        <v>30</v>
      </c>
      <c r="H9" t="s">
        <v>99</v>
      </c>
      <c r="I9" s="7" t="s">
        <v>129</v>
      </c>
    </row>
    <row r="10" spans="1:9" ht="16.2" x14ac:dyDescent="0.3">
      <c r="A10" s="3">
        <v>9</v>
      </c>
      <c r="B10" s="1" t="s">
        <v>62</v>
      </c>
      <c r="C10" s="1" t="s">
        <v>31</v>
      </c>
      <c r="D10" s="1" t="s">
        <v>32</v>
      </c>
      <c r="E10" s="1" t="s">
        <v>9</v>
      </c>
      <c r="F10" s="1" t="s">
        <v>19</v>
      </c>
      <c r="G10" s="1" t="s">
        <v>33</v>
      </c>
      <c r="H10" t="s">
        <v>96</v>
      </c>
      <c r="I10" s="7" t="s">
        <v>130</v>
      </c>
    </row>
    <row r="11" spans="1:9" ht="16.2" x14ac:dyDescent="0.3">
      <c r="A11" s="4">
        <v>10</v>
      </c>
      <c r="B11" s="2" t="s">
        <v>63</v>
      </c>
      <c r="C11" s="2" t="s">
        <v>25</v>
      </c>
      <c r="D11" s="2" t="s">
        <v>34</v>
      </c>
      <c r="E11" s="2" t="s">
        <v>9</v>
      </c>
      <c r="F11" s="2" t="s">
        <v>10</v>
      </c>
      <c r="G11" s="2" t="s">
        <v>35</v>
      </c>
      <c r="H11" t="s">
        <v>100</v>
      </c>
      <c r="I11" s="7" t="s">
        <v>131</v>
      </c>
    </row>
    <row r="16" spans="1:9" ht="15.6" x14ac:dyDescent="0.3">
      <c r="A16" s="34" t="s">
        <v>248</v>
      </c>
      <c r="B16" s="34"/>
      <c r="C16" s="65"/>
    </row>
    <row r="17" spans="1:7" ht="15" thickBot="1" x14ac:dyDescent="0.35">
      <c r="A17" s="57" t="s">
        <v>249</v>
      </c>
      <c r="B17" s="58" t="s">
        <v>3</v>
      </c>
      <c r="E17" t="s">
        <v>260</v>
      </c>
      <c r="F17" t="s">
        <v>261</v>
      </c>
      <c r="G17" t="s">
        <v>3</v>
      </c>
    </row>
    <row r="18" spans="1:7" ht="29.4" thickBot="1" x14ac:dyDescent="0.35">
      <c r="A18" s="59" t="s">
        <v>250</v>
      </c>
      <c r="B18" s="60">
        <v>24911</v>
      </c>
      <c r="E18" s="37" t="s">
        <v>262</v>
      </c>
      <c r="F18" s="37" t="s">
        <v>263</v>
      </c>
      <c r="G18" s="8">
        <v>24911</v>
      </c>
    </row>
    <row r="19" spans="1:7" ht="15" thickBot="1" x14ac:dyDescent="0.35">
      <c r="A19" s="61" t="s">
        <v>251</v>
      </c>
      <c r="B19" s="62">
        <v>29776</v>
      </c>
      <c r="E19" s="37" t="s">
        <v>264</v>
      </c>
      <c r="F19" s="37" t="s">
        <v>263</v>
      </c>
      <c r="G19" s="8">
        <v>29776</v>
      </c>
    </row>
    <row r="20" spans="1:7" ht="29.4" thickBot="1" x14ac:dyDescent="0.35">
      <c r="A20" s="59" t="s">
        <v>252</v>
      </c>
      <c r="B20" s="60">
        <v>25749</v>
      </c>
      <c r="E20" s="37" t="s">
        <v>265</v>
      </c>
      <c r="F20" s="37" t="s">
        <v>266</v>
      </c>
      <c r="G20" s="8">
        <v>25749</v>
      </c>
    </row>
    <row r="21" spans="1:7" ht="15" thickBot="1" x14ac:dyDescent="0.35">
      <c r="A21" s="61" t="s">
        <v>253</v>
      </c>
      <c r="B21" s="62">
        <v>31377</v>
      </c>
      <c r="E21" s="37" t="s">
        <v>267</v>
      </c>
      <c r="F21" s="37" t="s">
        <v>268</v>
      </c>
      <c r="G21" s="8">
        <v>31377</v>
      </c>
    </row>
    <row r="22" spans="1:7" ht="29.4" thickBot="1" x14ac:dyDescent="0.35">
      <c r="A22" s="59" t="s">
        <v>254</v>
      </c>
      <c r="B22" s="60">
        <v>30206</v>
      </c>
      <c r="E22" s="37" t="s">
        <v>269</v>
      </c>
      <c r="F22" s="37" t="s">
        <v>263</v>
      </c>
      <c r="G22" s="8">
        <v>30206</v>
      </c>
    </row>
    <row r="23" spans="1:7" ht="15" thickBot="1" x14ac:dyDescent="0.35">
      <c r="A23" s="61" t="s">
        <v>255</v>
      </c>
      <c r="B23" s="62">
        <v>22836</v>
      </c>
      <c r="E23" s="37" t="s">
        <v>270</v>
      </c>
      <c r="F23" s="37" t="s">
        <v>266</v>
      </c>
      <c r="G23" s="8">
        <v>22836</v>
      </c>
    </row>
    <row r="24" spans="1:7" ht="29.4" thickBot="1" x14ac:dyDescent="0.35">
      <c r="A24" s="59" t="s">
        <v>256</v>
      </c>
      <c r="B24" s="60">
        <v>27519</v>
      </c>
      <c r="E24" s="37" t="s">
        <v>271</v>
      </c>
      <c r="F24" s="37" t="s">
        <v>266</v>
      </c>
      <c r="G24" s="8">
        <v>27519</v>
      </c>
    </row>
    <row r="25" spans="1:7" ht="29.4" thickBot="1" x14ac:dyDescent="0.35">
      <c r="A25" s="61" t="s">
        <v>257</v>
      </c>
      <c r="B25" s="62">
        <v>28525</v>
      </c>
      <c r="E25" s="37" t="s">
        <v>272</v>
      </c>
      <c r="F25" s="37" t="s">
        <v>263</v>
      </c>
      <c r="G25" s="8">
        <v>28525</v>
      </c>
    </row>
    <row r="26" spans="1:7" ht="15" thickBot="1" x14ac:dyDescent="0.35">
      <c r="A26" s="59" t="s">
        <v>258</v>
      </c>
      <c r="B26" s="60">
        <v>26089</v>
      </c>
      <c r="E26" s="37" t="s">
        <v>273</v>
      </c>
      <c r="F26" s="37" t="s">
        <v>274</v>
      </c>
      <c r="G26" s="8">
        <v>26089</v>
      </c>
    </row>
    <row r="27" spans="1:7" ht="28.8" x14ac:dyDescent="0.3">
      <c r="A27" s="63" t="s">
        <v>259</v>
      </c>
      <c r="B27" s="64">
        <v>26665</v>
      </c>
      <c r="E27" s="37" t="s">
        <v>275</v>
      </c>
      <c r="F27" s="37" t="s">
        <v>276</v>
      </c>
      <c r="G27" s="8">
        <v>26665</v>
      </c>
    </row>
  </sheetData>
  <mergeCells count="1">
    <mergeCell ref="A16:B16"/>
  </mergeCells>
  <pageMargins left="0.7" right="0.7" top="0.75" bottom="0.75" header="0.3" footer="0.3"/>
  <pageSetup orientation="portrait" r:id="rId1"/>
  <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D2170-FDD6-47D6-AB16-94541D6BFEC0}">
  <dimension ref="A1:K46"/>
  <sheetViews>
    <sheetView tabSelected="1" zoomScale="82" workbookViewId="0">
      <selection activeCell="O22" sqref="O22"/>
    </sheetView>
  </sheetViews>
  <sheetFormatPr defaultRowHeight="14.4" x14ac:dyDescent="0.3"/>
  <cols>
    <col min="1" max="1" width="8.5546875" bestFit="1" customWidth="1"/>
    <col min="2" max="2" width="9" bestFit="1" customWidth="1"/>
    <col min="3" max="3" width="10.109375" bestFit="1" customWidth="1"/>
    <col min="7" max="7" width="12.5546875" bestFit="1" customWidth="1"/>
    <col min="8" max="8" width="14.44140625" bestFit="1" customWidth="1"/>
    <col min="10" max="10" width="12.5546875" bestFit="1" customWidth="1"/>
    <col min="11" max="11" width="14.44140625" bestFit="1" customWidth="1"/>
  </cols>
  <sheetData>
    <row r="1" spans="1:11" x14ac:dyDescent="0.3">
      <c r="A1" t="s">
        <v>1</v>
      </c>
      <c r="B1" t="s">
        <v>183</v>
      </c>
      <c r="C1" t="s">
        <v>155</v>
      </c>
    </row>
    <row r="2" spans="1:11" x14ac:dyDescent="0.3">
      <c r="A2" t="s">
        <v>36</v>
      </c>
      <c r="B2" t="s">
        <v>174</v>
      </c>
      <c r="C2">
        <v>10000</v>
      </c>
    </row>
    <row r="3" spans="1:11" x14ac:dyDescent="0.3">
      <c r="A3" t="s">
        <v>36</v>
      </c>
      <c r="B3" t="s">
        <v>175</v>
      </c>
      <c r="C3">
        <v>9800</v>
      </c>
    </row>
    <row r="4" spans="1:11" x14ac:dyDescent="0.3">
      <c r="A4" t="s">
        <v>36</v>
      </c>
      <c r="B4" t="s">
        <v>176</v>
      </c>
      <c r="C4">
        <v>6500</v>
      </c>
    </row>
    <row r="5" spans="1:11" x14ac:dyDescent="0.3">
      <c r="A5" t="s">
        <v>36</v>
      </c>
      <c r="B5" t="s">
        <v>177</v>
      </c>
      <c r="C5">
        <v>3200</v>
      </c>
      <c r="G5" s="17" t="s">
        <v>172</v>
      </c>
    </row>
    <row r="6" spans="1:11" x14ac:dyDescent="0.3">
      <c r="A6" t="s">
        <v>36</v>
      </c>
      <c r="B6" t="s">
        <v>178</v>
      </c>
      <c r="C6">
        <v>4500</v>
      </c>
      <c r="G6" s="26" t="s">
        <v>184</v>
      </c>
      <c r="H6" s="26"/>
      <c r="J6" s="26" t="s">
        <v>185</v>
      </c>
      <c r="K6" s="26"/>
    </row>
    <row r="7" spans="1:11" x14ac:dyDescent="0.3">
      <c r="A7" t="s">
        <v>51</v>
      </c>
      <c r="B7" t="s">
        <v>174</v>
      </c>
      <c r="C7">
        <v>8500</v>
      </c>
      <c r="G7" s="14" t="s">
        <v>169</v>
      </c>
      <c r="H7" t="s">
        <v>171</v>
      </c>
      <c r="J7" s="14" t="s">
        <v>169</v>
      </c>
      <c r="K7" t="s">
        <v>171</v>
      </c>
    </row>
    <row r="8" spans="1:11" x14ac:dyDescent="0.3">
      <c r="A8" t="s">
        <v>51</v>
      </c>
      <c r="B8" t="s">
        <v>175</v>
      </c>
      <c r="C8">
        <v>4600</v>
      </c>
      <c r="G8" s="15" t="s">
        <v>44</v>
      </c>
      <c r="H8">
        <v>30300</v>
      </c>
      <c r="J8" s="15" t="s">
        <v>174</v>
      </c>
      <c r="K8">
        <v>67500</v>
      </c>
    </row>
    <row r="9" spans="1:11" x14ac:dyDescent="0.3">
      <c r="A9" t="s">
        <v>51</v>
      </c>
      <c r="B9" t="s">
        <v>176</v>
      </c>
      <c r="C9">
        <v>9000</v>
      </c>
      <c r="G9" s="15" t="s">
        <v>179</v>
      </c>
      <c r="H9">
        <v>30080</v>
      </c>
      <c r="J9" s="15" t="s">
        <v>175</v>
      </c>
      <c r="K9">
        <v>46820</v>
      </c>
    </row>
    <row r="10" spans="1:11" x14ac:dyDescent="0.3">
      <c r="A10" t="s">
        <v>51</v>
      </c>
      <c r="B10" t="s">
        <v>177</v>
      </c>
      <c r="C10">
        <v>13400</v>
      </c>
      <c r="G10" s="15" t="s">
        <v>41</v>
      </c>
      <c r="H10">
        <v>25600</v>
      </c>
      <c r="J10" s="15" t="s">
        <v>176</v>
      </c>
      <c r="K10">
        <v>48580</v>
      </c>
    </row>
    <row r="11" spans="1:11" x14ac:dyDescent="0.3">
      <c r="A11" t="s">
        <v>51</v>
      </c>
      <c r="B11" t="s">
        <v>178</v>
      </c>
      <c r="C11">
        <v>3600</v>
      </c>
      <c r="G11" s="15" t="s">
        <v>46</v>
      </c>
      <c r="H11">
        <v>27900</v>
      </c>
      <c r="J11" s="15" t="s">
        <v>177</v>
      </c>
      <c r="K11">
        <v>48500</v>
      </c>
    </row>
    <row r="12" spans="1:11" x14ac:dyDescent="0.3">
      <c r="A12" t="s">
        <v>46</v>
      </c>
      <c r="B12" t="s">
        <v>174</v>
      </c>
      <c r="C12">
        <v>6000</v>
      </c>
      <c r="G12" s="15" t="s">
        <v>180</v>
      </c>
      <c r="H12">
        <v>16800</v>
      </c>
      <c r="J12" s="15" t="s">
        <v>178</v>
      </c>
      <c r="K12">
        <v>45400</v>
      </c>
    </row>
    <row r="13" spans="1:11" x14ac:dyDescent="0.3">
      <c r="A13" t="s">
        <v>46</v>
      </c>
      <c r="B13" t="s">
        <v>175</v>
      </c>
      <c r="C13">
        <v>7500</v>
      </c>
      <c r="G13" s="15" t="s">
        <v>39</v>
      </c>
      <c r="H13">
        <v>27520</v>
      </c>
      <c r="J13" s="15" t="s">
        <v>170</v>
      </c>
      <c r="K13">
        <v>256800</v>
      </c>
    </row>
    <row r="14" spans="1:11" x14ac:dyDescent="0.3">
      <c r="A14" t="s">
        <v>46</v>
      </c>
      <c r="B14" t="s">
        <v>176</v>
      </c>
      <c r="C14">
        <v>6300</v>
      </c>
      <c r="G14" s="15" t="s">
        <v>43</v>
      </c>
      <c r="H14">
        <v>25500</v>
      </c>
    </row>
    <row r="15" spans="1:11" x14ac:dyDescent="0.3">
      <c r="A15" t="s">
        <v>46</v>
      </c>
      <c r="B15" t="s">
        <v>177</v>
      </c>
      <c r="C15">
        <v>3600</v>
      </c>
      <c r="G15" s="15" t="s">
        <v>36</v>
      </c>
      <c r="H15">
        <v>34000</v>
      </c>
    </row>
    <row r="16" spans="1:11" x14ac:dyDescent="0.3">
      <c r="A16" t="s">
        <v>46</v>
      </c>
      <c r="B16" t="s">
        <v>178</v>
      </c>
      <c r="C16">
        <v>4500</v>
      </c>
      <c r="G16" s="15" t="s">
        <v>51</v>
      </c>
      <c r="H16">
        <v>39100</v>
      </c>
    </row>
    <row r="17" spans="1:8" x14ac:dyDescent="0.3">
      <c r="A17" t="s">
        <v>41</v>
      </c>
      <c r="B17" t="s">
        <v>174</v>
      </c>
      <c r="C17">
        <v>5500</v>
      </c>
      <c r="G17" s="15" t="s">
        <v>170</v>
      </c>
      <c r="H17">
        <v>256800</v>
      </c>
    </row>
    <row r="18" spans="1:8" x14ac:dyDescent="0.3">
      <c r="A18" t="s">
        <v>41</v>
      </c>
      <c r="B18" t="s">
        <v>175</v>
      </c>
      <c r="C18">
        <v>6300</v>
      </c>
    </row>
    <row r="19" spans="1:8" x14ac:dyDescent="0.3">
      <c r="A19" t="s">
        <v>41</v>
      </c>
      <c r="B19" t="s">
        <v>176</v>
      </c>
      <c r="C19">
        <v>6500</v>
      </c>
    </row>
    <row r="20" spans="1:8" x14ac:dyDescent="0.3">
      <c r="A20" t="s">
        <v>41</v>
      </c>
      <c r="B20" t="s">
        <v>177</v>
      </c>
      <c r="C20">
        <v>3800</v>
      </c>
    </row>
    <row r="21" spans="1:8" x14ac:dyDescent="0.3">
      <c r="A21" t="s">
        <v>41</v>
      </c>
      <c r="B21" t="s">
        <v>178</v>
      </c>
      <c r="C21">
        <v>3500</v>
      </c>
    </row>
    <row r="22" spans="1:8" x14ac:dyDescent="0.3">
      <c r="A22" t="s">
        <v>43</v>
      </c>
      <c r="B22" t="s">
        <v>174</v>
      </c>
      <c r="C22">
        <v>7000</v>
      </c>
    </row>
    <row r="23" spans="1:8" x14ac:dyDescent="0.3">
      <c r="A23" t="s">
        <v>43</v>
      </c>
      <c r="B23" t="s">
        <v>175</v>
      </c>
      <c r="C23">
        <v>2500</v>
      </c>
    </row>
    <row r="24" spans="1:8" x14ac:dyDescent="0.3">
      <c r="A24" t="s">
        <v>43</v>
      </c>
      <c r="B24" t="s">
        <v>176</v>
      </c>
      <c r="C24">
        <v>7500</v>
      </c>
    </row>
    <row r="25" spans="1:8" x14ac:dyDescent="0.3">
      <c r="A25" t="s">
        <v>43</v>
      </c>
      <c r="B25" t="s">
        <v>177</v>
      </c>
      <c r="C25">
        <v>4000</v>
      </c>
    </row>
    <row r="26" spans="1:8" x14ac:dyDescent="0.3">
      <c r="A26" t="s">
        <v>43</v>
      </c>
      <c r="B26" t="s">
        <v>178</v>
      </c>
      <c r="C26">
        <v>4500</v>
      </c>
    </row>
    <row r="27" spans="1:8" x14ac:dyDescent="0.3">
      <c r="A27" t="s">
        <v>44</v>
      </c>
      <c r="B27" t="s">
        <v>174</v>
      </c>
      <c r="C27">
        <v>7500</v>
      </c>
    </row>
    <row r="28" spans="1:8" x14ac:dyDescent="0.3">
      <c r="A28" t="s">
        <v>44</v>
      </c>
      <c r="B28" t="s">
        <v>175</v>
      </c>
      <c r="C28">
        <v>3600</v>
      </c>
    </row>
    <row r="29" spans="1:8" x14ac:dyDescent="0.3">
      <c r="A29" t="s">
        <v>44</v>
      </c>
      <c r="B29" t="s">
        <v>176</v>
      </c>
      <c r="C29">
        <v>8500</v>
      </c>
    </row>
    <row r="30" spans="1:8" x14ac:dyDescent="0.3">
      <c r="A30" t="s">
        <v>44</v>
      </c>
      <c r="B30" t="s">
        <v>177</v>
      </c>
      <c r="C30">
        <v>4200</v>
      </c>
    </row>
    <row r="31" spans="1:8" x14ac:dyDescent="0.3">
      <c r="A31" t="s">
        <v>44</v>
      </c>
      <c r="B31" t="s">
        <v>178</v>
      </c>
      <c r="C31">
        <v>6500</v>
      </c>
    </row>
    <row r="32" spans="1:8" x14ac:dyDescent="0.3">
      <c r="A32" t="s">
        <v>179</v>
      </c>
      <c r="B32" t="s">
        <v>174</v>
      </c>
      <c r="C32">
        <v>9000</v>
      </c>
    </row>
    <row r="33" spans="1:3" x14ac:dyDescent="0.3">
      <c r="A33" t="s">
        <v>179</v>
      </c>
      <c r="B33" t="s">
        <v>175</v>
      </c>
      <c r="C33">
        <v>4500</v>
      </c>
    </row>
    <row r="34" spans="1:3" x14ac:dyDescent="0.3">
      <c r="A34" t="s">
        <v>179</v>
      </c>
      <c r="B34" t="s">
        <v>176</v>
      </c>
      <c r="C34">
        <v>1580</v>
      </c>
    </row>
    <row r="35" spans="1:3" x14ac:dyDescent="0.3">
      <c r="A35" t="s">
        <v>179</v>
      </c>
      <c r="B35" t="s">
        <v>177</v>
      </c>
      <c r="C35">
        <v>6500</v>
      </c>
    </row>
    <row r="36" spans="1:3" x14ac:dyDescent="0.3">
      <c r="A36" t="s">
        <v>179</v>
      </c>
      <c r="B36" t="s">
        <v>178</v>
      </c>
      <c r="C36">
        <v>8500</v>
      </c>
    </row>
    <row r="37" spans="1:3" x14ac:dyDescent="0.3">
      <c r="A37" t="s">
        <v>39</v>
      </c>
      <c r="B37" t="s">
        <v>174</v>
      </c>
      <c r="C37">
        <v>10000</v>
      </c>
    </row>
    <row r="38" spans="1:3" x14ac:dyDescent="0.3">
      <c r="A38" t="s">
        <v>39</v>
      </c>
      <c r="B38" t="s">
        <v>175</v>
      </c>
      <c r="C38">
        <v>3520</v>
      </c>
    </row>
    <row r="39" spans="1:3" x14ac:dyDescent="0.3">
      <c r="A39" t="s">
        <v>39</v>
      </c>
      <c r="B39" t="s">
        <v>176</v>
      </c>
      <c r="C39">
        <v>1500</v>
      </c>
    </row>
    <row r="40" spans="1:3" x14ac:dyDescent="0.3">
      <c r="A40" t="s">
        <v>39</v>
      </c>
      <c r="B40" t="s">
        <v>177</v>
      </c>
      <c r="C40">
        <v>6200</v>
      </c>
    </row>
    <row r="41" spans="1:3" x14ac:dyDescent="0.3">
      <c r="A41" t="s">
        <v>39</v>
      </c>
      <c r="B41" t="s">
        <v>178</v>
      </c>
      <c r="C41">
        <v>6300</v>
      </c>
    </row>
    <row r="42" spans="1:3" x14ac:dyDescent="0.3">
      <c r="A42" t="s">
        <v>180</v>
      </c>
      <c r="B42" t="s">
        <v>174</v>
      </c>
      <c r="C42">
        <v>4000</v>
      </c>
    </row>
    <row r="43" spans="1:3" x14ac:dyDescent="0.3">
      <c r="A43" t="s">
        <v>180</v>
      </c>
      <c r="B43" t="s">
        <v>175</v>
      </c>
      <c r="C43">
        <v>4500</v>
      </c>
    </row>
    <row r="44" spans="1:3" x14ac:dyDescent="0.3">
      <c r="A44" t="s">
        <v>180</v>
      </c>
      <c r="B44" t="s">
        <v>176</v>
      </c>
      <c r="C44">
        <v>1200</v>
      </c>
    </row>
    <row r="45" spans="1:3" x14ac:dyDescent="0.3">
      <c r="A45" t="s">
        <v>180</v>
      </c>
      <c r="B45" t="s">
        <v>177</v>
      </c>
      <c r="C45">
        <v>3600</v>
      </c>
    </row>
    <row r="46" spans="1:3" x14ac:dyDescent="0.3">
      <c r="A46" t="s">
        <v>180</v>
      </c>
      <c r="B46" t="s">
        <v>178</v>
      </c>
      <c r="C46">
        <v>3500</v>
      </c>
    </row>
  </sheetData>
  <mergeCells count="2">
    <mergeCell ref="G6:H6"/>
    <mergeCell ref="J6:K6"/>
  </mergeCells>
  <pageMargins left="0.7" right="0.7" top="0.75" bottom="0.75" header="0.3" footer="0.3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7CE4-D0BF-4EFC-B102-0D1662DE16FB}">
  <sheetPr>
    <tabColor rgb="FFFF0000"/>
  </sheetPr>
  <dimension ref="B4:I18"/>
  <sheetViews>
    <sheetView workbookViewId="0">
      <selection activeCell="S23" sqref="S23"/>
    </sheetView>
  </sheetViews>
  <sheetFormatPr defaultRowHeight="14.4" x14ac:dyDescent="0.3"/>
  <cols>
    <col min="5" max="5" width="9.33203125" customWidth="1"/>
    <col min="12" max="12" width="12.5546875" bestFit="1" customWidth="1"/>
    <col min="13" max="13" width="10.6640625" bestFit="1" customWidth="1"/>
  </cols>
  <sheetData>
    <row r="4" spans="2:9" x14ac:dyDescent="0.3">
      <c r="B4" s="18"/>
      <c r="C4" s="18"/>
      <c r="D4" s="27" t="s">
        <v>173</v>
      </c>
      <c r="E4" s="27"/>
      <c r="F4" s="18"/>
      <c r="G4" s="18"/>
    </row>
    <row r="5" spans="2:9" x14ac:dyDescent="0.3">
      <c r="B5" s="18"/>
      <c r="C5" s="18"/>
      <c r="D5" s="27"/>
      <c r="E5" s="27"/>
      <c r="F5" s="18"/>
      <c r="G5" s="18"/>
    </row>
    <row r="6" spans="2:9" x14ac:dyDescent="0.3">
      <c r="B6" s="18"/>
      <c r="C6" s="18"/>
      <c r="D6" s="18"/>
      <c r="E6" s="18"/>
      <c r="F6" s="18"/>
      <c r="G6" s="18"/>
    </row>
    <row r="7" spans="2:9" x14ac:dyDescent="0.3">
      <c r="B7" s="19" t="s">
        <v>1</v>
      </c>
      <c r="C7" s="19" t="s">
        <v>174</v>
      </c>
      <c r="D7" s="19" t="s">
        <v>175</v>
      </c>
      <c r="E7" s="19" t="s">
        <v>176</v>
      </c>
      <c r="F7" s="19" t="s">
        <v>177</v>
      </c>
      <c r="G7" s="19" t="s">
        <v>178</v>
      </c>
      <c r="I7" s="22" t="s">
        <v>187</v>
      </c>
    </row>
    <row r="8" spans="2:9" x14ac:dyDescent="0.3">
      <c r="B8" s="20" t="s">
        <v>36</v>
      </c>
      <c r="C8" s="21">
        <v>10000</v>
      </c>
      <c r="D8" s="21">
        <v>9800</v>
      </c>
      <c r="E8" s="21">
        <v>6500</v>
      </c>
      <c r="F8" s="21">
        <v>3200</v>
      </c>
      <c r="G8" s="21">
        <v>4500</v>
      </c>
      <c r="I8">
        <f>SUM(Table7[[#This Row],[JAN]:[MAY]])</f>
        <v>34000</v>
      </c>
    </row>
    <row r="9" spans="2:9" x14ac:dyDescent="0.3">
      <c r="B9" s="20" t="s">
        <v>51</v>
      </c>
      <c r="C9" s="21">
        <v>8500</v>
      </c>
      <c r="D9" s="21">
        <v>4600</v>
      </c>
      <c r="E9" s="21">
        <v>9000</v>
      </c>
      <c r="F9" s="21">
        <v>13400</v>
      </c>
      <c r="G9" s="21">
        <v>3600</v>
      </c>
      <c r="I9">
        <f>SUM(Table7[[#This Row],[JAN]:[MAY]])</f>
        <v>39100</v>
      </c>
    </row>
    <row r="10" spans="2:9" x14ac:dyDescent="0.3">
      <c r="B10" s="20" t="s">
        <v>46</v>
      </c>
      <c r="C10" s="21">
        <v>6000</v>
      </c>
      <c r="D10" s="21">
        <v>7500</v>
      </c>
      <c r="E10" s="21">
        <v>6300</v>
      </c>
      <c r="F10" s="21">
        <v>3600</v>
      </c>
      <c r="G10" s="21">
        <v>4500</v>
      </c>
      <c r="I10">
        <f>SUM(Table7[[#This Row],[JAN]:[MAY]])</f>
        <v>27900</v>
      </c>
    </row>
    <row r="11" spans="2:9" x14ac:dyDescent="0.3">
      <c r="B11" s="20" t="s">
        <v>41</v>
      </c>
      <c r="C11" s="21">
        <v>5500</v>
      </c>
      <c r="D11" s="21">
        <v>6300</v>
      </c>
      <c r="E11" s="21">
        <v>6500</v>
      </c>
      <c r="F11" s="21">
        <v>3800</v>
      </c>
      <c r="G11" s="21">
        <v>3500</v>
      </c>
      <c r="I11">
        <f>SUM(Table7[[#This Row],[JAN]:[MAY]])</f>
        <v>25600</v>
      </c>
    </row>
    <row r="12" spans="2:9" x14ac:dyDescent="0.3">
      <c r="B12" s="20" t="s">
        <v>43</v>
      </c>
      <c r="C12" s="21">
        <v>7000</v>
      </c>
      <c r="D12" s="21">
        <v>2500</v>
      </c>
      <c r="E12" s="21">
        <v>7500</v>
      </c>
      <c r="F12" s="21">
        <v>4000</v>
      </c>
      <c r="G12" s="21">
        <v>4500</v>
      </c>
      <c r="I12">
        <f>SUM(Table7[[#This Row],[JAN]:[MAY]])</f>
        <v>25500</v>
      </c>
    </row>
    <row r="13" spans="2:9" x14ac:dyDescent="0.3">
      <c r="B13" s="20" t="s">
        <v>44</v>
      </c>
      <c r="C13" s="21">
        <v>7500</v>
      </c>
      <c r="D13" s="21">
        <v>3600</v>
      </c>
      <c r="E13" s="21">
        <v>8500</v>
      </c>
      <c r="F13" s="21">
        <v>4200</v>
      </c>
      <c r="G13" s="21">
        <v>6500</v>
      </c>
      <c r="I13">
        <f>SUM(Table7[[#This Row],[JAN]:[MAY]])</f>
        <v>30300</v>
      </c>
    </row>
    <row r="14" spans="2:9" x14ac:dyDescent="0.3">
      <c r="B14" s="20" t="s">
        <v>179</v>
      </c>
      <c r="C14" s="21">
        <v>9000</v>
      </c>
      <c r="D14" s="21">
        <v>4500</v>
      </c>
      <c r="E14" s="21">
        <v>1580</v>
      </c>
      <c r="F14" s="21">
        <v>6500</v>
      </c>
      <c r="G14" s="21">
        <v>8500</v>
      </c>
      <c r="I14">
        <f>SUM(Table7[[#This Row],[JAN]:[MAY]])</f>
        <v>30080</v>
      </c>
    </row>
    <row r="15" spans="2:9" x14ac:dyDescent="0.3">
      <c r="B15" s="20" t="s">
        <v>39</v>
      </c>
      <c r="C15" s="21">
        <v>10000</v>
      </c>
      <c r="D15" s="21">
        <v>3520</v>
      </c>
      <c r="E15" s="21">
        <v>1500</v>
      </c>
      <c r="F15" s="21">
        <v>6200</v>
      </c>
      <c r="G15" s="21">
        <v>6300</v>
      </c>
      <c r="I15">
        <f>SUM(Table7[[#This Row],[JAN]:[MAY]])</f>
        <v>27520</v>
      </c>
    </row>
    <row r="16" spans="2:9" x14ac:dyDescent="0.3">
      <c r="B16" s="20" t="s">
        <v>180</v>
      </c>
      <c r="C16" s="21">
        <v>4000</v>
      </c>
      <c r="D16" s="21">
        <v>4500</v>
      </c>
      <c r="E16" s="21">
        <v>1200</v>
      </c>
      <c r="F16" s="21">
        <v>3600</v>
      </c>
      <c r="G16" s="21">
        <v>3500</v>
      </c>
      <c r="I16">
        <f>SUM(Table7[[#This Row],[JAN]:[MAY]])</f>
        <v>16800</v>
      </c>
    </row>
    <row r="18" spans="2:9" x14ac:dyDescent="0.3">
      <c r="B18" t="s">
        <v>186</v>
      </c>
      <c r="C18">
        <f>SUM(Table7[JAN])</f>
        <v>67500</v>
      </c>
      <c r="D18">
        <f>SUM(Table7[FEB])</f>
        <v>46820</v>
      </c>
      <c r="E18">
        <f>SUM(Table7[MARCH])</f>
        <v>48580</v>
      </c>
      <c r="F18">
        <f>SUM(Table7[APRIL])</f>
        <v>48500</v>
      </c>
      <c r="G18">
        <f>SUM(Table7[MAY])</f>
        <v>45400</v>
      </c>
      <c r="I18">
        <f>SUM(Table7[[JAN]:[MAY]])</f>
        <v>256800</v>
      </c>
    </row>
  </sheetData>
  <mergeCells count="1">
    <mergeCell ref="D4:E5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FA21F-5FCA-4CAA-94D4-6E6F7FDB6FBA}">
  <dimension ref="A1:C23"/>
  <sheetViews>
    <sheetView workbookViewId="0">
      <selection activeCell="J1" sqref="J1"/>
    </sheetView>
  </sheetViews>
  <sheetFormatPr defaultRowHeight="14.4" x14ac:dyDescent="0.3"/>
  <cols>
    <col min="1" max="1" width="9.88671875" bestFit="1" customWidth="1"/>
    <col min="2" max="2" width="9" bestFit="1" customWidth="1"/>
    <col min="3" max="3" width="14.77734375" customWidth="1"/>
    <col min="4" max="4" width="14.77734375" bestFit="1" customWidth="1"/>
  </cols>
  <sheetData>
    <row r="1" spans="1:3" x14ac:dyDescent="0.3">
      <c r="A1" t="s">
        <v>153</v>
      </c>
      <c r="B1" t="s">
        <v>154</v>
      </c>
      <c r="C1" t="s">
        <v>168</v>
      </c>
    </row>
    <row r="2" spans="1:3" x14ac:dyDescent="0.3">
      <c r="A2" t="s">
        <v>156</v>
      </c>
      <c r="B2" t="s">
        <v>157</v>
      </c>
      <c r="C2">
        <v>18550</v>
      </c>
    </row>
    <row r="3" spans="1:3" x14ac:dyDescent="0.3">
      <c r="A3" t="s">
        <v>158</v>
      </c>
      <c r="B3" t="s">
        <v>159</v>
      </c>
      <c r="C3">
        <v>22510</v>
      </c>
    </row>
    <row r="4" spans="1:3" x14ac:dyDescent="0.3">
      <c r="A4" t="s">
        <v>160</v>
      </c>
      <c r="B4" t="s">
        <v>161</v>
      </c>
      <c r="C4">
        <v>6500</v>
      </c>
    </row>
    <row r="5" spans="1:3" x14ac:dyDescent="0.3">
      <c r="A5" t="s">
        <v>162</v>
      </c>
      <c r="B5" t="s">
        <v>163</v>
      </c>
      <c r="C5">
        <v>7000</v>
      </c>
    </row>
    <row r="6" spans="1:3" x14ac:dyDescent="0.3">
      <c r="A6" t="s">
        <v>164</v>
      </c>
      <c r="B6" t="s">
        <v>165</v>
      </c>
      <c r="C6">
        <v>13190</v>
      </c>
    </row>
    <row r="7" spans="1:3" x14ac:dyDescent="0.3">
      <c r="A7" t="s">
        <v>160</v>
      </c>
      <c r="B7" t="s">
        <v>165</v>
      </c>
      <c r="C7">
        <v>6810</v>
      </c>
    </row>
    <row r="8" spans="1:3" x14ac:dyDescent="0.3">
      <c r="A8" t="s">
        <v>166</v>
      </c>
      <c r="B8" t="s">
        <v>161</v>
      </c>
      <c r="C8">
        <v>14150</v>
      </c>
    </row>
    <row r="9" spans="1:3" x14ac:dyDescent="0.3">
      <c r="A9" t="s">
        <v>166</v>
      </c>
      <c r="B9" t="s">
        <v>157</v>
      </c>
      <c r="C9">
        <v>8180</v>
      </c>
    </row>
    <row r="10" spans="1:3" x14ac:dyDescent="0.3">
      <c r="A10" t="s">
        <v>167</v>
      </c>
      <c r="B10" t="s">
        <v>157</v>
      </c>
      <c r="C10">
        <v>8111</v>
      </c>
    </row>
    <row r="11" spans="1:3" x14ac:dyDescent="0.3">
      <c r="A11" t="s">
        <v>162</v>
      </c>
      <c r="B11" t="s">
        <v>165</v>
      </c>
      <c r="C11">
        <v>8840</v>
      </c>
    </row>
    <row r="12" spans="1:3" x14ac:dyDescent="0.3">
      <c r="A12" t="s">
        <v>158</v>
      </c>
      <c r="B12" t="s">
        <v>165</v>
      </c>
      <c r="C12">
        <v>3500</v>
      </c>
    </row>
    <row r="13" spans="1:3" x14ac:dyDescent="0.3">
      <c r="A13" t="s">
        <v>164</v>
      </c>
      <c r="B13" t="s">
        <v>159</v>
      </c>
      <c r="C13">
        <v>3600</v>
      </c>
    </row>
    <row r="14" spans="1:3" x14ac:dyDescent="0.3">
      <c r="A14" t="s">
        <v>167</v>
      </c>
      <c r="B14" t="s">
        <v>163</v>
      </c>
      <c r="C14">
        <v>3300</v>
      </c>
    </row>
    <row r="15" spans="1:3" x14ac:dyDescent="0.3">
      <c r="A15" t="s">
        <v>160</v>
      </c>
      <c r="B15" t="s">
        <v>163</v>
      </c>
      <c r="C15">
        <v>4520</v>
      </c>
    </row>
    <row r="16" spans="1:3" x14ac:dyDescent="0.3">
      <c r="A16" t="s">
        <v>162</v>
      </c>
      <c r="B16" t="s">
        <v>157</v>
      </c>
      <c r="C16">
        <v>11070</v>
      </c>
    </row>
    <row r="17" spans="1:3" x14ac:dyDescent="0.3">
      <c r="A17" t="s">
        <v>166</v>
      </c>
      <c r="B17" t="s">
        <v>163</v>
      </c>
      <c r="C17">
        <v>18000</v>
      </c>
    </row>
    <row r="18" spans="1:3" x14ac:dyDescent="0.3">
      <c r="A18" t="s">
        <v>167</v>
      </c>
      <c r="B18" t="s">
        <v>165</v>
      </c>
      <c r="C18">
        <v>3450</v>
      </c>
    </row>
    <row r="19" spans="1:3" x14ac:dyDescent="0.3">
      <c r="A19" t="s">
        <v>164</v>
      </c>
      <c r="B19" t="s">
        <v>161</v>
      </c>
      <c r="C19">
        <v>20860</v>
      </c>
    </row>
    <row r="20" spans="1:3" x14ac:dyDescent="0.3">
      <c r="A20" t="s">
        <v>166</v>
      </c>
      <c r="B20" t="s">
        <v>159</v>
      </c>
      <c r="C20">
        <v>6950</v>
      </c>
    </row>
    <row r="21" spans="1:3" x14ac:dyDescent="0.3">
      <c r="A21" t="s">
        <v>166</v>
      </c>
      <c r="B21" t="s">
        <v>165</v>
      </c>
      <c r="C21">
        <v>250</v>
      </c>
    </row>
    <row r="22" spans="1:3" x14ac:dyDescent="0.3">
      <c r="A22" t="s">
        <v>162</v>
      </c>
      <c r="B22" t="s">
        <v>161</v>
      </c>
      <c r="C22">
        <v>3650</v>
      </c>
    </row>
    <row r="23" spans="1:3" x14ac:dyDescent="0.3">
      <c r="A23" t="s">
        <v>167</v>
      </c>
      <c r="B23" t="s">
        <v>159</v>
      </c>
      <c r="C23">
        <v>14320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A12B-E679-4B48-A4B5-D0EB8DD073CD}">
  <sheetPr>
    <tabColor rgb="FFFF0000"/>
  </sheetPr>
  <dimension ref="A1:G43"/>
  <sheetViews>
    <sheetView workbookViewId="0">
      <selection activeCell="I35" sqref="I35"/>
    </sheetView>
  </sheetViews>
  <sheetFormatPr defaultColWidth="13.21875" defaultRowHeight="14.4" x14ac:dyDescent="0.3"/>
  <cols>
    <col min="6" max="6" width="12.5546875" bestFit="1" customWidth="1"/>
    <col min="7" max="7" width="14.44140625" bestFit="1" customWidth="1"/>
  </cols>
  <sheetData>
    <row r="1" spans="1:7" x14ac:dyDescent="0.3">
      <c r="A1" s="11" t="s">
        <v>153</v>
      </c>
      <c r="B1" s="11" t="s">
        <v>154</v>
      </c>
      <c r="C1" s="11" t="s">
        <v>155</v>
      </c>
    </row>
    <row r="2" spans="1:7" x14ac:dyDescent="0.3">
      <c r="A2" s="12" t="s">
        <v>156</v>
      </c>
      <c r="B2" s="12" t="s">
        <v>157</v>
      </c>
      <c r="C2" s="13">
        <v>5200</v>
      </c>
    </row>
    <row r="3" spans="1:7" x14ac:dyDescent="0.3">
      <c r="A3" s="12" t="s">
        <v>158</v>
      </c>
      <c r="B3" s="12" t="s">
        <v>159</v>
      </c>
      <c r="C3" s="13">
        <v>8500</v>
      </c>
    </row>
    <row r="4" spans="1:7" x14ac:dyDescent="0.3">
      <c r="A4" s="12" t="s">
        <v>160</v>
      </c>
      <c r="B4" s="12" t="s">
        <v>161</v>
      </c>
      <c r="C4" s="13">
        <v>6500</v>
      </c>
    </row>
    <row r="5" spans="1:7" x14ac:dyDescent="0.3">
      <c r="A5" s="12" t="s">
        <v>162</v>
      </c>
      <c r="B5" s="12" t="s">
        <v>163</v>
      </c>
      <c r="C5" s="13">
        <v>7000</v>
      </c>
    </row>
    <row r="6" spans="1:7" x14ac:dyDescent="0.3">
      <c r="A6" s="12" t="s">
        <v>164</v>
      </c>
      <c r="B6" s="12" t="s">
        <v>165</v>
      </c>
      <c r="C6" s="13">
        <v>9540</v>
      </c>
    </row>
    <row r="7" spans="1:7" x14ac:dyDescent="0.3">
      <c r="A7" s="12" t="s">
        <v>158</v>
      </c>
      <c r="B7" s="12" t="s">
        <v>159</v>
      </c>
      <c r="C7" s="13">
        <v>6510</v>
      </c>
    </row>
    <row r="8" spans="1:7" x14ac:dyDescent="0.3">
      <c r="A8" s="12" t="s">
        <v>160</v>
      </c>
      <c r="B8" s="12" t="s">
        <v>165</v>
      </c>
      <c r="C8" s="13">
        <v>3560</v>
      </c>
    </row>
    <row r="9" spans="1:7" x14ac:dyDescent="0.3">
      <c r="A9" s="12" t="s">
        <v>166</v>
      </c>
      <c r="B9" s="12" t="s">
        <v>161</v>
      </c>
      <c r="C9" s="13">
        <v>10000</v>
      </c>
    </row>
    <row r="10" spans="1:7" x14ac:dyDescent="0.3">
      <c r="A10" s="12" t="s">
        <v>166</v>
      </c>
      <c r="B10" s="12" t="s">
        <v>157</v>
      </c>
      <c r="C10" s="13">
        <v>3600</v>
      </c>
      <c r="F10" s="17" t="s">
        <v>172</v>
      </c>
    </row>
    <row r="11" spans="1:7" x14ac:dyDescent="0.3">
      <c r="A11" s="12" t="s">
        <v>167</v>
      </c>
      <c r="B11" s="12" t="s">
        <v>157</v>
      </c>
      <c r="C11" s="13">
        <v>4511</v>
      </c>
      <c r="F11" s="14" t="s">
        <v>169</v>
      </c>
      <c r="G11" t="s">
        <v>171</v>
      </c>
    </row>
    <row r="12" spans="1:7" x14ac:dyDescent="0.3">
      <c r="A12" s="12" t="s">
        <v>160</v>
      </c>
      <c r="B12" s="12" t="s">
        <v>165</v>
      </c>
      <c r="C12" s="13">
        <v>3250</v>
      </c>
      <c r="F12" s="15" t="s">
        <v>159</v>
      </c>
      <c r="G12" s="10">
        <v>47380</v>
      </c>
    </row>
    <row r="13" spans="1:7" x14ac:dyDescent="0.3">
      <c r="A13" s="12" t="s">
        <v>162</v>
      </c>
      <c r="B13" s="12" t="s">
        <v>165</v>
      </c>
      <c r="C13" s="13">
        <v>5200</v>
      </c>
      <c r="F13" s="16" t="s">
        <v>166</v>
      </c>
      <c r="G13" s="10">
        <v>6950</v>
      </c>
    </row>
    <row r="14" spans="1:7" x14ac:dyDescent="0.3">
      <c r="A14" s="12" t="s">
        <v>158</v>
      </c>
      <c r="B14" s="12" t="s">
        <v>165</v>
      </c>
      <c r="C14" s="13">
        <v>3500</v>
      </c>
      <c r="F14" s="16" t="s">
        <v>158</v>
      </c>
      <c r="G14" s="10">
        <v>22510</v>
      </c>
    </row>
    <row r="15" spans="1:7" x14ac:dyDescent="0.3">
      <c r="A15" s="12" t="s">
        <v>164</v>
      </c>
      <c r="B15" s="12" t="s">
        <v>159</v>
      </c>
      <c r="C15" s="13">
        <v>3600</v>
      </c>
      <c r="F15" s="16" t="s">
        <v>167</v>
      </c>
      <c r="G15" s="10">
        <v>14320</v>
      </c>
    </row>
    <row r="16" spans="1:7" x14ac:dyDescent="0.3">
      <c r="A16" s="12" t="s">
        <v>167</v>
      </c>
      <c r="B16" s="12" t="s">
        <v>163</v>
      </c>
      <c r="C16" s="13">
        <v>2500</v>
      </c>
      <c r="F16" s="16" t="s">
        <v>164</v>
      </c>
      <c r="G16" s="10">
        <v>3600</v>
      </c>
    </row>
    <row r="17" spans="1:7" x14ac:dyDescent="0.3">
      <c r="A17" s="12" t="s">
        <v>160</v>
      </c>
      <c r="B17" s="12" t="s">
        <v>163</v>
      </c>
      <c r="C17" s="13">
        <v>4520</v>
      </c>
      <c r="F17" s="15" t="s">
        <v>165</v>
      </c>
      <c r="G17" s="10">
        <v>36040</v>
      </c>
    </row>
    <row r="18" spans="1:7" x14ac:dyDescent="0.3">
      <c r="A18" s="12" t="s">
        <v>156</v>
      </c>
      <c r="B18" s="12" t="s">
        <v>157</v>
      </c>
      <c r="C18" s="13">
        <v>3500</v>
      </c>
      <c r="F18" s="16" t="s">
        <v>166</v>
      </c>
      <c r="G18" s="10">
        <v>250</v>
      </c>
    </row>
    <row r="19" spans="1:7" x14ac:dyDescent="0.3">
      <c r="A19" s="12" t="s">
        <v>156</v>
      </c>
      <c r="B19" s="12" t="s">
        <v>157</v>
      </c>
      <c r="C19" s="13">
        <v>6350</v>
      </c>
      <c r="F19" s="16" t="s">
        <v>160</v>
      </c>
      <c r="G19" s="10">
        <v>6810</v>
      </c>
    </row>
    <row r="20" spans="1:7" x14ac:dyDescent="0.3">
      <c r="A20" s="12" t="s">
        <v>162</v>
      </c>
      <c r="B20" s="12" t="s">
        <v>157</v>
      </c>
      <c r="C20" s="13">
        <v>4570</v>
      </c>
      <c r="F20" s="16" t="s">
        <v>162</v>
      </c>
      <c r="G20" s="10">
        <v>8840</v>
      </c>
    </row>
    <row r="21" spans="1:7" x14ac:dyDescent="0.3">
      <c r="A21" s="12" t="s">
        <v>166</v>
      </c>
      <c r="B21" s="12" t="s">
        <v>163</v>
      </c>
      <c r="C21" s="13">
        <v>3650</v>
      </c>
      <c r="F21" s="16" t="s">
        <v>158</v>
      </c>
      <c r="G21" s="10">
        <v>3500</v>
      </c>
    </row>
    <row r="22" spans="1:7" x14ac:dyDescent="0.3">
      <c r="A22" s="12" t="s">
        <v>166</v>
      </c>
      <c r="B22" s="12" t="s">
        <v>161</v>
      </c>
      <c r="C22" s="13">
        <v>3500</v>
      </c>
      <c r="F22" s="16" t="s">
        <v>167</v>
      </c>
      <c r="G22" s="10">
        <v>3450</v>
      </c>
    </row>
    <row r="23" spans="1:7" x14ac:dyDescent="0.3">
      <c r="A23" s="12" t="s">
        <v>167</v>
      </c>
      <c r="B23" s="12" t="s">
        <v>165</v>
      </c>
      <c r="C23" s="13">
        <v>3450</v>
      </c>
      <c r="F23" s="16" t="s">
        <v>164</v>
      </c>
      <c r="G23" s="10">
        <v>13190</v>
      </c>
    </row>
    <row r="24" spans="1:7" x14ac:dyDescent="0.3">
      <c r="A24" s="12" t="s">
        <v>164</v>
      </c>
      <c r="B24" s="12" t="s">
        <v>161</v>
      </c>
      <c r="C24" s="13">
        <v>7800</v>
      </c>
      <c r="F24" s="15" t="s">
        <v>161</v>
      </c>
      <c r="G24" s="10">
        <v>45160</v>
      </c>
    </row>
    <row r="25" spans="1:7" x14ac:dyDescent="0.3">
      <c r="A25" s="12" t="s">
        <v>166</v>
      </c>
      <c r="B25" s="12" t="s">
        <v>163</v>
      </c>
      <c r="C25" s="13">
        <v>9800</v>
      </c>
      <c r="F25" s="16" t="s">
        <v>166</v>
      </c>
      <c r="G25" s="10">
        <v>14150</v>
      </c>
    </row>
    <row r="26" spans="1:7" x14ac:dyDescent="0.3">
      <c r="A26" s="12" t="s">
        <v>156</v>
      </c>
      <c r="B26" s="12" t="s">
        <v>157</v>
      </c>
      <c r="C26" s="13">
        <v>3500</v>
      </c>
      <c r="F26" s="16" t="s">
        <v>160</v>
      </c>
      <c r="G26" s="10">
        <v>6500</v>
      </c>
    </row>
    <row r="27" spans="1:7" x14ac:dyDescent="0.3">
      <c r="A27" s="12" t="s">
        <v>166</v>
      </c>
      <c r="B27" s="12" t="s">
        <v>159</v>
      </c>
      <c r="C27" s="13">
        <v>6950</v>
      </c>
      <c r="F27" s="16" t="s">
        <v>162</v>
      </c>
      <c r="G27" s="10">
        <v>3650</v>
      </c>
    </row>
    <row r="28" spans="1:7" x14ac:dyDescent="0.3">
      <c r="A28" s="12" t="s">
        <v>167</v>
      </c>
      <c r="B28" s="12" t="s">
        <v>157</v>
      </c>
      <c r="C28" s="13">
        <v>3600</v>
      </c>
      <c r="F28" s="16" t="s">
        <v>164</v>
      </c>
      <c r="G28" s="10">
        <v>20860</v>
      </c>
    </row>
    <row r="29" spans="1:7" x14ac:dyDescent="0.3">
      <c r="A29" s="12" t="s">
        <v>164</v>
      </c>
      <c r="B29" s="12" t="s">
        <v>165</v>
      </c>
      <c r="C29" s="13">
        <v>3650</v>
      </c>
      <c r="F29" s="15" t="s">
        <v>157</v>
      </c>
      <c r="G29" s="10">
        <v>45911</v>
      </c>
    </row>
    <row r="30" spans="1:7" x14ac:dyDescent="0.3">
      <c r="A30" s="12" t="s">
        <v>167</v>
      </c>
      <c r="B30" s="12" t="s">
        <v>163</v>
      </c>
      <c r="C30" s="13">
        <v>800</v>
      </c>
      <c r="F30" s="16" t="s">
        <v>166</v>
      </c>
      <c r="G30" s="10">
        <v>8180</v>
      </c>
    </row>
    <row r="31" spans="1:7" x14ac:dyDescent="0.3">
      <c r="A31" s="12" t="s">
        <v>166</v>
      </c>
      <c r="B31" s="12" t="s">
        <v>163</v>
      </c>
      <c r="C31" s="13">
        <v>3600</v>
      </c>
      <c r="F31" s="16" t="s">
        <v>162</v>
      </c>
      <c r="G31" s="10">
        <v>11070</v>
      </c>
    </row>
    <row r="32" spans="1:7" x14ac:dyDescent="0.3">
      <c r="A32" s="12" t="s">
        <v>166</v>
      </c>
      <c r="B32" s="12" t="s">
        <v>163</v>
      </c>
      <c r="C32" s="13">
        <v>950</v>
      </c>
      <c r="F32" s="16" t="s">
        <v>156</v>
      </c>
      <c r="G32" s="10">
        <v>18550</v>
      </c>
    </row>
    <row r="33" spans="1:7" x14ac:dyDescent="0.3">
      <c r="A33" s="12" t="s">
        <v>166</v>
      </c>
      <c r="B33" s="12" t="s">
        <v>161</v>
      </c>
      <c r="C33" s="13">
        <v>650</v>
      </c>
      <c r="F33" s="16" t="s">
        <v>167</v>
      </c>
      <c r="G33" s="10">
        <v>8111</v>
      </c>
    </row>
    <row r="34" spans="1:7" x14ac:dyDescent="0.3">
      <c r="A34" s="12" t="s">
        <v>166</v>
      </c>
      <c r="B34" s="12" t="s">
        <v>165</v>
      </c>
      <c r="C34" s="13">
        <v>250</v>
      </c>
      <c r="F34" s="15" t="s">
        <v>163</v>
      </c>
      <c r="G34" s="10">
        <v>32820</v>
      </c>
    </row>
    <row r="35" spans="1:7" x14ac:dyDescent="0.3">
      <c r="A35" s="12" t="s">
        <v>162</v>
      </c>
      <c r="B35" s="12" t="s">
        <v>161</v>
      </c>
      <c r="C35" s="13">
        <v>3650</v>
      </c>
      <c r="F35" s="16" t="s">
        <v>166</v>
      </c>
      <c r="G35" s="10">
        <v>18000</v>
      </c>
    </row>
    <row r="36" spans="1:7" x14ac:dyDescent="0.3">
      <c r="A36" s="12" t="s">
        <v>162</v>
      </c>
      <c r="B36" s="12" t="s">
        <v>165</v>
      </c>
      <c r="C36" s="13">
        <v>3640</v>
      </c>
      <c r="F36" s="16" t="s">
        <v>160</v>
      </c>
      <c r="G36" s="10">
        <v>4520</v>
      </c>
    </row>
    <row r="37" spans="1:7" x14ac:dyDescent="0.3">
      <c r="A37" s="12" t="s">
        <v>162</v>
      </c>
      <c r="B37" s="12" t="s">
        <v>157</v>
      </c>
      <c r="C37" s="13">
        <v>6500</v>
      </c>
      <c r="F37" s="16" t="s">
        <v>162</v>
      </c>
      <c r="G37" s="10">
        <v>7000</v>
      </c>
    </row>
    <row r="38" spans="1:7" x14ac:dyDescent="0.3">
      <c r="A38" s="12" t="s">
        <v>158</v>
      </c>
      <c r="B38" s="12" t="s">
        <v>159</v>
      </c>
      <c r="C38" s="13">
        <v>7500</v>
      </c>
      <c r="F38" s="16" t="s">
        <v>167</v>
      </c>
      <c r="G38" s="10">
        <v>3300</v>
      </c>
    </row>
    <row r="39" spans="1:7" x14ac:dyDescent="0.3">
      <c r="A39" s="12" t="s">
        <v>164</v>
      </c>
      <c r="B39" s="12" t="s">
        <v>161</v>
      </c>
      <c r="C39" s="13">
        <v>9500</v>
      </c>
      <c r="F39" s="15" t="s">
        <v>170</v>
      </c>
      <c r="G39" s="10">
        <v>207311</v>
      </c>
    </row>
    <row r="40" spans="1:7" x14ac:dyDescent="0.3">
      <c r="A40" s="12" t="s">
        <v>164</v>
      </c>
      <c r="B40" s="12" t="s">
        <v>161</v>
      </c>
      <c r="C40" s="13">
        <v>3560</v>
      </c>
    </row>
    <row r="41" spans="1:7" x14ac:dyDescent="0.3">
      <c r="A41" s="12" t="s">
        <v>166</v>
      </c>
      <c r="B41" s="12" t="s">
        <v>157</v>
      </c>
      <c r="C41" s="13">
        <v>4580</v>
      </c>
    </row>
    <row r="42" spans="1:7" x14ac:dyDescent="0.3">
      <c r="A42" s="12" t="s">
        <v>167</v>
      </c>
      <c r="B42" s="12" t="s">
        <v>159</v>
      </c>
      <c r="C42" s="13">
        <v>6500</v>
      </c>
    </row>
    <row r="43" spans="1:7" x14ac:dyDescent="0.3">
      <c r="A43" s="12" t="s">
        <v>167</v>
      </c>
      <c r="B43" s="12" t="s">
        <v>159</v>
      </c>
      <c r="C43" s="13">
        <v>7820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6C560-C653-4B17-94BA-D1615F7791FC}">
  <dimension ref="A1:S34"/>
  <sheetViews>
    <sheetView topLeftCell="B1" zoomScale="71" workbookViewId="0">
      <selection activeCell="J1" sqref="J1"/>
    </sheetView>
  </sheetViews>
  <sheetFormatPr defaultRowHeight="14.4" x14ac:dyDescent="0.3"/>
  <cols>
    <col min="1" max="1" width="11.5546875" bestFit="1" customWidth="1"/>
    <col min="3" max="3" width="16" bestFit="1" customWidth="1"/>
    <col min="6" max="6" width="15.77734375" customWidth="1"/>
    <col min="12" max="12" width="18.44140625" bestFit="1" customWidth="1"/>
    <col min="13" max="13" width="22.44140625" customWidth="1"/>
    <col min="14" max="14" width="20.5546875" bestFit="1" customWidth="1"/>
    <col min="16" max="17" width="16.6640625" bestFit="1" customWidth="1"/>
    <col min="18" max="18" width="21.6640625" bestFit="1" customWidth="1"/>
    <col min="19" max="19" width="8.109375" bestFit="1" customWidth="1"/>
  </cols>
  <sheetData>
    <row r="1" spans="1:18" ht="15.6" x14ac:dyDescent="0.3">
      <c r="A1" s="23" t="s">
        <v>188</v>
      </c>
      <c r="B1" s="18"/>
      <c r="C1" s="23" t="s">
        <v>189</v>
      </c>
    </row>
    <row r="2" spans="1:18" ht="18" customHeight="1" x14ac:dyDescent="0.3">
      <c r="A2" s="24">
        <v>44896</v>
      </c>
      <c r="B2" s="18"/>
      <c r="C2" s="29">
        <v>44900</v>
      </c>
      <c r="L2" s="36" t="s">
        <v>192</v>
      </c>
      <c r="M2" s="36"/>
    </row>
    <row r="3" spans="1:18" x14ac:dyDescent="0.3">
      <c r="A3" s="25">
        <v>44897</v>
      </c>
      <c r="B3" s="18"/>
      <c r="C3" s="30">
        <v>44920</v>
      </c>
      <c r="L3" s="36"/>
      <c r="M3" s="36"/>
    </row>
    <row r="4" spans="1:18" ht="15.6" x14ac:dyDescent="0.3">
      <c r="A4" s="24">
        <v>44898</v>
      </c>
      <c r="B4" s="18"/>
      <c r="C4" s="29">
        <v>44923</v>
      </c>
      <c r="F4" s="28" t="s">
        <v>190</v>
      </c>
      <c r="G4" s="28"/>
      <c r="H4" s="28"/>
      <c r="I4" s="28"/>
      <c r="L4" s="31" t="s">
        <v>1</v>
      </c>
      <c r="M4" s="31" t="s">
        <v>3</v>
      </c>
      <c r="P4" t="s">
        <v>1</v>
      </c>
      <c r="Q4" t="s">
        <v>3</v>
      </c>
      <c r="R4" t="s">
        <v>215</v>
      </c>
    </row>
    <row r="5" spans="1:18" ht="15.6" x14ac:dyDescent="0.3">
      <c r="A5" s="25">
        <v>44899</v>
      </c>
      <c r="B5" s="18"/>
      <c r="C5" s="30">
        <v>44905</v>
      </c>
      <c r="L5" s="32" t="s">
        <v>44</v>
      </c>
      <c r="M5" s="33">
        <v>36965</v>
      </c>
      <c r="P5" s="37" t="s">
        <v>44</v>
      </c>
      <c r="Q5" s="8">
        <v>36965</v>
      </c>
      <c r="R5" s="38">
        <v>24.227397260273971</v>
      </c>
    </row>
    <row r="6" spans="1:18" ht="15.6" x14ac:dyDescent="0.3">
      <c r="A6" s="24">
        <v>44900</v>
      </c>
      <c r="B6" s="18"/>
      <c r="C6" s="30">
        <v>44913</v>
      </c>
      <c r="F6" t="s">
        <v>188</v>
      </c>
      <c r="L6" s="32" t="s">
        <v>180</v>
      </c>
      <c r="M6" s="33">
        <v>36353</v>
      </c>
      <c r="P6" s="37" t="s">
        <v>180</v>
      </c>
      <c r="Q6" s="8">
        <v>36353</v>
      </c>
      <c r="R6" s="38">
        <v>25.904109589041095</v>
      </c>
    </row>
    <row r="7" spans="1:18" ht="15.6" x14ac:dyDescent="0.3">
      <c r="A7" s="25">
        <v>44901</v>
      </c>
      <c r="B7" s="18"/>
      <c r="C7" s="18"/>
      <c r="F7" s="8">
        <v>44896</v>
      </c>
      <c r="L7" s="32" t="s">
        <v>193</v>
      </c>
      <c r="M7" s="33">
        <v>37125</v>
      </c>
      <c r="P7" s="37" t="s">
        <v>193</v>
      </c>
      <c r="Q7" s="8">
        <v>37125</v>
      </c>
      <c r="R7" s="38">
        <v>23.789041095890411</v>
      </c>
    </row>
    <row r="8" spans="1:18" ht="15.6" x14ac:dyDescent="0.3">
      <c r="A8" s="24">
        <v>44902</v>
      </c>
      <c r="B8" s="18"/>
      <c r="C8" s="18"/>
      <c r="F8" s="8">
        <v>44897</v>
      </c>
      <c r="L8" s="32" t="s">
        <v>41</v>
      </c>
      <c r="M8" s="33">
        <v>37807</v>
      </c>
      <c r="P8" s="37" t="s">
        <v>41</v>
      </c>
      <c r="Q8" s="8">
        <v>37807</v>
      </c>
      <c r="R8" s="38">
        <v>21.920547945205481</v>
      </c>
    </row>
    <row r="9" spans="1:18" ht="15.6" x14ac:dyDescent="0.3">
      <c r="A9" s="25">
        <v>44903</v>
      </c>
      <c r="B9" s="18"/>
      <c r="C9" s="18"/>
      <c r="F9" s="8">
        <v>44898</v>
      </c>
      <c r="L9" s="32" t="s">
        <v>36</v>
      </c>
      <c r="M9" s="33">
        <v>35558</v>
      </c>
      <c r="P9" s="37" t="s">
        <v>36</v>
      </c>
      <c r="Q9" s="8">
        <v>35558</v>
      </c>
      <c r="R9" s="38">
        <v>28.082191780821919</v>
      </c>
    </row>
    <row r="10" spans="1:18" ht="15.6" x14ac:dyDescent="0.3">
      <c r="A10" s="24">
        <v>44904</v>
      </c>
      <c r="B10" s="18"/>
      <c r="C10" s="18"/>
      <c r="F10" s="8">
        <v>44899</v>
      </c>
      <c r="L10" s="32" t="s">
        <v>39</v>
      </c>
      <c r="M10" s="33">
        <v>37380</v>
      </c>
      <c r="P10" s="37" t="s">
        <v>39</v>
      </c>
      <c r="Q10" s="8">
        <v>37380</v>
      </c>
      <c r="R10" s="38">
        <v>23.090410958904108</v>
      </c>
    </row>
    <row r="11" spans="1:18" ht="15.6" x14ac:dyDescent="0.3">
      <c r="A11" s="25">
        <v>44905</v>
      </c>
      <c r="B11" s="18"/>
      <c r="C11" s="18"/>
      <c r="F11" s="8">
        <v>44901</v>
      </c>
      <c r="L11" s="32" t="s">
        <v>194</v>
      </c>
      <c r="M11" s="33">
        <v>37749</v>
      </c>
      <c r="P11" s="37" t="s">
        <v>194</v>
      </c>
      <c r="Q11" s="8">
        <v>37749</v>
      </c>
      <c r="R11" s="38">
        <v>22.079452054794519</v>
      </c>
    </row>
    <row r="12" spans="1:18" ht="15.6" x14ac:dyDescent="0.3">
      <c r="A12" s="24">
        <v>44906</v>
      </c>
      <c r="B12" s="18"/>
      <c r="C12" s="18"/>
      <c r="F12" s="8">
        <v>44902</v>
      </c>
      <c r="L12" s="32" t="s">
        <v>46</v>
      </c>
      <c r="M12" s="33">
        <v>33456</v>
      </c>
      <c r="P12" s="37" t="s">
        <v>46</v>
      </c>
      <c r="Q12" s="8">
        <v>33456</v>
      </c>
      <c r="R12" s="38">
        <v>33.841095890410962</v>
      </c>
    </row>
    <row r="13" spans="1:18" ht="15.6" x14ac:dyDescent="0.3">
      <c r="A13" s="25">
        <v>44907</v>
      </c>
      <c r="B13" s="18"/>
      <c r="C13" s="18"/>
      <c r="F13" s="8">
        <v>44903</v>
      </c>
      <c r="L13" s="32" t="s">
        <v>195</v>
      </c>
      <c r="M13" s="33">
        <v>34553</v>
      </c>
      <c r="P13" s="37" t="s">
        <v>195</v>
      </c>
      <c r="Q13" s="8">
        <v>34553</v>
      </c>
      <c r="R13" s="38">
        <v>30.835616438356166</v>
      </c>
    </row>
    <row r="14" spans="1:18" ht="15.6" x14ac:dyDescent="0.3">
      <c r="A14" s="24">
        <v>44908</v>
      </c>
      <c r="B14" s="18"/>
      <c r="C14" s="18"/>
      <c r="F14" s="8">
        <v>44904</v>
      </c>
      <c r="L14" s="32" t="s">
        <v>196</v>
      </c>
      <c r="M14" s="33">
        <v>29806</v>
      </c>
      <c r="P14" s="37" t="s">
        <v>196</v>
      </c>
      <c r="Q14" s="8">
        <v>29806</v>
      </c>
      <c r="R14" s="38">
        <v>43.841095890410962</v>
      </c>
    </row>
    <row r="15" spans="1:18" ht="15.6" x14ac:dyDescent="0.3">
      <c r="A15" s="25">
        <v>44909</v>
      </c>
      <c r="B15" s="18"/>
      <c r="C15" s="18"/>
      <c r="F15" s="8">
        <v>44906</v>
      </c>
      <c r="L15" s="32" t="s">
        <v>197</v>
      </c>
      <c r="M15" s="33">
        <v>32729</v>
      </c>
      <c r="P15" s="37" t="s">
        <v>197</v>
      </c>
      <c r="Q15" s="8">
        <v>32729</v>
      </c>
      <c r="R15" s="38">
        <v>35.832876712328769</v>
      </c>
    </row>
    <row r="16" spans="1:18" ht="15.6" x14ac:dyDescent="0.3">
      <c r="A16" s="24">
        <v>44910</v>
      </c>
      <c r="B16" s="18"/>
      <c r="C16" s="18"/>
      <c r="F16" s="8">
        <v>44907</v>
      </c>
      <c r="L16" s="32" t="s">
        <v>198</v>
      </c>
      <c r="M16" s="33">
        <v>34951</v>
      </c>
      <c r="P16" s="37" t="s">
        <v>198</v>
      </c>
      <c r="Q16" s="8">
        <v>34951</v>
      </c>
      <c r="R16" s="38">
        <v>29.745205479452054</v>
      </c>
    </row>
    <row r="17" spans="1:19" x14ac:dyDescent="0.3">
      <c r="A17" s="25">
        <v>44911</v>
      </c>
      <c r="B17" s="18"/>
      <c r="C17" s="18"/>
      <c r="F17" s="8">
        <v>44908</v>
      </c>
    </row>
    <row r="18" spans="1:19" x14ac:dyDescent="0.3">
      <c r="A18" s="24">
        <v>44912</v>
      </c>
      <c r="B18" s="18"/>
      <c r="C18" s="18"/>
      <c r="F18" s="8">
        <v>44909</v>
      </c>
    </row>
    <row r="19" spans="1:19" x14ac:dyDescent="0.3">
      <c r="A19" s="25">
        <v>44913</v>
      </c>
      <c r="B19" s="18"/>
      <c r="C19" s="18"/>
      <c r="F19" s="8">
        <v>44910</v>
      </c>
    </row>
    <row r="20" spans="1:19" x14ac:dyDescent="0.3">
      <c r="A20" s="24">
        <v>44914</v>
      </c>
      <c r="B20" s="18"/>
      <c r="C20" s="18"/>
      <c r="F20" s="8">
        <v>44911</v>
      </c>
    </row>
    <row r="21" spans="1:19" ht="18" x14ac:dyDescent="0.35">
      <c r="A21" s="25">
        <v>44915</v>
      </c>
      <c r="B21" s="18"/>
      <c r="C21" s="18"/>
      <c r="F21" s="8">
        <v>44912</v>
      </c>
      <c r="L21" s="40" t="s">
        <v>216</v>
      </c>
      <c r="M21" s="40"/>
    </row>
    <row r="22" spans="1:19" x14ac:dyDescent="0.3">
      <c r="A22" s="24">
        <v>44916</v>
      </c>
      <c r="B22" s="18"/>
      <c r="C22" s="18"/>
      <c r="F22" s="8">
        <v>44914</v>
      </c>
    </row>
    <row r="23" spans="1:19" x14ac:dyDescent="0.3">
      <c r="A23" s="25">
        <v>44917</v>
      </c>
      <c r="B23" s="18"/>
      <c r="C23" s="18"/>
      <c r="F23" s="8">
        <v>44915</v>
      </c>
      <c r="L23" t="s">
        <v>199</v>
      </c>
      <c r="M23" t="s">
        <v>200</v>
      </c>
      <c r="P23" t="s">
        <v>199</v>
      </c>
      <c r="Q23" t="s">
        <v>200</v>
      </c>
      <c r="R23" t="s">
        <v>216</v>
      </c>
      <c r="S23" t="s">
        <v>219</v>
      </c>
    </row>
    <row r="24" spans="1:19" x14ac:dyDescent="0.3">
      <c r="A24" s="24">
        <v>44918</v>
      </c>
      <c r="B24" s="18"/>
      <c r="C24" s="18"/>
      <c r="F24" s="8">
        <v>44916</v>
      </c>
      <c r="L24" s="35">
        <v>45079.4375</v>
      </c>
      <c r="M24" s="35">
        <v>45079.729166666664</v>
      </c>
      <c r="P24" s="41">
        <v>45079.4375</v>
      </c>
      <c r="Q24" s="41">
        <v>45079.729166666664</v>
      </c>
      <c r="R24" s="42">
        <v>0.29166666666666669</v>
      </c>
      <c r="S24">
        <v>0</v>
      </c>
    </row>
    <row r="25" spans="1:19" x14ac:dyDescent="0.3">
      <c r="A25" s="25">
        <v>44919</v>
      </c>
      <c r="B25" s="18"/>
      <c r="C25" s="18"/>
      <c r="F25" s="8">
        <v>44917</v>
      </c>
      <c r="L25" s="35">
        <v>45109.416666666664</v>
      </c>
      <c r="M25" s="35">
        <v>45140.541666666664</v>
      </c>
      <c r="P25" s="41">
        <v>45109.416666666664</v>
      </c>
      <c r="Q25" s="41">
        <v>45140.541666666664</v>
      </c>
      <c r="R25" s="42">
        <v>31.125</v>
      </c>
      <c r="S25">
        <v>31</v>
      </c>
    </row>
    <row r="26" spans="1:19" x14ac:dyDescent="0.3">
      <c r="A26" s="24">
        <v>44920</v>
      </c>
      <c r="B26" s="18"/>
      <c r="C26" s="18"/>
      <c r="F26" s="8">
        <v>44918</v>
      </c>
      <c r="L26" s="35">
        <v>45048.784722222219</v>
      </c>
      <c r="M26" s="35">
        <v>45048.868055555555</v>
      </c>
      <c r="P26" s="41">
        <v>45048.784722222219</v>
      </c>
      <c r="Q26" s="41">
        <v>45048.868055555555</v>
      </c>
      <c r="R26" s="42">
        <v>8.3333333333333329E-2</v>
      </c>
      <c r="S26">
        <v>0</v>
      </c>
    </row>
    <row r="27" spans="1:19" x14ac:dyDescent="0.3">
      <c r="A27" s="25">
        <v>44921</v>
      </c>
      <c r="B27" s="18"/>
      <c r="C27" s="18"/>
      <c r="F27" s="8">
        <v>44919</v>
      </c>
      <c r="L27" s="35">
        <v>45048.409722222219</v>
      </c>
      <c r="M27" s="35">
        <v>45109.65625</v>
      </c>
      <c r="P27" s="41">
        <v>45048.409722222219</v>
      </c>
      <c r="Q27" s="41">
        <v>45109.65625</v>
      </c>
      <c r="R27" s="42">
        <v>61.246527777777779</v>
      </c>
      <c r="S27">
        <v>61</v>
      </c>
    </row>
    <row r="28" spans="1:19" x14ac:dyDescent="0.3">
      <c r="A28" s="24">
        <v>44922</v>
      </c>
      <c r="B28" s="18"/>
      <c r="C28" s="18"/>
      <c r="F28" s="8">
        <v>44921</v>
      </c>
      <c r="L28" t="s">
        <v>201</v>
      </c>
      <c r="M28" t="s">
        <v>202</v>
      </c>
      <c r="P28" s="41">
        <v>45155.229166666664</v>
      </c>
      <c r="Q28" s="41">
        <v>45158.770833333336</v>
      </c>
      <c r="R28" s="42">
        <v>3.5416666666666665</v>
      </c>
      <c r="S28">
        <v>3</v>
      </c>
    </row>
    <row r="29" spans="1:19" x14ac:dyDescent="0.3">
      <c r="A29" s="25">
        <v>44923</v>
      </c>
      <c r="B29" s="18"/>
      <c r="C29" s="18"/>
      <c r="F29" s="8">
        <v>44922</v>
      </c>
      <c r="L29" t="s">
        <v>203</v>
      </c>
      <c r="M29" t="s">
        <v>204</v>
      </c>
      <c r="P29" s="41">
        <v>45156.229166666664</v>
      </c>
      <c r="Q29" s="41">
        <v>45159.75</v>
      </c>
      <c r="R29" s="42">
        <v>3.5208333333333335</v>
      </c>
      <c r="S29">
        <v>3</v>
      </c>
    </row>
    <row r="30" spans="1:19" x14ac:dyDescent="0.3">
      <c r="A30" s="24">
        <v>44924</v>
      </c>
      <c r="B30" s="18"/>
      <c r="C30" s="18"/>
      <c r="F30" s="8">
        <v>44924</v>
      </c>
      <c r="L30" t="s">
        <v>205</v>
      </c>
      <c r="M30" t="s">
        <v>206</v>
      </c>
      <c r="P30" s="41">
        <v>45157.229166666664</v>
      </c>
      <c r="Q30" s="41">
        <v>45160.597222222219</v>
      </c>
      <c r="R30" s="42">
        <v>3.3680555555555554</v>
      </c>
      <c r="S30">
        <v>3</v>
      </c>
    </row>
    <row r="31" spans="1:19" x14ac:dyDescent="0.3">
      <c r="A31" s="25">
        <v>44925</v>
      </c>
      <c r="B31" s="18"/>
      <c r="C31" s="18"/>
      <c r="F31" s="8">
        <v>44925</v>
      </c>
      <c r="L31" t="s">
        <v>207</v>
      </c>
      <c r="M31" t="s">
        <v>208</v>
      </c>
      <c r="P31" s="41">
        <v>45158.229166666664</v>
      </c>
      <c r="Q31" s="41">
        <v>45161.5625</v>
      </c>
      <c r="R31" s="42">
        <v>3.3333333333333335</v>
      </c>
      <c r="S31">
        <v>3</v>
      </c>
    </row>
    <row r="32" spans="1:19" x14ac:dyDescent="0.3">
      <c r="L32" t="s">
        <v>209</v>
      </c>
      <c r="M32" t="s">
        <v>210</v>
      </c>
      <c r="P32" s="41">
        <v>45159.229166666664</v>
      </c>
      <c r="Q32" s="41">
        <v>45162.770833333336</v>
      </c>
      <c r="R32" s="42">
        <v>3.5416666666666665</v>
      </c>
      <c r="S32">
        <v>3</v>
      </c>
    </row>
    <row r="33" spans="12:19" x14ac:dyDescent="0.3">
      <c r="L33" t="s">
        <v>211</v>
      </c>
      <c r="M33" t="s">
        <v>212</v>
      </c>
      <c r="P33" s="41">
        <v>45160.229166666664</v>
      </c>
      <c r="Q33" s="41">
        <v>45163.770833333336</v>
      </c>
      <c r="R33" s="42">
        <v>3.5416666666666665</v>
      </c>
      <c r="S33">
        <v>3</v>
      </c>
    </row>
    <row r="34" spans="12:19" x14ac:dyDescent="0.3">
      <c r="L34" t="s">
        <v>213</v>
      </c>
      <c r="M34" t="s">
        <v>214</v>
      </c>
      <c r="P34" s="41">
        <v>45161.229166666664</v>
      </c>
      <c r="Q34" s="41">
        <v>45164.770833333336</v>
      </c>
      <c r="R34" s="42">
        <v>3.5416666666666665</v>
      </c>
      <c r="S34">
        <v>3</v>
      </c>
    </row>
  </sheetData>
  <mergeCells count="2">
    <mergeCell ref="F4:I4"/>
    <mergeCell ref="L2:M3"/>
  </mergeCells>
  <pageMargins left="0.7" right="0.7" top="0.75" bottom="0.75" header="0.3" footer="0.3"/>
  <pageSetup orientation="portrait" r:id="rId1"/>
  <drawing r:id="rId2"/>
  <tableParts count="7"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19FEF-4700-43C7-B57F-04BAA4929467}">
  <dimension ref="A2:J57"/>
  <sheetViews>
    <sheetView topLeftCell="A3" zoomScale="88" workbookViewId="0">
      <selection activeCell="I28" sqref="I28"/>
    </sheetView>
  </sheetViews>
  <sheetFormatPr defaultColWidth="16.33203125" defaultRowHeight="14.4" x14ac:dyDescent="0.3"/>
  <cols>
    <col min="1" max="1" width="12.33203125" customWidth="1"/>
    <col min="6" max="6" width="10.44140625" bestFit="1" customWidth="1"/>
    <col min="7" max="7" width="9" bestFit="1" customWidth="1"/>
    <col min="8" max="8" width="7.44140625" bestFit="1" customWidth="1"/>
    <col min="9" max="9" width="18.77734375" bestFit="1" customWidth="1"/>
    <col min="10" max="10" width="12.109375" bestFit="1" customWidth="1"/>
  </cols>
  <sheetData>
    <row r="2" spans="1:10" ht="15.6" x14ac:dyDescent="0.3">
      <c r="A2" s="34" t="s">
        <v>241</v>
      </c>
      <c r="B2" s="34"/>
      <c r="C2" s="34"/>
    </row>
    <row r="3" spans="1:10" ht="15" thickBot="1" x14ac:dyDescent="0.35">
      <c r="A3" s="49" t="s">
        <v>220</v>
      </c>
      <c r="B3" s="50" t="s">
        <v>221</v>
      </c>
      <c r="C3" s="50" t="s">
        <v>222</v>
      </c>
      <c r="D3" s="51" t="s">
        <v>223</v>
      </c>
      <c r="F3" t="s">
        <v>220</v>
      </c>
      <c r="G3" t="s">
        <v>221</v>
      </c>
      <c r="H3" t="s">
        <v>222</v>
      </c>
      <c r="I3" t="s">
        <v>223</v>
      </c>
      <c r="J3" t="s">
        <v>238</v>
      </c>
    </row>
    <row r="4" spans="1:10" ht="15" thickBot="1" x14ac:dyDescent="0.35">
      <c r="A4" s="45">
        <v>1</v>
      </c>
      <c r="B4" s="43" t="s">
        <v>224</v>
      </c>
      <c r="C4" s="43" t="s">
        <v>225</v>
      </c>
      <c r="D4" s="47" t="s">
        <v>226</v>
      </c>
      <c r="F4">
        <v>1</v>
      </c>
      <c r="G4" s="37" t="s">
        <v>224</v>
      </c>
      <c r="H4" s="37" t="s">
        <v>225</v>
      </c>
      <c r="I4" s="37" t="s">
        <v>226</v>
      </c>
      <c r="J4" t="s">
        <v>239</v>
      </c>
    </row>
    <row r="5" spans="1:10" ht="15" thickBot="1" x14ac:dyDescent="0.35">
      <c r="A5" s="46">
        <v>2</v>
      </c>
      <c r="B5" s="44" t="s">
        <v>227</v>
      </c>
      <c r="C5" s="44" t="s">
        <v>225</v>
      </c>
      <c r="D5" s="48" t="s">
        <v>226</v>
      </c>
      <c r="F5">
        <v>2</v>
      </c>
      <c r="G5" s="37" t="s">
        <v>227</v>
      </c>
      <c r="H5" s="37" t="s">
        <v>225</v>
      </c>
      <c r="I5" s="37" t="s">
        <v>226</v>
      </c>
      <c r="J5" t="s">
        <v>239</v>
      </c>
    </row>
    <row r="6" spans="1:10" ht="15" thickBot="1" x14ac:dyDescent="0.35">
      <c r="A6" s="45">
        <v>3</v>
      </c>
      <c r="B6" s="43" t="s">
        <v>228</v>
      </c>
      <c r="C6" s="43" t="s">
        <v>225</v>
      </c>
      <c r="D6" s="47" t="s">
        <v>226</v>
      </c>
      <c r="F6">
        <v>3</v>
      </c>
      <c r="G6" s="37" t="s">
        <v>228</v>
      </c>
      <c r="H6" s="37" t="s">
        <v>225</v>
      </c>
      <c r="I6" s="37" t="s">
        <v>226</v>
      </c>
      <c r="J6" t="s">
        <v>239</v>
      </c>
    </row>
    <row r="7" spans="1:10" ht="15" thickBot="1" x14ac:dyDescent="0.35">
      <c r="A7" s="46">
        <v>4</v>
      </c>
      <c r="B7" s="44" t="s">
        <v>229</v>
      </c>
      <c r="C7" s="44" t="s">
        <v>225</v>
      </c>
      <c r="D7" s="48" t="s">
        <v>226</v>
      </c>
      <c r="F7">
        <v>4</v>
      </c>
      <c r="G7" s="37" t="s">
        <v>229</v>
      </c>
      <c r="H7" s="37" t="s">
        <v>225</v>
      </c>
      <c r="I7" s="37" t="s">
        <v>226</v>
      </c>
      <c r="J7" t="s">
        <v>239</v>
      </c>
    </row>
    <row r="8" spans="1:10" ht="15" thickBot="1" x14ac:dyDescent="0.35">
      <c r="A8" s="45">
        <v>5</v>
      </c>
      <c r="B8" s="43" t="s">
        <v>230</v>
      </c>
      <c r="C8" s="43" t="s">
        <v>225</v>
      </c>
      <c r="D8" s="47" t="s">
        <v>226</v>
      </c>
      <c r="F8">
        <v>5</v>
      </c>
      <c r="G8" s="37" t="s">
        <v>230</v>
      </c>
      <c r="H8" s="37" t="s">
        <v>225</v>
      </c>
      <c r="I8" s="37" t="s">
        <v>226</v>
      </c>
      <c r="J8" t="s">
        <v>239</v>
      </c>
    </row>
    <row r="9" spans="1:10" ht="15" thickBot="1" x14ac:dyDescent="0.35">
      <c r="A9" s="46">
        <v>6</v>
      </c>
      <c r="B9" s="44" t="s">
        <v>231</v>
      </c>
      <c r="C9" s="44" t="s">
        <v>231</v>
      </c>
      <c r="D9" s="48" t="s">
        <v>232</v>
      </c>
      <c r="F9">
        <v>6</v>
      </c>
      <c r="G9" s="37" t="s">
        <v>231</v>
      </c>
      <c r="H9" s="37" t="s">
        <v>231</v>
      </c>
      <c r="I9" s="37" t="s">
        <v>232</v>
      </c>
      <c r="J9" t="s">
        <v>240</v>
      </c>
    </row>
    <row r="10" spans="1:10" ht="15" thickBot="1" x14ac:dyDescent="0.35">
      <c r="A10" s="45">
        <v>7</v>
      </c>
      <c r="B10" s="43" t="s">
        <v>233</v>
      </c>
      <c r="C10" s="43" t="s">
        <v>233</v>
      </c>
      <c r="D10" s="47" t="s">
        <v>226</v>
      </c>
      <c r="F10">
        <v>7</v>
      </c>
      <c r="G10" s="37" t="s">
        <v>233</v>
      </c>
      <c r="H10" s="37" t="s">
        <v>233</v>
      </c>
      <c r="I10" s="37" t="s">
        <v>226</v>
      </c>
      <c r="J10" t="s">
        <v>233</v>
      </c>
    </row>
    <row r="11" spans="1:10" ht="15" thickBot="1" x14ac:dyDescent="0.35">
      <c r="A11" s="46">
        <v>8</v>
      </c>
      <c r="B11" s="44" t="s">
        <v>234</v>
      </c>
      <c r="C11" s="44" t="s">
        <v>234</v>
      </c>
      <c r="D11" s="48" t="s">
        <v>235</v>
      </c>
      <c r="F11">
        <v>8</v>
      </c>
      <c r="G11" s="37" t="s">
        <v>234</v>
      </c>
      <c r="H11" s="37" t="s">
        <v>234</v>
      </c>
      <c r="I11" s="37" t="s">
        <v>235</v>
      </c>
      <c r="J11" t="s">
        <v>234</v>
      </c>
    </row>
    <row r="12" spans="1:10" ht="15" thickBot="1" x14ac:dyDescent="0.35">
      <c r="A12" s="52">
        <v>9</v>
      </c>
      <c r="B12" s="53" t="s">
        <v>236</v>
      </c>
      <c r="C12" s="53" t="s">
        <v>236</v>
      </c>
      <c r="D12" s="54" t="s">
        <v>237</v>
      </c>
      <c r="F12">
        <v>9</v>
      </c>
      <c r="G12" s="37" t="s">
        <v>236</v>
      </c>
      <c r="H12" s="37" t="s">
        <v>236</v>
      </c>
      <c r="I12" s="37" t="s">
        <v>237</v>
      </c>
      <c r="J12" t="s">
        <v>236</v>
      </c>
    </row>
    <row r="13" spans="1:10" ht="15" thickBot="1" x14ac:dyDescent="0.35">
      <c r="A13" s="52">
        <v>10</v>
      </c>
      <c r="B13" s="53" t="s">
        <v>243</v>
      </c>
      <c r="C13" s="53" t="s">
        <v>242</v>
      </c>
      <c r="D13" s="54" t="s">
        <v>244</v>
      </c>
      <c r="F13">
        <v>10</v>
      </c>
      <c r="G13" s="37" t="s">
        <v>243</v>
      </c>
      <c r="H13" s="37" t="s">
        <v>242</v>
      </c>
      <c r="I13" s="37" t="s">
        <v>244</v>
      </c>
      <c r="J13" t="s">
        <v>247</v>
      </c>
    </row>
    <row r="14" spans="1:10" x14ac:dyDescent="0.3">
      <c r="A14" s="52">
        <v>11</v>
      </c>
      <c r="B14" s="53" t="s">
        <v>245</v>
      </c>
      <c r="C14" s="53" t="s">
        <v>246</v>
      </c>
      <c r="D14" s="54" t="s">
        <v>245</v>
      </c>
      <c r="F14">
        <v>11</v>
      </c>
      <c r="G14" s="37" t="s">
        <v>245</v>
      </c>
      <c r="H14" s="37" t="s">
        <v>246</v>
      </c>
      <c r="I14" s="37" t="s">
        <v>245</v>
      </c>
      <c r="J14" t="s">
        <v>246</v>
      </c>
    </row>
    <row r="20" spans="1:10" ht="29.4" customHeight="1" thickBot="1" x14ac:dyDescent="0.35">
      <c r="A20" s="76" t="s">
        <v>284</v>
      </c>
      <c r="B20" s="76"/>
      <c r="C20" s="76"/>
    </row>
    <row r="21" spans="1:10" ht="15" thickBot="1" x14ac:dyDescent="0.35">
      <c r="A21" s="57" t="s">
        <v>277</v>
      </c>
      <c r="B21" s="73" t="s">
        <v>278</v>
      </c>
      <c r="C21" s="58" t="s">
        <v>279</v>
      </c>
      <c r="F21" t="s">
        <v>277</v>
      </c>
      <c r="G21" t="s">
        <v>278</v>
      </c>
      <c r="H21" t="s">
        <v>279</v>
      </c>
      <c r="I21" t="s">
        <v>282</v>
      </c>
      <c r="J21" t="s">
        <v>283</v>
      </c>
    </row>
    <row r="22" spans="1:10" ht="15" thickBot="1" x14ac:dyDescent="0.35">
      <c r="A22" s="69">
        <v>43101</v>
      </c>
      <c r="B22" s="66" t="s">
        <v>280</v>
      </c>
      <c r="C22" s="71">
        <v>622</v>
      </c>
      <c r="F22" s="8">
        <v>43101</v>
      </c>
      <c r="G22" s="37" t="s">
        <v>280</v>
      </c>
      <c r="H22">
        <v>622</v>
      </c>
      <c r="I22" s="37">
        <v>62.2</v>
      </c>
      <c r="J22" s="37">
        <v>684.2</v>
      </c>
    </row>
    <row r="23" spans="1:10" ht="15" thickBot="1" x14ac:dyDescent="0.35">
      <c r="A23" s="70">
        <v>43132</v>
      </c>
      <c r="B23" s="67" t="s">
        <v>280</v>
      </c>
      <c r="C23" s="72">
        <v>1104</v>
      </c>
      <c r="F23" s="8">
        <v>43132</v>
      </c>
      <c r="G23" s="37" t="s">
        <v>280</v>
      </c>
      <c r="H23">
        <v>1104</v>
      </c>
      <c r="I23" s="37">
        <v>110.4</v>
      </c>
      <c r="J23" s="37">
        <v>1214.4000000000001</v>
      </c>
    </row>
    <row r="24" spans="1:10" ht="15" thickBot="1" x14ac:dyDescent="0.35">
      <c r="A24" s="69">
        <v>43160</v>
      </c>
      <c r="B24" s="66" t="s">
        <v>280</v>
      </c>
      <c r="C24" s="71">
        <v>954</v>
      </c>
      <c r="F24" s="8">
        <v>43160</v>
      </c>
      <c r="G24" s="37" t="s">
        <v>280</v>
      </c>
      <c r="H24">
        <v>954</v>
      </c>
      <c r="I24" s="37">
        <v>95.4</v>
      </c>
      <c r="J24" s="37">
        <v>1049.4000000000001</v>
      </c>
    </row>
    <row r="25" spans="1:10" ht="15" thickBot="1" x14ac:dyDescent="0.35">
      <c r="A25" s="70">
        <v>43191</v>
      </c>
      <c r="B25" s="67" t="s">
        <v>280</v>
      </c>
      <c r="C25" s="72">
        <v>829</v>
      </c>
      <c r="F25" s="8">
        <v>43191</v>
      </c>
      <c r="G25" s="37" t="s">
        <v>280</v>
      </c>
      <c r="H25">
        <v>829</v>
      </c>
      <c r="I25" s="37">
        <v>82.9</v>
      </c>
      <c r="J25" s="37">
        <v>911.9</v>
      </c>
    </row>
    <row r="26" spans="1:10" ht="15" thickBot="1" x14ac:dyDescent="0.35">
      <c r="A26" s="69">
        <v>43221</v>
      </c>
      <c r="B26" s="66" t="s">
        <v>280</v>
      </c>
      <c r="C26" s="71">
        <v>715</v>
      </c>
      <c r="F26" s="8">
        <v>43221</v>
      </c>
      <c r="G26" s="37" t="s">
        <v>280</v>
      </c>
      <c r="H26">
        <v>715</v>
      </c>
      <c r="I26" s="37">
        <v>71.5</v>
      </c>
      <c r="J26" s="37">
        <v>786.5</v>
      </c>
    </row>
    <row r="27" spans="1:10" ht="15" thickBot="1" x14ac:dyDescent="0.35">
      <c r="A27" s="70">
        <v>43252</v>
      </c>
      <c r="B27" s="67" t="s">
        <v>280</v>
      </c>
      <c r="C27" s="72">
        <v>1126</v>
      </c>
      <c r="F27" s="8">
        <v>43252</v>
      </c>
      <c r="G27" s="37" t="s">
        <v>280</v>
      </c>
      <c r="H27">
        <v>1126</v>
      </c>
      <c r="I27" s="37">
        <v>112.6</v>
      </c>
      <c r="J27" s="37">
        <v>1238.5999999999999</v>
      </c>
    </row>
    <row r="28" spans="1:10" ht="15" thickBot="1" x14ac:dyDescent="0.35">
      <c r="A28" s="69">
        <v>43282</v>
      </c>
      <c r="B28" s="66" t="s">
        <v>280</v>
      </c>
      <c r="C28" s="71">
        <v>1026</v>
      </c>
      <c r="F28" s="8">
        <v>43282</v>
      </c>
      <c r="G28" s="37" t="s">
        <v>280</v>
      </c>
      <c r="H28">
        <v>1026</v>
      </c>
      <c r="I28" s="37">
        <v>102.6</v>
      </c>
      <c r="J28" s="37">
        <v>1128.5999999999999</v>
      </c>
    </row>
    <row r="29" spans="1:10" ht="15" thickBot="1" x14ac:dyDescent="0.35">
      <c r="A29" s="70">
        <v>43313</v>
      </c>
      <c r="B29" s="67" t="s">
        <v>280</v>
      </c>
      <c r="C29" s="72">
        <v>1123</v>
      </c>
      <c r="F29" s="8">
        <v>43313</v>
      </c>
      <c r="G29" s="37" t="s">
        <v>280</v>
      </c>
      <c r="H29">
        <v>1123</v>
      </c>
      <c r="I29" s="37">
        <v>112.3</v>
      </c>
      <c r="J29" s="37">
        <v>1235.3</v>
      </c>
    </row>
    <row r="30" spans="1:10" ht="15" thickBot="1" x14ac:dyDescent="0.35">
      <c r="A30" s="69">
        <v>43344</v>
      </c>
      <c r="B30" s="66" t="s">
        <v>280</v>
      </c>
      <c r="C30" s="71">
        <v>867</v>
      </c>
      <c r="F30" s="8">
        <v>43344</v>
      </c>
      <c r="G30" s="37" t="s">
        <v>280</v>
      </c>
      <c r="H30">
        <v>867</v>
      </c>
      <c r="I30" s="37">
        <v>86.7</v>
      </c>
      <c r="J30" s="37">
        <v>953.7</v>
      </c>
    </row>
    <row r="31" spans="1:10" ht="15" thickBot="1" x14ac:dyDescent="0.35">
      <c r="A31" s="70">
        <v>43374</v>
      </c>
      <c r="B31" s="67" t="s">
        <v>280</v>
      </c>
      <c r="C31" s="72">
        <v>1195</v>
      </c>
      <c r="F31" s="8">
        <v>43374</v>
      </c>
      <c r="G31" s="37" t="s">
        <v>280</v>
      </c>
      <c r="H31">
        <v>1195</v>
      </c>
      <c r="I31" s="37">
        <v>119.5</v>
      </c>
      <c r="J31" s="37">
        <v>1314.5</v>
      </c>
    </row>
    <row r="32" spans="1:10" ht="15" thickBot="1" x14ac:dyDescent="0.35">
      <c r="A32" s="69">
        <v>43405</v>
      </c>
      <c r="B32" s="66" t="s">
        <v>280</v>
      </c>
      <c r="C32" s="71">
        <v>1012</v>
      </c>
      <c r="F32" s="8">
        <v>43405</v>
      </c>
      <c r="G32" s="37" t="s">
        <v>280</v>
      </c>
      <c r="H32">
        <v>1012</v>
      </c>
      <c r="I32" s="37">
        <v>101.2</v>
      </c>
      <c r="J32" s="37">
        <v>1113.2</v>
      </c>
    </row>
    <row r="33" spans="1:10" ht="15" thickBot="1" x14ac:dyDescent="0.35">
      <c r="A33" s="70">
        <v>43435</v>
      </c>
      <c r="B33" s="67" t="s">
        <v>280</v>
      </c>
      <c r="C33" s="72">
        <v>811</v>
      </c>
      <c r="F33" s="8">
        <v>43435</v>
      </c>
      <c r="G33" s="37" t="s">
        <v>280</v>
      </c>
      <c r="H33">
        <v>811</v>
      </c>
      <c r="I33" s="37">
        <v>81.099999999999994</v>
      </c>
      <c r="J33" s="37">
        <v>892.1</v>
      </c>
    </row>
    <row r="34" spans="1:10" ht="15" thickBot="1" x14ac:dyDescent="0.35">
      <c r="A34" s="69">
        <v>43101</v>
      </c>
      <c r="B34" s="66" t="s">
        <v>281</v>
      </c>
      <c r="C34" s="71">
        <v>1179</v>
      </c>
      <c r="F34" s="8">
        <v>43101</v>
      </c>
      <c r="G34" s="37" t="s">
        <v>281</v>
      </c>
      <c r="H34">
        <v>1179</v>
      </c>
      <c r="I34" s="37">
        <v>117.9</v>
      </c>
      <c r="J34" s="37">
        <v>1296.9000000000001</v>
      </c>
    </row>
    <row r="35" spans="1:10" ht="15" thickBot="1" x14ac:dyDescent="0.35">
      <c r="A35" s="70">
        <v>43132</v>
      </c>
      <c r="B35" s="67" t="s">
        <v>281</v>
      </c>
      <c r="C35" s="72">
        <v>654</v>
      </c>
      <c r="F35" s="8">
        <v>43132</v>
      </c>
      <c r="G35" s="37" t="s">
        <v>281</v>
      </c>
      <c r="H35">
        <v>654</v>
      </c>
      <c r="I35" s="37">
        <v>65.400000000000006</v>
      </c>
      <c r="J35" s="37">
        <v>719.4</v>
      </c>
    </row>
    <row r="36" spans="1:10" ht="15" thickBot="1" x14ac:dyDescent="0.35">
      <c r="A36" s="69">
        <v>43160</v>
      </c>
      <c r="B36" s="66" t="s">
        <v>281</v>
      </c>
      <c r="C36" s="71">
        <v>1071</v>
      </c>
      <c r="F36" s="8">
        <v>43160</v>
      </c>
      <c r="G36" s="37" t="s">
        <v>281</v>
      </c>
      <c r="H36">
        <v>1071</v>
      </c>
      <c r="I36" s="37">
        <v>107.1</v>
      </c>
      <c r="J36" s="37">
        <v>1178.0999999999999</v>
      </c>
    </row>
    <row r="37" spans="1:10" ht="15" thickBot="1" x14ac:dyDescent="0.35">
      <c r="A37" s="70">
        <v>43191</v>
      </c>
      <c r="B37" s="67" t="s">
        <v>281</v>
      </c>
      <c r="C37" s="72">
        <v>1059</v>
      </c>
      <c r="F37" s="8">
        <v>43191</v>
      </c>
      <c r="G37" s="37" t="s">
        <v>281</v>
      </c>
      <c r="H37">
        <v>1059</v>
      </c>
      <c r="I37" s="37">
        <v>105.9</v>
      </c>
      <c r="J37" s="37">
        <v>1164.9000000000001</v>
      </c>
    </row>
    <row r="38" spans="1:10" ht="15" thickBot="1" x14ac:dyDescent="0.35">
      <c r="A38" s="69">
        <v>43221</v>
      </c>
      <c r="B38" s="66" t="s">
        <v>281</v>
      </c>
      <c r="C38" s="71">
        <v>853</v>
      </c>
      <c r="F38" s="8">
        <v>43221</v>
      </c>
      <c r="G38" s="37" t="s">
        <v>281</v>
      </c>
      <c r="H38">
        <v>853</v>
      </c>
      <c r="I38" s="37">
        <v>85.3</v>
      </c>
      <c r="J38" s="37">
        <v>938.3</v>
      </c>
    </row>
    <row r="39" spans="1:10" ht="15" thickBot="1" x14ac:dyDescent="0.35">
      <c r="A39" s="70">
        <v>43252</v>
      </c>
      <c r="B39" s="67" t="s">
        <v>281</v>
      </c>
      <c r="C39" s="72">
        <v>593</v>
      </c>
      <c r="F39" s="8">
        <v>43252</v>
      </c>
      <c r="G39" s="37" t="s">
        <v>281</v>
      </c>
      <c r="H39">
        <v>593</v>
      </c>
      <c r="I39" s="37">
        <v>59.3</v>
      </c>
      <c r="J39" s="37">
        <v>652.29999999999995</v>
      </c>
    </row>
    <row r="40" spans="1:10" ht="15" thickBot="1" x14ac:dyDescent="0.35">
      <c r="A40" s="69">
        <v>43282</v>
      </c>
      <c r="B40" s="66" t="s">
        <v>281</v>
      </c>
      <c r="C40" s="71">
        <v>620</v>
      </c>
      <c r="F40" s="8">
        <v>43282</v>
      </c>
      <c r="G40" s="37" t="s">
        <v>281</v>
      </c>
      <c r="H40">
        <v>620</v>
      </c>
      <c r="I40" s="37">
        <v>62</v>
      </c>
      <c r="J40" s="37">
        <v>682</v>
      </c>
    </row>
    <row r="41" spans="1:10" ht="15" thickBot="1" x14ac:dyDescent="0.35">
      <c r="A41" s="70">
        <v>43313</v>
      </c>
      <c r="B41" s="67" t="s">
        <v>281</v>
      </c>
      <c r="C41" s="72">
        <v>637</v>
      </c>
      <c r="F41" s="8">
        <v>43313</v>
      </c>
      <c r="G41" s="37" t="s">
        <v>281</v>
      </c>
      <c r="H41">
        <v>637</v>
      </c>
      <c r="I41" s="37">
        <v>63.7</v>
      </c>
      <c r="J41" s="37">
        <v>700.7</v>
      </c>
    </row>
    <row r="42" spans="1:10" ht="15" thickBot="1" x14ac:dyDescent="0.35">
      <c r="A42" s="69">
        <v>43344</v>
      </c>
      <c r="B42" s="66" t="s">
        <v>281</v>
      </c>
      <c r="C42" s="71">
        <v>1039</v>
      </c>
      <c r="F42" s="8">
        <v>43344</v>
      </c>
      <c r="G42" s="37" t="s">
        <v>281</v>
      </c>
      <c r="H42">
        <v>1039</v>
      </c>
      <c r="I42" s="37">
        <v>103.9</v>
      </c>
      <c r="J42" s="37">
        <v>1142.9000000000001</v>
      </c>
    </row>
    <row r="43" spans="1:10" ht="15" thickBot="1" x14ac:dyDescent="0.35">
      <c r="A43" s="70">
        <v>43374</v>
      </c>
      <c r="B43" s="67" t="s">
        <v>281</v>
      </c>
      <c r="C43" s="72">
        <v>720</v>
      </c>
      <c r="F43" s="8">
        <v>43374</v>
      </c>
      <c r="G43" s="37" t="s">
        <v>281</v>
      </c>
      <c r="H43">
        <v>720</v>
      </c>
      <c r="I43" s="37">
        <v>72</v>
      </c>
      <c r="J43" s="37">
        <v>792</v>
      </c>
    </row>
    <row r="44" spans="1:10" ht="15" thickBot="1" x14ac:dyDescent="0.35">
      <c r="A44" s="69">
        <v>43405</v>
      </c>
      <c r="B44" s="66" t="s">
        <v>281</v>
      </c>
      <c r="C44" s="71">
        <v>1057</v>
      </c>
      <c r="F44" s="8">
        <v>43405</v>
      </c>
      <c r="G44" s="37" t="s">
        <v>281</v>
      </c>
      <c r="H44">
        <v>1057</v>
      </c>
      <c r="I44" s="37">
        <v>105.7</v>
      </c>
      <c r="J44" s="37">
        <v>1162.7</v>
      </c>
    </row>
    <row r="45" spans="1:10" ht="15" thickBot="1" x14ac:dyDescent="0.35">
      <c r="A45" s="70">
        <v>43435</v>
      </c>
      <c r="B45" s="67" t="s">
        <v>281</v>
      </c>
      <c r="C45" s="72">
        <v>1017</v>
      </c>
      <c r="F45" s="8">
        <v>43435</v>
      </c>
      <c r="G45" s="37" t="s">
        <v>281</v>
      </c>
      <c r="H45">
        <v>1017</v>
      </c>
      <c r="I45" s="37">
        <v>101.7</v>
      </c>
      <c r="J45" s="37">
        <v>1118.7</v>
      </c>
    </row>
    <row r="46" spans="1:10" ht="15" thickBot="1" x14ac:dyDescent="0.35">
      <c r="A46" s="69">
        <v>43101</v>
      </c>
      <c r="B46" s="66" t="s">
        <v>239</v>
      </c>
      <c r="C46" s="71">
        <v>1191</v>
      </c>
      <c r="F46" s="8">
        <v>43101</v>
      </c>
      <c r="G46" s="37" t="s">
        <v>239</v>
      </c>
      <c r="H46">
        <v>1191</v>
      </c>
      <c r="I46" s="37">
        <v>119.1</v>
      </c>
      <c r="J46" s="37">
        <v>1310.0999999999999</v>
      </c>
    </row>
    <row r="47" spans="1:10" ht="15" thickBot="1" x14ac:dyDescent="0.35">
      <c r="A47" s="70">
        <v>43132</v>
      </c>
      <c r="B47" s="67" t="s">
        <v>239</v>
      </c>
      <c r="C47" s="72">
        <v>833</v>
      </c>
      <c r="F47" s="8">
        <v>43132</v>
      </c>
      <c r="G47" s="37" t="s">
        <v>239</v>
      </c>
      <c r="H47">
        <v>833</v>
      </c>
      <c r="I47" s="37">
        <v>83.3</v>
      </c>
      <c r="J47" s="37">
        <v>916.3</v>
      </c>
    </row>
    <row r="48" spans="1:10" ht="15" thickBot="1" x14ac:dyDescent="0.35">
      <c r="A48" s="69">
        <v>43160</v>
      </c>
      <c r="B48" s="66" t="s">
        <v>239</v>
      </c>
      <c r="C48" s="71">
        <v>514</v>
      </c>
      <c r="F48" s="8">
        <v>43160</v>
      </c>
      <c r="G48" s="37" t="s">
        <v>239</v>
      </c>
      <c r="H48">
        <v>514</v>
      </c>
      <c r="I48" s="37">
        <v>51.4</v>
      </c>
      <c r="J48" s="37">
        <v>565.4</v>
      </c>
    </row>
    <row r="49" spans="1:10" ht="15" thickBot="1" x14ac:dyDescent="0.35">
      <c r="A49" s="70">
        <v>43191</v>
      </c>
      <c r="B49" s="67" t="s">
        <v>239</v>
      </c>
      <c r="C49" s="72">
        <v>753</v>
      </c>
      <c r="F49" s="8">
        <v>43191</v>
      </c>
      <c r="G49" s="37" t="s">
        <v>239</v>
      </c>
      <c r="H49">
        <v>753</v>
      </c>
      <c r="I49" s="37">
        <v>75.3</v>
      </c>
      <c r="J49" s="37">
        <v>828.3</v>
      </c>
    </row>
    <row r="50" spans="1:10" ht="15" thickBot="1" x14ac:dyDescent="0.35">
      <c r="A50" s="69">
        <v>43221</v>
      </c>
      <c r="B50" s="66" t="s">
        <v>239</v>
      </c>
      <c r="C50" s="71">
        <v>1165</v>
      </c>
      <c r="F50" s="8">
        <v>43221</v>
      </c>
      <c r="G50" s="37" t="s">
        <v>239</v>
      </c>
      <c r="H50">
        <v>1165</v>
      </c>
      <c r="I50" s="37">
        <v>116.5</v>
      </c>
      <c r="J50" s="37">
        <v>1281.5</v>
      </c>
    </row>
    <row r="51" spans="1:10" ht="15" thickBot="1" x14ac:dyDescent="0.35">
      <c r="A51" s="70">
        <v>43252</v>
      </c>
      <c r="B51" s="67" t="s">
        <v>239</v>
      </c>
      <c r="C51" s="72">
        <v>642</v>
      </c>
      <c r="F51" s="8">
        <v>43252</v>
      </c>
      <c r="G51" s="37" t="s">
        <v>239</v>
      </c>
      <c r="H51">
        <v>642</v>
      </c>
      <c r="I51" s="37">
        <v>64.2</v>
      </c>
      <c r="J51" s="37">
        <v>706.2</v>
      </c>
    </row>
    <row r="52" spans="1:10" ht="15" thickBot="1" x14ac:dyDescent="0.35">
      <c r="A52" s="69">
        <v>43282</v>
      </c>
      <c r="B52" s="66" t="s">
        <v>239</v>
      </c>
      <c r="C52" s="71">
        <v>818</v>
      </c>
      <c r="F52" s="8">
        <v>43282</v>
      </c>
      <c r="G52" s="37" t="s">
        <v>239</v>
      </c>
      <c r="H52">
        <v>818</v>
      </c>
      <c r="I52" s="37">
        <v>81.8</v>
      </c>
      <c r="J52" s="37">
        <v>899.8</v>
      </c>
    </row>
    <row r="53" spans="1:10" ht="15" thickBot="1" x14ac:dyDescent="0.35">
      <c r="A53" s="70">
        <v>43313</v>
      </c>
      <c r="B53" s="67" t="s">
        <v>239</v>
      </c>
      <c r="C53" s="72">
        <v>832</v>
      </c>
      <c r="F53" s="8">
        <v>43313</v>
      </c>
      <c r="G53" s="37" t="s">
        <v>239</v>
      </c>
      <c r="H53">
        <v>832</v>
      </c>
      <c r="I53" s="37">
        <v>83.2</v>
      </c>
      <c r="J53" s="37">
        <v>915.2</v>
      </c>
    </row>
    <row r="54" spans="1:10" ht="15" thickBot="1" x14ac:dyDescent="0.35">
      <c r="A54" s="69">
        <v>43344</v>
      </c>
      <c r="B54" s="66" t="s">
        <v>239</v>
      </c>
      <c r="C54" s="71">
        <v>776</v>
      </c>
      <c r="F54" s="8">
        <v>43344</v>
      </c>
      <c r="G54" s="37" t="s">
        <v>239</v>
      </c>
      <c r="H54">
        <v>776</v>
      </c>
      <c r="I54" s="37">
        <v>77.599999999999994</v>
      </c>
      <c r="J54" s="37">
        <v>853.6</v>
      </c>
    </row>
    <row r="55" spans="1:10" ht="15" thickBot="1" x14ac:dyDescent="0.35">
      <c r="A55" s="70">
        <v>43374</v>
      </c>
      <c r="B55" s="67" t="s">
        <v>239</v>
      </c>
      <c r="C55" s="72">
        <v>925</v>
      </c>
      <c r="F55" s="8">
        <v>43374</v>
      </c>
      <c r="G55" s="37" t="s">
        <v>239</v>
      </c>
      <c r="H55">
        <v>925</v>
      </c>
      <c r="I55" s="37">
        <v>92.5</v>
      </c>
      <c r="J55" s="37">
        <v>1017.5</v>
      </c>
    </row>
    <row r="56" spans="1:10" ht="15" thickBot="1" x14ac:dyDescent="0.35">
      <c r="A56" s="69">
        <v>43405</v>
      </c>
      <c r="B56" s="66" t="s">
        <v>239</v>
      </c>
      <c r="C56" s="71">
        <v>614</v>
      </c>
      <c r="F56" s="8">
        <v>43405</v>
      </c>
      <c r="G56" s="37" t="s">
        <v>239</v>
      </c>
      <c r="H56">
        <v>614</v>
      </c>
      <c r="I56" s="37">
        <v>61.4</v>
      </c>
      <c r="J56" s="37">
        <v>675.4</v>
      </c>
    </row>
    <row r="57" spans="1:10" x14ac:dyDescent="0.3">
      <c r="A57" s="74">
        <v>43435</v>
      </c>
      <c r="B57" s="68" t="s">
        <v>239</v>
      </c>
      <c r="C57" s="75">
        <v>682</v>
      </c>
      <c r="F57" s="8">
        <v>43435</v>
      </c>
      <c r="G57" s="37" t="s">
        <v>239</v>
      </c>
      <c r="H57">
        <v>682</v>
      </c>
      <c r="I57" s="37">
        <v>68.2</v>
      </c>
      <c r="J57" s="37">
        <v>750.2</v>
      </c>
    </row>
  </sheetData>
  <mergeCells count="2">
    <mergeCell ref="A2:C2"/>
    <mergeCell ref="A20:C20"/>
  </mergeCells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7D921F-0038-4D9D-B0DD-E5AE80DE5CD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Topics-covered</vt:lpstr>
      <vt:lpstr>SplitName_UpperCase_sheet</vt:lpstr>
      <vt:lpstr>data-1</vt:lpstr>
      <vt:lpstr>UnpivotedData</vt:lpstr>
      <vt:lpstr>DataForUnpivot</vt:lpstr>
      <vt:lpstr>GroupByTable</vt:lpstr>
      <vt:lpstr>DataForGroupBy</vt:lpstr>
      <vt:lpstr>DateTimeData</vt:lpstr>
      <vt:lpstr>AddExtra_Columns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Singh</dc:creator>
  <cp:lastModifiedBy>Rohit Singh</cp:lastModifiedBy>
  <dcterms:created xsi:type="dcterms:W3CDTF">2025-05-28T18:52:55Z</dcterms:created>
  <dcterms:modified xsi:type="dcterms:W3CDTF">2025-05-31T08:37:43Z</dcterms:modified>
</cp:coreProperties>
</file>