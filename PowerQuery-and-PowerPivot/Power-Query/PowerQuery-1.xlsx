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"/>
    </mc:Choice>
  </mc:AlternateContent>
  <xr:revisionPtr revIDLastSave="0" documentId="13_ncr:1_{10BAEB1D-D409-4888-829E-7B2328D15CC8}" xr6:coauthVersionLast="47" xr6:coauthVersionMax="47" xr10:uidLastSave="{00000000-0000-0000-0000-000000000000}"/>
  <bookViews>
    <workbookView xWindow="-108" yWindow="-108" windowWidth="23256" windowHeight="12456" tabRatio="778" activeTab="7" xr2:uid="{22B2529F-C0DC-4E17-A673-D829C45BF6B0}"/>
  </bookViews>
  <sheets>
    <sheet name="Topics-covered" sheetId="3" r:id="rId1"/>
    <sheet name="SplitName_UpperCase_sheet" sheetId="5" r:id="rId2"/>
    <sheet name="data-1" sheetId="1" r:id="rId3"/>
    <sheet name="UnpivotedData" sheetId="10" r:id="rId4"/>
    <sheet name="DataForUnpivot" sheetId="9" r:id="rId5"/>
    <sheet name="GroupByTable" sheetId="8" r:id="rId6"/>
    <sheet name="DataForGroupBy" sheetId="6" r:id="rId7"/>
    <sheet name="DateTimeData" sheetId="11" r:id="rId8"/>
  </sheets>
  <definedNames>
    <definedName name="ExternalData_1" localSheetId="7" hidden="1">DateTimeData!$F$6:$F$31</definedName>
    <definedName name="ExternalData_1" localSheetId="5" hidden="1">GroupByTable!$A$1:$C$23</definedName>
    <definedName name="ExternalData_1" localSheetId="1" hidden="1">SplitName_UpperCase_sheet!$A$1:$L$11</definedName>
    <definedName name="ExternalData_1" localSheetId="3" hidden="1">UnpivotedData!$A$1:$C$46</definedName>
  </definedNames>
  <calcPr calcId="191029"/>
  <pivotCaches>
    <pivotCache cacheId="4" r:id="rId9"/>
    <pivotCache cacheId="1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9" l="1"/>
  <c r="I9" i="9"/>
  <c r="I10" i="9"/>
  <c r="I11" i="9"/>
  <c r="I12" i="9"/>
  <c r="I13" i="9"/>
  <c r="I14" i="9"/>
  <c r="I15" i="9"/>
  <c r="I16" i="9"/>
  <c r="I8" i="9"/>
  <c r="D18" i="9"/>
  <c r="E18" i="9"/>
  <c r="F18" i="9"/>
  <c r="G18" i="9"/>
  <c r="C18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CEE823-B4D7-4DAF-84C1-1173CC14961B}" keepAlive="1" name="Query - DateConnection" description="Connection to the 'DateConnection' query in the workbook." type="5" refreshedVersion="0" background="1">
    <dbPr connection="Provider=Microsoft.Mashup.OleDb.1;Data Source=$Workbook$;Location=DateConnection;Extended Properties=&quot;&quot;" command="SELECT * FROM [DateConnection]"/>
  </connection>
  <connection id="2" xr16:uid="{CB1040FC-1CB5-4845-BDA2-5AB7D99DC35D}" keepAlive="1" name="Query - DatesWithoutHolidayMerge" description="Connection to the 'DatesWithoutHolidayMerge' query in the workbook." type="5" refreshedVersion="8" background="1" saveData="1">
    <dbPr connection="Provider=Microsoft.Mashup.OleDb.1;Data Source=$Workbook$;Location=DatesWithoutHolidayMerge;Extended Properties=&quot;&quot;" command="SELECT * FROM [DatesWithoutHolidayMerge]"/>
  </connection>
  <connection id="3" xr16:uid="{01898EF6-7534-4DFD-841D-14E9018A30E7}" keepAlive="1" name="Query - GroupByTable" description="Connection to the 'GroupByTable' query in the workbook." type="5" refreshedVersion="8" background="1" saveData="1">
    <dbPr connection="Provider=Microsoft.Mashup.OleDb.1;Data Source=$Workbook$;Location=GroupByTable;Extended Properties=&quot;&quot;" command="SELECT * FROM [GroupByTable]"/>
  </connection>
  <connection id="4" xr16:uid="{F71D8E40-70BF-4FF5-B9EA-77A8D81FA796}" keepAlive="1" name="Query - HolidayConnction" description="Connection to the 'HolidayConnction' query in the workbook." type="5" refreshedVersion="0" background="1">
    <dbPr connection="Provider=Microsoft.Mashup.OleDb.1;Data Source=$Workbook$;Location=HolidayConnction;Extended Properties=&quot;&quot;" command="SELECT * FROM [HolidayConnction]"/>
  </connection>
  <connection id="5" xr16:uid="{C5548C0C-FF76-47DB-9B5C-AF3C4F4D1339}" keepAlive="1" name="Query - SplitName_UpperCase_sheet" description="Connection to the 'SplitName_UpperCase_sheet' query in the workbook." type="5" refreshedVersion="8" background="1" saveData="1">
    <dbPr connection="Provider=Microsoft.Mashup.OleDb.1;Data Source=$Workbook$;Location=SplitName_UpperCase_sheet;Extended Properties=&quot;&quot;" command="SELECT * FROM [SplitName_UpperCase_sheet]"/>
  </connection>
  <connection id="6" xr16:uid="{0B53214D-A082-4ADD-975A-692F0D493B8C}" keepAlive="1" name="Query - UnpivotedData" description="Connection to the 'UnpivotedData' query in the workbook." type="5" refreshedVersion="8" background="1" saveData="1">
    <dbPr connection="Provider=Microsoft.Mashup.OleDb.1;Data Source=$Workbook$;Location=UnpivotedData;Extended Properties=&quot;&quot;" command="SELECT * FROM [UnpivotedData]"/>
  </connection>
</connections>
</file>

<file path=xl/sharedStrings.xml><?xml version="1.0" encoding="utf-8"?>
<sst xmlns="http://schemas.openxmlformats.org/spreadsheetml/2006/main" count="529" uniqueCount="192">
  <si>
    <t>S.N.</t>
  </si>
  <si>
    <t>NAME</t>
  </si>
  <si>
    <t>FATHER NAME</t>
  </si>
  <si>
    <t>DOB</t>
  </si>
  <si>
    <t>CLASS</t>
  </si>
  <si>
    <t>SEC</t>
  </si>
  <si>
    <t>MOBILE NO.</t>
  </si>
  <si>
    <t>sanjay</t>
  </si>
  <si>
    <t>12.07.2001</t>
  </si>
  <si>
    <r>
      <t>12</t>
    </r>
    <r>
      <rPr>
        <vertAlign val="superscript"/>
        <sz val="11"/>
        <color theme="1"/>
        <rFont val="Calibri"/>
        <family val="2"/>
        <scheme val="minor"/>
      </rPr>
      <t>TH</t>
    </r>
  </si>
  <si>
    <t>A</t>
  </si>
  <si>
    <t>89XXXX2545</t>
  </si>
  <si>
    <t>devnand</t>
  </si>
  <si>
    <t>15.03.2002</t>
  </si>
  <si>
    <t>84XXXX3545</t>
  </si>
  <si>
    <t>18.03.2005</t>
  </si>
  <si>
    <t>65XXXX4584</t>
  </si>
  <si>
    <t>kumar</t>
  </si>
  <si>
    <t>14.03.2000</t>
  </si>
  <si>
    <t>B</t>
  </si>
  <si>
    <t>65XXXX3654</t>
  </si>
  <si>
    <t>75XXXX3654</t>
  </si>
  <si>
    <t>ranjan</t>
  </si>
  <si>
    <t>10.03.2001</t>
  </si>
  <si>
    <t>85XXXX3481</t>
  </si>
  <si>
    <t>vijay</t>
  </si>
  <si>
    <t>25.03.2008</t>
  </si>
  <si>
    <t>32XXXX1015</t>
  </si>
  <si>
    <t>sanjeet</t>
  </si>
  <si>
    <t>30.01.2001</t>
  </si>
  <si>
    <t>32XXXX3525</t>
  </si>
  <si>
    <t>ranjeet</t>
  </si>
  <si>
    <t>12.05.2004</t>
  </si>
  <si>
    <t>54XXXX3658</t>
  </si>
  <si>
    <t>30.04.2001</t>
  </si>
  <si>
    <t>65XXXX3648</t>
  </si>
  <si>
    <t>VISHAL</t>
  </si>
  <si>
    <t>SANJAY</t>
  </si>
  <si>
    <t>12TH</t>
  </si>
  <si>
    <t>ROHIT</t>
  </si>
  <si>
    <t>DEVNAND</t>
  </si>
  <si>
    <t>MONU</t>
  </si>
  <si>
    <t>KUMAR</t>
  </si>
  <si>
    <t>SONU</t>
  </si>
  <si>
    <t>AJAY</t>
  </si>
  <si>
    <t>RANJAN</t>
  </si>
  <si>
    <t>RAHUL</t>
  </si>
  <si>
    <t>VIJAY</t>
  </si>
  <si>
    <t>MOHIT</t>
  </si>
  <si>
    <t>SANJEET</t>
  </si>
  <si>
    <t>RANJEET</t>
  </si>
  <si>
    <t>VIVEK</t>
  </si>
  <si>
    <t>Power Query open and Transform table itmes to UPPERCASE</t>
  </si>
  <si>
    <t>Split Column</t>
  </si>
  <si>
    <t>Vishal Kumar</t>
  </si>
  <si>
    <t>Rohit Sharma</t>
  </si>
  <si>
    <t>Arun Kumar</t>
  </si>
  <si>
    <t>Rohit Yadav</t>
  </si>
  <si>
    <t>sonu sharma</t>
  </si>
  <si>
    <t>raj sen</t>
  </si>
  <si>
    <t>Mohit Sharma</t>
  </si>
  <si>
    <t>Rahul Sharma</t>
  </si>
  <si>
    <t>Rahul Yadav</t>
  </si>
  <si>
    <t>Vishal sen</t>
  </si>
  <si>
    <t>FIRST NAME</t>
  </si>
  <si>
    <t>LAST NAME</t>
  </si>
  <si>
    <t>SHARMA</t>
  </si>
  <si>
    <t>ARUN</t>
  </si>
  <si>
    <t>YADAV</t>
  </si>
  <si>
    <t>RAJ</t>
  </si>
  <si>
    <t>SEN</t>
  </si>
  <si>
    <t>1</t>
  </si>
  <si>
    <t>12-07-2001</t>
  </si>
  <si>
    <t>2</t>
  </si>
  <si>
    <t>15-03-2002</t>
  </si>
  <si>
    <t>3</t>
  </si>
  <si>
    <t>18-03-2005</t>
  </si>
  <si>
    <t>4</t>
  </si>
  <si>
    <t>14-03-2000</t>
  </si>
  <si>
    <t>5</t>
  </si>
  <si>
    <t>6</t>
  </si>
  <si>
    <t>10-03-2001</t>
  </si>
  <si>
    <t>7</t>
  </si>
  <si>
    <t>25-03-2008</t>
  </si>
  <si>
    <t>8</t>
  </si>
  <si>
    <t>30-01-2001</t>
  </si>
  <si>
    <t>9</t>
  </si>
  <si>
    <t>12-05-2004</t>
  </si>
  <si>
    <t>10</t>
  </si>
  <si>
    <t>30-04-2001</t>
  </si>
  <si>
    <t>email</t>
  </si>
  <si>
    <t>vishalKumar@gmail.com</t>
  </si>
  <si>
    <t>rohit23Sharma@hotmail.com</t>
  </si>
  <si>
    <t>arun@yahoomail</t>
  </si>
  <si>
    <t>sonuSharma@apnabusiness.com</t>
  </si>
  <si>
    <t>yadavrohit@outlook.in</t>
  </si>
  <si>
    <t>yadavrahul@outlook.in</t>
  </si>
  <si>
    <t>raj@gov.in</t>
  </si>
  <si>
    <t>sharmaMohit123@gmail.com</t>
  </si>
  <si>
    <t>Rahul123@yahoo.com</t>
  </si>
  <si>
    <t>vishalSen@supermain.com</t>
  </si>
  <si>
    <t>EMAIL USER NAME</t>
  </si>
  <si>
    <t>DOMAIN NAME</t>
  </si>
  <si>
    <t>vishalKumar</t>
  </si>
  <si>
    <t>gmail.com</t>
  </si>
  <si>
    <t>rohit23Sharma</t>
  </si>
  <si>
    <t>hotmail.com</t>
  </si>
  <si>
    <t>arun</t>
  </si>
  <si>
    <t>yahoomail</t>
  </si>
  <si>
    <t>yadavrohit</t>
  </si>
  <si>
    <t>outlook.in</t>
  </si>
  <si>
    <t>sonuSharma</t>
  </si>
  <si>
    <t>apnabusiness.com</t>
  </si>
  <si>
    <t>raj</t>
  </si>
  <si>
    <t>gov.in</t>
  </si>
  <si>
    <t>sharmaMohit123</t>
  </si>
  <si>
    <t>Rahul123</t>
  </si>
  <si>
    <t>yahoo.com</t>
  </si>
  <si>
    <t>yadavrahul</t>
  </si>
  <si>
    <t>vishalSen</t>
  </si>
  <si>
    <t>supermain.com</t>
  </si>
  <si>
    <t>YEAR/ MODEL</t>
  </si>
  <si>
    <t>2008 abc</t>
  </si>
  <si>
    <t>2009 eb century</t>
  </si>
  <si>
    <t>2010 century</t>
  </si>
  <si>
    <t>2011 Topaz</t>
  </si>
  <si>
    <t>2012 century</t>
  </si>
  <si>
    <t>2013 PT Hybrid</t>
  </si>
  <si>
    <t xml:space="preserve">2014 Puma </t>
  </si>
  <si>
    <t>2015 Foxtron</t>
  </si>
  <si>
    <t>2016 Hundaii</t>
  </si>
  <si>
    <t>2017 Swift</t>
  </si>
  <si>
    <t>YEAR</t>
  </si>
  <si>
    <t>MODEL</t>
  </si>
  <si>
    <t>2008</t>
  </si>
  <si>
    <t xml:space="preserve"> ABC</t>
  </si>
  <si>
    <t>2009</t>
  </si>
  <si>
    <t xml:space="preserve"> EB CENTURY</t>
  </si>
  <si>
    <t>2010</t>
  </si>
  <si>
    <t xml:space="preserve"> CENTURY</t>
  </si>
  <si>
    <t>2011</t>
  </si>
  <si>
    <t xml:space="preserve"> TOPAZ</t>
  </si>
  <si>
    <t>2012</t>
  </si>
  <si>
    <t>2013</t>
  </si>
  <si>
    <t xml:space="preserve"> PT HYBRID</t>
  </si>
  <si>
    <t>2014</t>
  </si>
  <si>
    <t xml:space="preserve"> PUMA </t>
  </si>
  <si>
    <t>2015</t>
  </si>
  <si>
    <t xml:space="preserve"> FOXTRON</t>
  </si>
  <si>
    <t>2016</t>
  </si>
  <si>
    <t xml:space="preserve"> HUNDAII</t>
  </si>
  <si>
    <t>2017</t>
  </si>
  <si>
    <t xml:space="preserve"> SWIFT</t>
  </si>
  <si>
    <t>Product</t>
  </si>
  <si>
    <t>State</t>
  </si>
  <si>
    <t>Amount</t>
  </si>
  <si>
    <t>Carrot</t>
  </si>
  <si>
    <t>Rajasthan</t>
  </si>
  <si>
    <t>Broccoli</t>
  </si>
  <si>
    <t>Delhi</t>
  </si>
  <si>
    <t>Banana</t>
  </si>
  <si>
    <t>Hariyana</t>
  </si>
  <si>
    <t>Beans</t>
  </si>
  <si>
    <t>UP</t>
  </si>
  <si>
    <t>Orange</t>
  </si>
  <si>
    <t>Gujrat</t>
  </si>
  <si>
    <t>Apple</t>
  </si>
  <si>
    <t>Mango</t>
  </si>
  <si>
    <t>Total Amount</t>
  </si>
  <si>
    <t>Row Labels</t>
  </si>
  <si>
    <t>Grand Total</t>
  </si>
  <si>
    <t>Sum of Amount</t>
  </si>
  <si>
    <t>PivotTable</t>
  </si>
  <si>
    <t>SALES 2020</t>
  </si>
  <si>
    <t>JAN</t>
  </si>
  <si>
    <t>FEB</t>
  </si>
  <si>
    <t>MARCH</t>
  </si>
  <si>
    <t>APRIL</t>
  </si>
  <si>
    <t>MAY</t>
  </si>
  <si>
    <t>ANSH</t>
  </si>
  <si>
    <t>RAM</t>
  </si>
  <si>
    <t>GroupBy</t>
  </si>
  <si>
    <t>Unpivot data</t>
  </si>
  <si>
    <t>Month</t>
  </si>
  <si>
    <t>total sale by person</t>
  </si>
  <si>
    <t>total sale in month</t>
  </si>
  <si>
    <t>sum</t>
  </si>
  <si>
    <t>total</t>
  </si>
  <si>
    <t>DATE</t>
  </si>
  <si>
    <t>HOLIDAYS</t>
  </si>
  <si>
    <t>Remove holidays from date column here</t>
  </si>
  <si>
    <r>
      <t xml:space="preserve">Date and Time ( use </t>
    </r>
    <r>
      <rPr>
        <sz val="11"/>
        <color rgb="FFFF0000"/>
        <rFont val="Calibri"/>
        <family val="2"/>
        <scheme val="minor"/>
      </rPr>
      <t xml:space="preserve">Merging </t>
    </r>
    <r>
      <rPr>
        <sz val="11"/>
        <color theme="1"/>
        <rFont val="Calibri"/>
        <family val="2"/>
        <scheme val="minor"/>
      </rPr>
      <t>two tables and change</t>
    </r>
    <r>
      <rPr>
        <sz val="11"/>
        <color rgb="FFFF0000"/>
        <rFont val="Calibri"/>
        <family val="2"/>
        <scheme val="minor"/>
      </rPr>
      <t xml:space="preserve"> join kind</t>
    </r>
    <r>
      <rPr>
        <sz val="11"/>
        <color theme="1"/>
        <rFont val="Calibri"/>
        <family val="2"/>
        <scheme val="minor"/>
      </rPr>
      <t xml:space="preserve">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</si>
</sst>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0" fillId="3" borderId="1" xfId="0" applyFill="1" applyBorder="1"/>
    <xf numFmtId="0" fontId="0" fillId="0" borderId="1" xfId="0" applyBorder="1"/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3" xfId="0" applyFont="1" applyFill="1" applyBorder="1"/>
    <xf numFmtId="0" fontId="0" fillId="0" borderId="3" xfId="0" applyBorder="1"/>
    <xf numFmtId="0" fontId="0" fillId="0" borderId="0" xfId="0" applyNumberFormat="1"/>
    <xf numFmtId="14" fontId="0" fillId="0" borderId="0" xfId="0" applyNumberFormat="1"/>
    <xf numFmtId="0" fontId="4" fillId="2" borderId="0" xfId="0" applyFont="1" applyFill="1"/>
    <xf numFmtId="0" fontId="0" fillId="0" borderId="0" xfId="0" applyFill="1"/>
    <xf numFmtId="8" fontId="0" fillId="0" borderId="0" xfId="0" applyNumberFormat="1"/>
    <xf numFmtId="0" fontId="2" fillId="4" borderId="0" xfId="0" applyFont="1" applyFill="1" applyBorder="1" applyAlignment="1">
      <alignment wrapText="1"/>
    </xf>
    <xf numFmtId="0" fontId="0" fillId="5" borderId="0" xfId="0" applyFill="1" applyBorder="1" applyAlignment="1">
      <alignment wrapText="1"/>
    </xf>
    <xf numFmtId="8" fontId="0" fillId="5" borderId="0" xfId="0" applyNumberFormat="1" applyFill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applyBorder="1" applyAlignment="1">
      <alignment wrapText="1"/>
    </xf>
    <xf numFmtId="0" fontId="6" fillId="6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horizontal="right" wrapText="1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left"/>
    </xf>
    <xf numFmtId="0" fontId="7" fillId="7" borderId="0" xfId="0" applyFont="1" applyFill="1" applyBorder="1" applyAlignment="1">
      <alignment horizontal="center" wrapText="1"/>
    </xf>
    <xf numFmtId="14" fontId="0" fillId="5" borderId="0" xfId="0" applyNumberFormat="1" applyFill="1" applyBorder="1" applyAlignment="1">
      <alignment horizontal="center" wrapText="1"/>
    </xf>
    <xf numFmtId="14" fontId="0" fillId="5" borderId="0" xfId="0" applyNumberFormat="1" applyFill="1" applyBorder="1" applyAlignment="1">
      <alignment horizontal="right" wrapText="1"/>
    </xf>
    <xf numFmtId="14" fontId="0" fillId="0" borderId="0" xfId="0" applyNumberFormat="1" applyBorder="1" applyAlignment="1">
      <alignment horizontal="center" wrapText="1"/>
    </xf>
    <xf numFmtId="14" fontId="0" fillId="0" borderId="0" xfId="0" applyNumberFormat="1" applyBorder="1" applyAlignment="1">
      <alignment horizontal="right" wrapText="1"/>
    </xf>
  </cellXfs>
  <cellStyles count="1">
    <cellStyle name="Normal" xfId="0" builtinId="0"/>
  </cellStyles>
  <dxfs count="44">
    <dxf>
      <numFmt numFmtId="19" formatCode="dd/mm/yyyy"/>
    </dxf>
    <dxf>
      <numFmt numFmtId="19" formatCode="dd/mm/yyyy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2" formatCode="&quot;₹&quot;\ #,##0.00;[Red]&quot;₹&quot;\ \-#,##0.00"/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5B9BD5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5806.071032870372" createdVersion="8" refreshedVersion="8" minRefreshableVersion="3" recordCount="42" xr:uid="{D1692155-978A-4586-9A90-8BC8B36AB593}">
  <cacheSource type="worksheet">
    <worksheetSource name="Table5"/>
  </cacheSource>
  <cacheFields count="3">
    <cacheField name="Product" numFmtId="0">
      <sharedItems count="7">
        <s v="Carrot"/>
        <s v="Broccoli"/>
        <s v="Banana"/>
        <s v="Beans"/>
        <s v="Orange"/>
        <s v="Apple"/>
        <s v="Mango"/>
      </sharedItems>
    </cacheField>
    <cacheField name="State" numFmtId="0">
      <sharedItems count="5">
        <s v="Rajasthan"/>
        <s v="Delhi"/>
        <s v="Hariyana"/>
        <s v="UP"/>
        <s v="Gujrat"/>
      </sharedItems>
    </cacheField>
    <cacheField name="Amount" numFmtId="8">
      <sharedItems containsSemiMixedTypes="0" containsString="0" containsNumber="1" containsInteger="1" minValue="25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5806.083663773148" createdVersion="8" refreshedVersion="8" minRefreshableVersion="3" recordCount="45" xr:uid="{513BE4F5-B388-4262-AF8C-A8D593F57306}">
  <cacheSource type="worksheet">
    <worksheetSource name="UnpivotedData"/>
  </cacheSource>
  <cacheFields count="3">
    <cacheField name="NAME" numFmtId="0">
      <sharedItems count="9">
        <s v="VISHAL"/>
        <s v="VIVEK"/>
        <s v="RAHUL"/>
        <s v="MONU"/>
        <s v="SONU"/>
        <s v="AJAY"/>
        <s v="ANSH"/>
        <s v="ROHIT"/>
        <s v="RAM"/>
      </sharedItems>
    </cacheField>
    <cacheField name="Month" numFmtId="0">
      <sharedItems count="5">
        <s v="JAN"/>
        <s v="FEB"/>
        <s v="MARCH"/>
        <s v="APRIL"/>
        <s v="MAY"/>
      </sharedItems>
    </cacheField>
    <cacheField name="Amount" numFmtId="0">
      <sharedItems containsSemiMixedTypes="0" containsString="0" containsNumber="1" containsInteger="1" minValue="1200" maxValue="13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n v="5200"/>
  </r>
  <r>
    <x v="1"/>
    <x v="1"/>
    <n v="8500"/>
  </r>
  <r>
    <x v="2"/>
    <x v="2"/>
    <n v="6500"/>
  </r>
  <r>
    <x v="3"/>
    <x v="3"/>
    <n v="7000"/>
  </r>
  <r>
    <x v="4"/>
    <x v="4"/>
    <n v="9540"/>
  </r>
  <r>
    <x v="1"/>
    <x v="1"/>
    <n v="6510"/>
  </r>
  <r>
    <x v="2"/>
    <x v="4"/>
    <n v="3560"/>
  </r>
  <r>
    <x v="5"/>
    <x v="2"/>
    <n v="10000"/>
  </r>
  <r>
    <x v="5"/>
    <x v="0"/>
    <n v="3600"/>
  </r>
  <r>
    <x v="6"/>
    <x v="0"/>
    <n v="4511"/>
  </r>
  <r>
    <x v="2"/>
    <x v="4"/>
    <n v="3250"/>
  </r>
  <r>
    <x v="3"/>
    <x v="4"/>
    <n v="5200"/>
  </r>
  <r>
    <x v="1"/>
    <x v="4"/>
    <n v="3500"/>
  </r>
  <r>
    <x v="4"/>
    <x v="1"/>
    <n v="3600"/>
  </r>
  <r>
    <x v="6"/>
    <x v="3"/>
    <n v="2500"/>
  </r>
  <r>
    <x v="2"/>
    <x v="3"/>
    <n v="4520"/>
  </r>
  <r>
    <x v="0"/>
    <x v="0"/>
    <n v="3500"/>
  </r>
  <r>
    <x v="0"/>
    <x v="0"/>
    <n v="6350"/>
  </r>
  <r>
    <x v="3"/>
    <x v="0"/>
    <n v="4570"/>
  </r>
  <r>
    <x v="5"/>
    <x v="3"/>
    <n v="3650"/>
  </r>
  <r>
    <x v="5"/>
    <x v="2"/>
    <n v="3500"/>
  </r>
  <r>
    <x v="6"/>
    <x v="4"/>
    <n v="3450"/>
  </r>
  <r>
    <x v="4"/>
    <x v="2"/>
    <n v="7800"/>
  </r>
  <r>
    <x v="5"/>
    <x v="3"/>
    <n v="9800"/>
  </r>
  <r>
    <x v="0"/>
    <x v="0"/>
    <n v="3500"/>
  </r>
  <r>
    <x v="5"/>
    <x v="1"/>
    <n v="6950"/>
  </r>
  <r>
    <x v="6"/>
    <x v="0"/>
    <n v="3600"/>
  </r>
  <r>
    <x v="4"/>
    <x v="4"/>
    <n v="3650"/>
  </r>
  <r>
    <x v="6"/>
    <x v="3"/>
    <n v="800"/>
  </r>
  <r>
    <x v="5"/>
    <x v="3"/>
    <n v="3600"/>
  </r>
  <r>
    <x v="5"/>
    <x v="3"/>
    <n v="950"/>
  </r>
  <r>
    <x v="5"/>
    <x v="2"/>
    <n v="650"/>
  </r>
  <r>
    <x v="5"/>
    <x v="4"/>
    <n v="250"/>
  </r>
  <r>
    <x v="3"/>
    <x v="2"/>
    <n v="3650"/>
  </r>
  <r>
    <x v="3"/>
    <x v="4"/>
    <n v="3640"/>
  </r>
  <r>
    <x v="3"/>
    <x v="0"/>
    <n v="6500"/>
  </r>
  <r>
    <x v="1"/>
    <x v="1"/>
    <n v="7500"/>
  </r>
  <r>
    <x v="4"/>
    <x v="2"/>
    <n v="9500"/>
  </r>
  <r>
    <x v="4"/>
    <x v="2"/>
    <n v="3560"/>
  </r>
  <r>
    <x v="5"/>
    <x v="0"/>
    <n v="4580"/>
  </r>
  <r>
    <x v="6"/>
    <x v="1"/>
    <n v="6500"/>
  </r>
  <r>
    <x v="6"/>
    <x v="1"/>
    <n v="78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10000"/>
  </r>
  <r>
    <x v="0"/>
    <x v="1"/>
    <n v="9800"/>
  </r>
  <r>
    <x v="0"/>
    <x v="2"/>
    <n v="6500"/>
  </r>
  <r>
    <x v="0"/>
    <x v="3"/>
    <n v="3200"/>
  </r>
  <r>
    <x v="0"/>
    <x v="4"/>
    <n v="4500"/>
  </r>
  <r>
    <x v="1"/>
    <x v="0"/>
    <n v="8500"/>
  </r>
  <r>
    <x v="1"/>
    <x v="1"/>
    <n v="4600"/>
  </r>
  <r>
    <x v="1"/>
    <x v="2"/>
    <n v="9000"/>
  </r>
  <r>
    <x v="1"/>
    <x v="3"/>
    <n v="13400"/>
  </r>
  <r>
    <x v="1"/>
    <x v="4"/>
    <n v="3600"/>
  </r>
  <r>
    <x v="2"/>
    <x v="0"/>
    <n v="6000"/>
  </r>
  <r>
    <x v="2"/>
    <x v="1"/>
    <n v="7500"/>
  </r>
  <r>
    <x v="2"/>
    <x v="2"/>
    <n v="6300"/>
  </r>
  <r>
    <x v="2"/>
    <x v="3"/>
    <n v="3600"/>
  </r>
  <r>
    <x v="2"/>
    <x v="4"/>
    <n v="4500"/>
  </r>
  <r>
    <x v="3"/>
    <x v="0"/>
    <n v="5500"/>
  </r>
  <r>
    <x v="3"/>
    <x v="1"/>
    <n v="6300"/>
  </r>
  <r>
    <x v="3"/>
    <x v="2"/>
    <n v="6500"/>
  </r>
  <r>
    <x v="3"/>
    <x v="3"/>
    <n v="3800"/>
  </r>
  <r>
    <x v="3"/>
    <x v="4"/>
    <n v="3500"/>
  </r>
  <r>
    <x v="4"/>
    <x v="0"/>
    <n v="7000"/>
  </r>
  <r>
    <x v="4"/>
    <x v="1"/>
    <n v="2500"/>
  </r>
  <r>
    <x v="4"/>
    <x v="2"/>
    <n v="7500"/>
  </r>
  <r>
    <x v="4"/>
    <x v="3"/>
    <n v="4000"/>
  </r>
  <r>
    <x v="4"/>
    <x v="4"/>
    <n v="4500"/>
  </r>
  <r>
    <x v="5"/>
    <x v="0"/>
    <n v="7500"/>
  </r>
  <r>
    <x v="5"/>
    <x v="1"/>
    <n v="3600"/>
  </r>
  <r>
    <x v="5"/>
    <x v="2"/>
    <n v="8500"/>
  </r>
  <r>
    <x v="5"/>
    <x v="3"/>
    <n v="4200"/>
  </r>
  <r>
    <x v="5"/>
    <x v="4"/>
    <n v="6500"/>
  </r>
  <r>
    <x v="6"/>
    <x v="0"/>
    <n v="9000"/>
  </r>
  <r>
    <x v="6"/>
    <x v="1"/>
    <n v="4500"/>
  </r>
  <r>
    <x v="6"/>
    <x v="2"/>
    <n v="1580"/>
  </r>
  <r>
    <x v="6"/>
    <x v="3"/>
    <n v="6500"/>
  </r>
  <r>
    <x v="6"/>
    <x v="4"/>
    <n v="8500"/>
  </r>
  <r>
    <x v="7"/>
    <x v="0"/>
    <n v="10000"/>
  </r>
  <r>
    <x v="7"/>
    <x v="1"/>
    <n v="3520"/>
  </r>
  <r>
    <x v="7"/>
    <x v="2"/>
    <n v="1500"/>
  </r>
  <r>
    <x v="7"/>
    <x v="3"/>
    <n v="6200"/>
  </r>
  <r>
    <x v="7"/>
    <x v="4"/>
    <n v="6300"/>
  </r>
  <r>
    <x v="8"/>
    <x v="0"/>
    <n v="4000"/>
  </r>
  <r>
    <x v="8"/>
    <x v="1"/>
    <n v="4500"/>
  </r>
  <r>
    <x v="8"/>
    <x v="2"/>
    <n v="1200"/>
  </r>
  <r>
    <x v="8"/>
    <x v="3"/>
    <n v="3600"/>
  </r>
  <r>
    <x v="8"/>
    <x v="4"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CBEF1-F871-4E1E-A149-28F2402C8806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7:K13" firstHeaderRow="1" firstDataRow="1" firstDataCol="1"/>
  <pivotFields count="3">
    <pivotField showAll="0">
      <items count="10">
        <item x="5"/>
        <item x="6"/>
        <item x="3"/>
        <item x="2"/>
        <item x="8"/>
        <item x="7"/>
        <item x="4"/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FB2FA-CDBA-4227-BA51-338FC22517F2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:H17" firstHeaderRow="1" firstDataRow="1" firstDataCol="1"/>
  <pivotFields count="3">
    <pivotField axis="axisRow" showAll="0">
      <items count="10">
        <item x="5"/>
        <item x="6"/>
        <item x="3"/>
        <item x="2"/>
        <item x="8"/>
        <item x="7"/>
        <item x="4"/>
        <item x="0"/>
        <item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5883A-2839-4BE1-B79C-6C962B81D83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39" firstHeaderRow="1" firstDataRow="1" firstDataCol="1"/>
  <pivotFields count="3"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Row" showAll="0">
      <items count="6">
        <item x="1"/>
        <item x="4"/>
        <item x="2"/>
        <item x="0"/>
        <item x="3"/>
        <item t="default"/>
      </items>
    </pivotField>
    <pivotField dataField="1" numFmtId="8" showAll="0"/>
  </pivotFields>
  <rowFields count="2">
    <field x="1"/>
    <field x="0"/>
  </rowFields>
  <rowItems count="28">
    <i>
      <x/>
    </i>
    <i r="1">
      <x/>
    </i>
    <i r="1">
      <x v="3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5"/>
    </i>
    <i r="1">
      <x v="6"/>
    </i>
    <i>
      <x v="2"/>
    </i>
    <i r="1">
      <x/>
    </i>
    <i r="1">
      <x v="1"/>
    </i>
    <i r="1">
      <x v="2"/>
    </i>
    <i r="1">
      <x v="6"/>
    </i>
    <i>
      <x v="3"/>
    </i>
    <i r="1">
      <x/>
    </i>
    <i r="1">
      <x v="2"/>
    </i>
    <i r="1">
      <x v="4"/>
    </i>
    <i r="1">
      <x v="5"/>
    </i>
    <i>
      <x v="4"/>
    </i>
    <i r="1">
      <x/>
    </i>
    <i r="1">
      <x v="1"/>
    </i>
    <i r="1">
      <x v="2"/>
    </i>
    <i r="1">
      <x v="5"/>
    </i>
    <i t="grand">
      <x/>
    </i>
  </rowItems>
  <colItems count="1">
    <i/>
  </colItems>
  <dataFields count="1">
    <dataField name="Sum of Amount" fld="2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D179B9E-10C7-48A7-BC6B-07313ABD5147}" autoFormatId="16" applyNumberFormats="0" applyBorderFormats="0" applyFontFormats="0" applyPatternFormats="0" applyAlignmentFormats="0" applyWidthHeightFormats="0">
  <queryTableRefresh nextId="16">
    <queryTableFields count="12">
      <queryTableField id="1" name="S.N." tableColumnId="1"/>
      <queryTableField id="2" name="FIRST NAME" tableColumnId="2"/>
      <queryTableField id="3" name="LAST NAME" tableColumnId="3"/>
      <queryTableField id="4" name="FATHER NAME" tableColumnId="4"/>
      <queryTableField id="5" name="DOB" tableColumnId="5"/>
      <queryTableField id="6" name="CLASS" tableColumnId="6"/>
      <queryTableField id="7" name="SEC" tableColumnId="7"/>
      <queryTableField id="8" name="MOBILE NO." tableColumnId="8"/>
      <queryTableField id="10" name="EMAIL USER NAME" tableColumnId="10"/>
      <queryTableField id="11" name="DOMAIN NAME" tableColumnId="11"/>
      <queryTableField id="14" name="YEAR" tableColumnId="14"/>
      <queryTableField id="15" name="MODEL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7A59DCD-BEB6-4B43-8337-667721FE56EB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Month" tableColumnId="2"/>
      <queryTableField id="3" name="Am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F538567-C4EB-42E7-B1D6-AD1E054419A1}" autoFormatId="16" applyNumberFormats="0" applyBorderFormats="0" applyFontFormats="0" applyPatternFormats="0" applyAlignmentFormats="0" applyWidthHeightFormats="0">
  <queryTableRefresh nextId="6">
    <queryTableFields count="3">
      <queryTableField id="4" name="Product" tableColumnId="4"/>
      <queryTableField id="2" name="State" tableColumnId="2"/>
      <queryTableField id="3" name="Total Am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89833FE-4087-4FCD-BF80-5E92F87C59C3}" autoFormatId="16" applyNumberFormats="0" applyBorderFormats="0" applyFontFormats="0" applyPatternFormats="0" applyAlignmentFormats="0" applyWidthHeightFormats="0">
  <queryTableRefresh nextId="2">
    <queryTableFields count="1">
      <queryTableField id="1" name="DAT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2912A8-5687-4EBF-BD3B-180035671F54}" name="SplitName_UpperCase_sheet" displayName="SplitName_UpperCase_sheet" ref="A1:L11" tableType="queryTable" totalsRowShown="0">
  <autoFilter ref="A1:L11" xr:uid="{472912A8-5687-4EBF-BD3B-180035671F54}"/>
  <tableColumns count="12">
    <tableColumn id="1" xr3:uid="{08D87E19-AFEF-439F-8C3B-2E04A4D09A4B}" uniqueName="1" name="S.N." queryTableFieldId="1" dataDxfId="32"/>
    <tableColumn id="2" xr3:uid="{3F98087C-A021-4FE2-B7AB-A5D46C726B2F}" uniqueName="2" name="FIRST NAME" queryTableFieldId="2" dataDxfId="31"/>
    <tableColumn id="3" xr3:uid="{3CBB1A87-4EC3-41E0-B8EE-AE443684868E}" uniqueName="3" name="LAST NAME" queryTableFieldId="3" dataDxfId="30"/>
    <tableColumn id="4" xr3:uid="{BFE2E8D7-0B6B-4B92-83D6-DDC3D6FF848E}" uniqueName="4" name="FATHER NAME" queryTableFieldId="4" dataDxfId="29"/>
    <tableColumn id="5" xr3:uid="{3535EF45-69EE-4680-AB87-48CC8DE24DBB}" uniqueName="5" name="DOB" queryTableFieldId="5" dataDxfId="28"/>
    <tableColumn id="6" xr3:uid="{A2C41B7E-C21F-464D-A398-D6B7EB21FFA8}" uniqueName="6" name="CLASS" queryTableFieldId="6" dataDxfId="27"/>
    <tableColumn id="7" xr3:uid="{2C6114FF-2385-400A-AB32-34C03223DCC5}" uniqueName="7" name="SEC" queryTableFieldId="7" dataDxfId="26"/>
    <tableColumn id="8" xr3:uid="{9627A096-9E10-4856-9CC7-752B098BD4EB}" uniqueName="8" name="MOBILE NO." queryTableFieldId="8" dataDxfId="25"/>
    <tableColumn id="10" xr3:uid="{89434851-1676-44E5-A471-61B5D542A136}" uniqueName="10" name="EMAIL USER NAME" queryTableFieldId="10" dataDxfId="24"/>
    <tableColumn id="11" xr3:uid="{F2FC01BC-C540-4BBF-AC83-58ACCFD79E77}" uniqueName="11" name="DOMAIN NAME" queryTableFieldId="11" dataDxfId="23"/>
    <tableColumn id="14" xr3:uid="{89251BCE-97A3-4174-B0F3-C56C94D919AE}" uniqueName="14" name="YEAR" queryTableFieldId="14" dataDxfId="22"/>
    <tableColumn id="15" xr3:uid="{8B8C3976-0B38-44F7-8393-FF56E41F59B9}" uniqueName="15" name="MODEL" queryTableFieldId="15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73743-903A-4AD6-946B-D3ABAAA117D1}" name="Table1" displayName="Table1" ref="A1:I11" totalsRowShown="0" headerRowDxfId="35" tableBorderDxfId="43">
  <autoFilter ref="A1:I11" xr:uid="{9BF73743-903A-4AD6-946B-D3ABAAA117D1}"/>
  <tableColumns count="9">
    <tableColumn id="1" xr3:uid="{9B55BF73-7540-4751-BAAB-055DBE3BFAAA}" name="S.N." dataDxfId="42"/>
    <tableColumn id="2" xr3:uid="{F710A8CD-35F1-461A-B372-6E56FA7CFBD0}" name="NAME" dataDxfId="41"/>
    <tableColumn id="3" xr3:uid="{77B231C9-24D2-4896-A7D4-976A4F1A06DF}" name="FATHER NAME" dataDxfId="40"/>
    <tableColumn id="4" xr3:uid="{92C42D49-8C62-4F4C-8CF2-6E17567DCBFE}" name="DOB" dataDxfId="39"/>
    <tableColumn id="5" xr3:uid="{B833C4AD-76A8-4495-A133-CC32EA112D8D}" name="CLASS" dataDxfId="38"/>
    <tableColumn id="6" xr3:uid="{661ABA3F-E913-4915-B5F4-8D08389D9E5B}" name="SEC" dataDxfId="37"/>
    <tableColumn id="7" xr3:uid="{B2477404-C6E1-43DA-81B2-C15656144131}" name="MOBILE NO." dataDxfId="36"/>
    <tableColumn id="8" xr3:uid="{4EB720F9-11AC-4EE3-97AD-B9D68116874F}" name="email" dataDxfId="34"/>
    <tableColumn id="9" xr3:uid="{66835013-D043-49A5-A0C8-F39F8E9B262F}" name="YEAR/ MODEL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84D793-1636-4093-9264-40EF96F05262}" name="UnpivotedData" displayName="UnpivotedData" ref="A1:C46" tableType="queryTable" totalsRowShown="0">
  <autoFilter ref="A1:C46" xr:uid="{EA84D793-1636-4093-9264-40EF96F05262}"/>
  <tableColumns count="3">
    <tableColumn id="1" xr3:uid="{5795CF8F-EDAA-4FA0-AAE5-5BC234AA7D8F}" uniqueName="1" name="NAME" queryTableFieldId="1" dataDxfId="6"/>
    <tableColumn id="2" xr3:uid="{C4B27AF8-9C46-487E-8F1D-8587F7A2D552}" uniqueName="2" name="Month" queryTableFieldId="2" dataDxfId="5"/>
    <tableColumn id="3" xr3:uid="{070B3BAF-55FC-49C4-B0C1-5F0BE37A49D5}" uniqueName="3" name="Am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94062D-A1BE-4DCD-936F-49DA71A2D662}" name="Table7" displayName="Table7" ref="B7:G16" totalsRowShown="0" headerRowDxfId="7" dataDxfId="8">
  <autoFilter ref="B7:G16" xr:uid="{6994062D-A1BE-4DCD-936F-49DA71A2D662}"/>
  <tableColumns count="6">
    <tableColumn id="1" xr3:uid="{7A1E7B1B-AC05-46B8-85F7-14573FFF8FBF}" name="NAME" dataDxfId="14"/>
    <tableColumn id="2" xr3:uid="{F7351536-A8B6-4CB3-8BEF-BB0AB8C9AA3A}" name="JAN" dataDxfId="13"/>
    <tableColumn id="3" xr3:uid="{3C21D270-C333-4A29-870D-8902797F8CB9}" name="FEB" dataDxfId="12"/>
    <tableColumn id="4" xr3:uid="{D35D9A7A-E0BB-4D46-B6D1-C54D49482ACD}" name="MARCH" dataDxfId="11"/>
    <tableColumn id="5" xr3:uid="{B6304B87-84C5-4B87-AB9B-9FC63C9C2292}" name="APRIL" dataDxfId="10"/>
    <tableColumn id="6" xr3:uid="{DCA3AEC2-D1F7-4624-8855-E7100D74FDF4}" name="MAY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B5492A-5A45-49AD-B805-7115B907B265}" name="GroupByTable" displayName="GroupByTable" ref="A1:C23" tableType="queryTable" totalsRowShown="0">
  <autoFilter ref="A1:C23" xr:uid="{B6B5492A-5A45-49AD-B805-7115B907B265}"/>
  <tableColumns count="3">
    <tableColumn id="4" xr3:uid="{F479C07B-E33E-4C53-BF0A-5D595E3CCD17}" uniqueName="4" name="Product" queryTableFieldId="4" dataDxfId="16"/>
    <tableColumn id="2" xr3:uid="{30F2C164-1D9F-4FA3-92BB-A0AFA77927D4}" uniqueName="2" name="State" queryTableFieldId="2" dataDxfId="15"/>
    <tableColumn id="3" xr3:uid="{E8EED9F8-9D12-47FF-8906-60744535F620}" uniqueName="3" name="Total Amount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640CA6-96A7-4809-9EAA-5C97AC535F49}" name="Table5" displayName="Table5" ref="A1:C43" totalsRowShown="0" headerRowDxfId="20">
  <autoFilter ref="A1:C43" xr:uid="{F2640CA6-96A7-4809-9EAA-5C97AC535F49}"/>
  <tableColumns count="3">
    <tableColumn id="1" xr3:uid="{3491185D-A829-4279-AAB9-E19F7144B11E}" name="Product" dataDxfId="19"/>
    <tableColumn id="2" xr3:uid="{198E11AB-385E-4ABB-9588-100A2E55EE2F}" name="State" dataDxfId="18"/>
    <tableColumn id="3" xr3:uid="{78E9F36E-83E9-49CA-A4B6-5BEB9B9A1B6A}" name="Amount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47388C-7245-4C63-A1A7-D3E3CBCA32A6}" name="Table9" displayName="Table9" ref="A1:A31" totalsRowShown="0" headerRowDxfId="3" dataDxfId="4">
  <autoFilter ref="A1:A31" xr:uid="{F647388C-7245-4C63-A1A7-D3E3CBCA32A6}"/>
  <tableColumns count="1">
    <tableColumn id="1" xr3:uid="{5585B0E2-A22A-4C37-A647-2AB163E1A238}" name="DATE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AE95D6-4977-4802-BC40-D9C4FBE57F9F}" name="Table10" displayName="Table10" ref="C1:C6" totalsRowShown="0" headerRowDxfId="2">
  <autoFilter ref="C1:C6" xr:uid="{B0AE95D6-4977-4802-BC40-D9C4FBE57F9F}"/>
  <tableColumns count="1">
    <tableColumn id="1" xr3:uid="{8FB084C8-9E0F-4502-A96F-B8C82CC41163}" name="HOLIDAY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93F4D1-689F-4F48-B826-FC3F865FD361}" name="DatesWithoutHolidayMerge" displayName="DatesWithoutHolidayMerge" ref="F6:F31" tableType="queryTable" totalsRowShown="0">
  <autoFilter ref="F6:F31" xr:uid="{0093F4D1-689F-4F48-B826-FC3F865FD361}"/>
  <tableColumns count="1">
    <tableColumn id="1" xr3:uid="{AA77CA82-7E02-47D4-B13F-DC786366AECB}" uniqueName="1" name="DATE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FA33-456F-4627-BD0C-9C2BBF80F301}">
  <sheetPr>
    <tabColor rgb="FFFFFF00"/>
  </sheetPr>
  <dimension ref="A3:B14"/>
  <sheetViews>
    <sheetView workbookViewId="0">
      <selection activeCell="B9" sqref="B9"/>
    </sheetView>
  </sheetViews>
  <sheetFormatPr defaultRowHeight="14.4" x14ac:dyDescent="0.3"/>
  <cols>
    <col min="2" max="2" width="51.21875" bestFit="1" customWidth="1"/>
  </cols>
  <sheetData>
    <row r="3" spans="1:2" x14ac:dyDescent="0.3">
      <c r="A3">
        <v>1</v>
      </c>
      <c r="B3" t="s">
        <v>52</v>
      </c>
    </row>
    <row r="4" spans="1:2" x14ac:dyDescent="0.3">
      <c r="A4" s="1">
        <v>2</v>
      </c>
      <c r="B4" t="s">
        <v>53</v>
      </c>
    </row>
    <row r="5" spans="1:2" x14ac:dyDescent="0.3">
      <c r="A5" s="1">
        <v>3</v>
      </c>
      <c r="B5" t="s">
        <v>181</v>
      </c>
    </row>
    <row r="6" spans="1:2" x14ac:dyDescent="0.3">
      <c r="A6" s="1">
        <v>4</v>
      </c>
      <c r="B6" t="s">
        <v>182</v>
      </c>
    </row>
    <row r="7" spans="1:2" x14ac:dyDescent="0.3">
      <c r="A7" s="1">
        <v>5</v>
      </c>
      <c r="B7" t="s">
        <v>191</v>
      </c>
    </row>
    <row r="8" spans="1:2" x14ac:dyDescent="0.3">
      <c r="A8" s="1">
        <v>6</v>
      </c>
    </row>
    <row r="9" spans="1:2" x14ac:dyDescent="0.3">
      <c r="A9" s="1">
        <v>7</v>
      </c>
    </row>
    <row r="10" spans="1:2" x14ac:dyDescent="0.3">
      <c r="A10" s="1">
        <v>8</v>
      </c>
    </row>
    <row r="11" spans="1:2" x14ac:dyDescent="0.3">
      <c r="A11" s="1">
        <v>9</v>
      </c>
    </row>
    <row r="12" spans="1:2" x14ac:dyDescent="0.3">
      <c r="A12" s="1">
        <v>10</v>
      </c>
    </row>
    <row r="13" spans="1:2" x14ac:dyDescent="0.3">
      <c r="A13" s="1">
        <v>11</v>
      </c>
    </row>
    <row r="14" spans="1:2" x14ac:dyDescent="0.3">
      <c r="A14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AA41-E7B3-4E1E-829D-2C9E30F9B646}">
  <dimension ref="A1:N11"/>
  <sheetViews>
    <sheetView workbookViewId="0">
      <selection activeCell="H24" sqref="H24"/>
    </sheetView>
  </sheetViews>
  <sheetFormatPr defaultRowHeight="14.4" x14ac:dyDescent="0.3"/>
  <cols>
    <col min="1" max="1" width="6.6640625" bestFit="1" customWidth="1"/>
    <col min="2" max="2" width="13.5546875" bestFit="1" customWidth="1"/>
    <col min="3" max="3" width="13.109375" bestFit="1" customWidth="1"/>
    <col min="4" max="4" width="15.5546875" bestFit="1" customWidth="1"/>
    <col min="5" max="5" width="10.33203125" bestFit="1" customWidth="1"/>
    <col min="6" max="6" width="8.44140625" bestFit="1" customWidth="1"/>
    <col min="7" max="7" width="6.33203125" bestFit="1" customWidth="1"/>
    <col min="8" max="8" width="13.5546875" bestFit="1" customWidth="1"/>
    <col min="9" max="9" width="19.5546875" style="1" bestFit="1" customWidth="1"/>
    <col min="10" max="10" width="16.5546875" style="1" bestFit="1" customWidth="1"/>
    <col min="11" max="11" width="7.5546875" style="1" bestFit="1" customWidth="1"/>
    <col min="12" max="12" width="11.88671875" style="1" bestFit="1" customWidth="1"/>
    <col min="13" max="13" width="15.109375" style="1" bestFit="1" customWidth="1"/>
    <col min="14" max="14" width="28.109375" style="1" bestFit="1" customWidth="1"/>
  </cols>
  <sheetData>
    <row r="1" spans="1:14" x14ac:dyDescent="0.3">
      <c r="A1" t="s">
        <v>0</v>
      </c>
      <c r="B1" t="s">
        <v>64</v>
      </c>
      <c r="C1" t="s">
        <v>65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101</v>
      </c>
      <c r="J1" t="s">
        <v>102</v>
      </c>
      <c r="K1" t="s">
        <v>132</v>
      </c>
      <c r="L1" t="s">
        <v>133</v>
      </c>
      <c r="M1"/>
      <c r="N1"/>
    </row>
    <row r="2" spans="1:14" x14ac:dyDescent="0.3">
      <c r="A2" s="9" t="s">
        <v>71</v>
      </c>
      <c r="B2" s="9" t="s">
        <v>36</v>
      </c>
      <c r="C2" s="9" t="s">
        <v>42</v>
      </c>
      <c r="D2" s="9" t="s">
        <v>37</v>
      </c>
      <c r="E2" s="9" t="s">
        <v>72</v>
      </c>
      <c r="F2" s="9" t="s">
        <v>38</v>
      </c>
      <c r="G2" s="9" t="s">
        <v>10</v>
      </c>
      <c r="H2" s="9" t="s">
        <v>11</v>
      </c>
      <c r="I2" s="9" t="s">
        <v>103</v>
      </c>
      <c r="J2" s="9" t="s">
        <v>104</v>
      </c>
      <c r="K2" s="9" t="s">
        <v>134</v>
      </c>
      <c r="L2" s="9" t="s">
        <v>135</v>
      </c>
      <c r="M2"/>
      <c r="N2"/>
    </row>
    <row r="3" spans="1:14" x14ac:dyDescent="0.3">
      <c r="A3" s="9" t="s">
        <v>73</v>
      </c>
      <c r="B3" s="9" t="s">
        <v>39</v>
      </c>
      <c r="C3" s="9" t="s">
        <v>66</v>
      </c>
      <c r="D3" s="9" t="s">
        <v>40</v>
      </c>
      <c r="E3" s="9" t="s">
        <v>74</v>
      </c>
      <c r="F3" s="9" t="s">
        <v>38</v>
      </c>
      <c r="G3" s="9" t="s">
        <v>10</v>
      </c>
      <c r="H3" s="9" t="s">
        <v>14</v>
      </c>
      <c r="I3" s="9" t="s">
        <v>105</v>
      </c>
      <c r="J3" s="9" t="s">
        <v>106</v>
      </c>
      <c r="K3" s="9" t="s">
        <v>136</v>
      </c>
      <c r="L3" s="9" t="s">
        <v>137</v>
      </c>
      <c r="M3"/>
      <c r="N3"/>
    </row>
    <row r="4" spans="1:14" x14ac:dyDescent="0.3">
      <c r="A4" s="9" t="s">
        <v>75</v>
      </c>
      <c r="B4" s="9" t="s">
        <v>67</v>
      </c>
      <c r="C4" s="9" t="s">
        <v>42</v>
      </c>
      <c r="D4" s="9" t="s">
        <v>37</v>
      </c>
      <c r="E4" s="9" t="s">
        <v>76</v>
      </c>
      <c r="F4" s="9" t="s">
        <v>38</v>
      </c>
      <c r="G4" s="9" t="s">
        <v>10</v>
      </c>
      <c r="H4" s="9" t="s">
        <v>16</v>
      </c>
      <c r="I4" s="9" t="s">
        <v>107</v>
      </c>
      <c r="J4" s="9" t="s">
        <v>108</v>
      </c>
      <c r="K4" s="9" t="s">
        <v>138</v>
      </c>
      <c r="L4" s="9" t="s">
        <v>139</v>
      </c>
      <c r="M4"/>
      <c r="N4"/>
    </row>
    <row r="5" spans="1:14" x14ac:dyDescent="0.3">
      <c r="A5" s="9" t="s">
        <v>77</v>
      </c>
      <c r="B5" s="9" t="s">
        <v>39</v>
      </c>
      <c r="C5" s="9" t="s">
        <v>68</v>
      </c>
      <c r="D5" s="9" t="s">
        <v>42</v>
      </c>
      <c r="E5" s="9" t="s">
        <v>78</v>
      </c>
      <c r="F5" s="9" t="s">
        <v>38</v>
      </c>
      <c r="G5" s="9" t="s">
        <v>19</v>
      </c>
      <c r="H5" s="9" t="s">
        <v>20</v>
      </c>
      <c r="I5" s="9" t="s">
        <v>109</v>
      </c>
      <c r="J5" s="9" t="s">
        <v>110</v>
      </c>
      <c r="K5" s="9" t="s">
        <v>140</v>
      </c>
      <c r="L5" s="9" t="s">
        <v>141</v>
      </c>
      <c r="M5"/>
      <c r="N5"/>
    </row>
    <row r="6" spans="1:14" x14ac:dyDescent="0.3">
      <c r="A6" s="9" t="s">
        <v>79</v>
      </c>
      <c r="B6" s="9" t="s">
        <v>43</v>
      </c>
      <c r="C6" s="9" t="s">
        <v>66</v>
      </c>
      <c r="D6" s="9" t="s">
        <v>42</v>
      </c>
      <c r="E6" s="9" t="s">
        <v>76</v>
      </c>
      <c r="F6" s="9" t="s">
        <v>38</v>
      </c>
      <c r="G6" s="9" t="s">
        <v>19</v>
      </c>
      <c r="H6" s="9" t="s">
        <v>21</v>
      </c>
      <c r="I6" s="9" t="s">
        <v>111</v>
      </c>
      <c r="J6" s="9" t="s">
        <v>112</v>
      </c>
      <c r="K6" s="9" t="s">
        <v>142</v>
      </c>
      <c r="L6" s="9" t="s">
        <v>139</v>
      </c>
      <c r="M6"/>
      <c r="N6"/>
    </row>
    <row r="7" spans="1:14" x14ac:dyDescent="0.3">
      <c r="A7" s="9" t="s">
        <v>80</v>
      </c>
      <c r="B7" s="9" t="s">
        <v>69</v>
      </c>
      <c r="C7" s="9" t="s">
        <v>70</v>
      </c>
      <c r="D7" s="9" t="s">
        <v>45</v>
      </c>
      <c r="E7" s="9" t="s">
        <v>81</v>
      </c>
      <c r="F7" s="9" t="s">
        <v>38</v>
      </c>
      <c r="G7" s="9" t="s">
        <v>10</v>
      </c>
      <c r="H7" s="9" t="s">
        <v>24</v>
      </c>
      <c r="I7" s="9" t="s">
        <v>113</v>
      </c>
      <c r="J7" s="9" t="s">
        <v>114</v>
      </c>
      <c r="K7" s="9" t="s">
        <v>143</v>
      </c>
      <c r="L7" s="9" t="s">
        <v>144</v>
      </c>
      <c r="M7"/>
      <c r="N7"/>
    </row>
    <row r="8" spans="1:14" x14ac:dyDescent="0.3">
      <c r="A8" s="9" t="s">
        <v>82</v>
      </c>
      <c r="B8" s="9" t="s">
        <v>48</v>
      </c>
      <c r="C8" s="9" t="s">
        <v>66</v>
      </c>
      <c r="D8" s="9" t="s">
        <v>47</v>
      </c>
      <c r="E8" s="9" t="s">
        <v>83</v>
      </c>
      <c r="F8" s="9" t="s">
        <v>38</v>
      </c>
      <c r="G8" s="9" t="s">
        <v>10</v>
      </c>
      <c r="H8" s="9" t="s">
        <v>27</v>
      </c>
      <c r="I8" s="9" t="s">
        <v>115</v>
      </c>
      <c r="J8" s="9" t="s">
        <v>104</v>
      </c>
      <c r="K8" s="9" t="s">
        <v>145</v>
      </c>
      <c r="L8" s="9" t="s">
        <v>146</v>
      </c>
      <c r="M8"/>
      <c r="N8"/>
    </row>
    <row r="9" spans="1:14" x14ac:dyDescent="0.3">
      <c r="A9" s="9" t="s">
        <v>84</v>
      </c>
      <c r="B9" s="9" t="s">
        <v>46</v>
      </c>
      <c r="C9" s="9" t="s">
        <v>66</v>
      </c>
      <c r="D9" s="9" t="s">
        <v>49</v>
      </c>
      <c r="E9" s="9" t="s">
        <v>85</v>
      </c>
      <c r="F9" s="9" t="s">
        <v>38</v>
      </c>
      <c r="G9" s="9" t="s">
        <v>19</v>
      </c>
      <c r="H9" s="9" t="s">
        <v>30</v>
      </c>
      <c r="I9" s="9" t="s">
        <v>116</v>
      </c>
      <c r="J9" s="9" t="s">
        <v>117</v>
      </c>
      <c r="K9" s="9" t="s">
        <v>147</v>
      </c>
      <c r="L9" s="9" t="s">
        <v>148</v>
      </c>
      <c r="M9"/>
      <c r="N9"/>
    </row>
    <row r="10" spans="1:14" x14ac:dyDescent="0.3">
      <c r="A10" s="9" t="s">
        <v>86</v>
      </c>
      <c r="B10" s="9" t="s">
        <v>46</v>
      </c>
      <c r="C10" s="9" t="s">
        <v>68</v>
      </c>
      <c r="D10" s="9" t="s">
        <v>50</v>
      </c>
      <c r="E10" s="9" t="s">
        <v>87</v>
      </c>
      <c r="F10" s="9" t="s">
        <v>38</v>
      </c>
      <c r="G10" s="9" t="s">
        <v>19</v>
      </c>
      <c r="H10" s="9" t="s">
        <v>33</v>
      </c>
      <c r="I10" s="9" t="s">
        <v>118</v>
      </c>
      <c r="J10" s="9" t="s">
        <v>110</v>
      </c>
      <c r="K10" s="9" t="s">
        <v>149</v>
      </c>
      <c r="L10" s="9" t="s">
        <v>150</v>
      </c>
      <c r="M10"/>
      <c r="N10"/>
    </row>
    <row r="11" spans="1:14" x14ac:dyDescent="0.3">
      <c r="A11" s="9" t="s">
        <v>88</v>
      </c>
      <c r="B11" s="9" t="s">
        <v>36</v>
      </c>
      <c r="C11" s="9" t="s">
        <v>70</v>
      </c>
      <c r="D11" s="9" t="s">
        <v>47</v>
      </c>
      <c r="E11" s="9" t="s">
        <v>89</v>
      </c>
      <c r="F11" s="9" t="s">
        <v>38</v>
      </c>
      <c r="G11" s="9" t="s">
        <v>10</v>
      </c>
      <c r="H11" s="9" t="s">
        <v>35</v>
      </c>
      <c r="I11" s="9" t="s">
        <v>119</v>
      </c>
      <c r="J11" s="9" t="s">
        <v>120</v>
      </c>
      <c r="K11" s="9" t="s">
        <v>151</v>
      </c>
      <c r="L11" s="9" t="s">
        <v>152</v>
      </c>
      <c r="M11"/>
      <c r="N1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39F6-6A50-402F-BA53-E7DC6B4CC0D7}">
  <sheetPr>
    <tabColor rgb="FFFF0000"/>
  </sheetPr>
  <dimension ref="A1:I11"/>
  <sheetViews>
    <sheetView topLeftCell="A2" zoomScaleNormal="100" workbookViewId="0">
      <selection activeCell="B16" sqref="B16"/>
    </sheetView>
  </sheetViews>
  <sheetFormatPr defaultRowHeight="14.4" x14ac:dyDescent="0.3"/>
  <cols>
    <col min="1" max="1" width="9" bestFit="1" customWidth="1"/>
    <col min="2" max="2" width="12.44140625" bestFit="1" customWidth="1"/>
    <col min="3" max="3" width="16.88671875" bestFit="1" customWidth="1"/>
    <col min="4" max="4" width="10.109375" bestFit="1" customWidth="1"/>
    <col min="5" max="5" width="8.6640625" bestFit="1" customWidth="1"/>
    <col min="6" max="6" width="6.5546875" bestFit="1" customWidth="1"/>
    <col min="7" max="7" width="14.5546875" bestFit="1" customWidth="1"/>
    <col min="8" max="8" width="28.109375" bestFit="1" customWidth="1"/>
    <col min="9" max="9" width="16.5546875" bestFit="1" customWidth="1"/>
  </cols>
  <sheetData>
    <row r="1" spans="1:9" ht="15.6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1" t="s">
        <v>90</v>
      </c>
      <c r="I1" s="11" t="s">
        <v>121</v>
      </c>
    </row>
    <row r="2" spans="1:9" ht="16.2" x14ac:dyDescent="0.3">
      <c r="A2" s="4">
        <v>1</v>
      </c>
      <c r="B2" s="2" t="s">
        <v>54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12" t="s">
        <v>91</v>
      </c>
      <c r="I2" s="8" t="s">
        <v>122</v>
      </c>
    </row>
    <row r="3" spans="1:9" ht="16.2" x14ac:dyDescent="0.3">
      <c r="A3" s="5">
        <v>2</v>
      </c>
      <c r="B3" s="3" t="s">
        <v>55</v>
      </c>
      <c r="C3" s="3" t="s">
        <v>12</v>
      </c>
      <c r="D3" s="3" t="s">
        <v>13</v>
      </c>
      <c r="E3" s="3" t="s">
        <v>9</v>
      </c>
      <c r="F3" s="3" t="s">
        <v>10</v>
      </c>
      <c r="G3" s="3" t="s">
        <v>14</v>
      </c>
      <c r="H3" s="12" t="s">
        <v>92</v>
      </c>
      <c r="I3" s="8" t="s">
        <v>123</v>
      </c>
    </row>
    <row r="4" spans="1:9" ht="16.2" x14ac:dyDescent="0.3">
      <c r="A4" s="4">
        <v>3</v>
      </c>
      <c r="B4" s="2" t="s">
        <v>56</v>
      </c>
      <c r="C4" s="2" t="s">
        <v>7</v>
      </c>
      <c r="D4" s="2" t="s">
        <v>15</v>
      </c>
      <c r="E4" s="2" t="s">
        <v>9</v>
      </c>
      <c r="F4" s="2" t="s">
        <v>10</v>
      </c>
      <c r="G4" s="2" t="s">
        <v>16</v>
      </c>
      <c r="H4" s="12" t="s">
        <v>93</v>
      </c>
      <c r="I4" s="8" t="s">
        <v>124</v>
      </c>
    </row>
    <row r="5" spans="1:9" ht="16.2" x14ac:dyDescent="0.3">
      <c r="A5" s="5">
        <v>4</v>
      </c>
      <c r="B5" s="3" t="s">
        <v>57</v>
      </c>
      <c r="C5" s="3" t="s">
        <v>17</v>
      </c>
      <c r="D5" s="3" t="s">
        <v>18</v>
      </c>
      <c r="E5" s="3" t="s">
        <v>9</v>
      </c>
      <c r="F5" s="3" t="s">
        <v>19</v>
      </c>
      <c r="G5" s="3" t="s">
        <v>20</v>
      </c>
      <c r="H5" s="12" t="s">
        <v>95</v>
      </c>
      <c r="I5" s="8" t="s">
        <v>125</v>
      </c>
    </row>
    <row r="6" spans="1:9" ht="16.2" x14ac:dyDescent="0.3">
      <c r="A6" s="4">
        <v>5</v>
      </c>
      <c r="B6" s="2" t="s">
        <v>58</v>
      </c>
      <c r="C6" s="2" t="s">
        <v>17</v>
      </c>
      <c r="D6" s="2" t="s">
        <v>15</v>
      </c>
      <c r="E6" s="2" t="s">
        <v>9</v>
      </c>
      <c r="F6" s="2" t="s">
        <v>19</v>
      </c>
      <c r="G6" s="2" t="s">
        <v>21</v>
      </c>
      <c r="H6" s="12" t="s">
        <v>94</v>
      </c>
      <c r="I6" s="8" t="s">
        <v>126</v>
      </c>
    </row>
    <row r="7" spans="1:9" ht="16.2" x14ac:dyDescent="0.3">
      <c r="A7" s="5">
        <v>6</v>
      </c>
      <c r="B7" s="3" t="s">
        <v>59</v>
      </c>
      <c r="C7" s="3" t="s">
        <v>22</v>
      </c>
      <c r="D7" s="3" t="s">
        <v>23</v>
      </c>
      <c r="E7" s="3" t="s">
        <v>9</v>
      </c>
      <c r="F7" s="3" t="s">
        <v>10</v>
      </c>
      <c r="G7" s="3" t="s">
        <v>24</v>
      </c>
      <c r="H7" s="12" t="s">
        <v>97</v>
      </c>
      <c r="I7" s="8" t="s">
        <v>127</v>
      </c>
    </row>
    <row r="8" spans="1:9" ht="16.2" x14ac:dyDescent="0.3">
      <c r="A8" s="4">
        <v>7</v>
      </c>
      <c r="B8" s="2" t="s">
        <v>60</v>
      </c>
      <c r="C8" s="2" t="s">
        <v>25</v>
      </c>
      <c r="D8" s="2" t="s">
        <v>26</v>
      </c>
      <c r="E8" s="2" t="s">
        <v>9</v>
      </c>
      <c r="F8" s="2" t="s">
        <v>10</v>
      </c>
      <c r="G8" s="2" t="s">
        <v>27</v>
      </c>
      <c r="H8" s="12" t="s">
        <v>98</v>
      </c>
      <c r="I8" s="8" t="s">
        <v>128</v>
      </c>
    </row>
    <row r="9" spans="1:9" ht="16.2" x14ac:dyDescent="0.3">
      <c r="A9" s="5">
        <v>8</v>
      </c>
      <c r="B9" s="3" t="s">
        <v>61</v>
      </c>
      <c r="C9" s="3" t="s">
        <v>28</v>
      </c>
      <c r="D9" s="3" t="s">
        <v>29</v>
      </c>
      <c r="E9" s="3" t="s">
        <v>9</v>
      </c>
      <c r="F9" s="3" t="s">
        <v>19</v>
      </c>
      <c r="G9" s="3" t="s">
        <v>30</v>
      </c>
      <c r="H9" s="12" t="s">
        <v>99</v>
      </c>
      <c r="I9" s="8" t="s">
        <v>129</v>
      </c>
    </row>
    <row r="10" spans="1:9" ht="16.2" x14ac:dyDescent="0.3">
      <c r="A10" s="4">
        <v>9</v>
      </c>
      <c r="B10" s="2" t="s">
        <v>62</v>
      </c>
      <c r="C10" s="2" t="s">
        <v>31</v>
      </c>
      <c r="D10" s="2" t="s">
        <v>32</v>
      </c>
      <c r="E10" s="2" t="s">
        <v>9</v>
      </c>
      <c r="F10" s="2" t="s">
        <v>19</v>
      </c>
      <c r="G10" s="2" t="s">
        <v>33</v>
      </c>
      <c r="H10" s="12" t="s">
        <v>96</v>
      </c>
      <c r="I10" s="8" t="s">
        <v>130</v>
      </c>
    </row>
    <row r="11" spans="1:9" ht="16.2" x14ac:dyDescent="0.3">
      <c r="A11" s="5">
        <v>10</v>
      </c>
      <c r="B11" s="3" t="s">
        <v>63</v>
      </c>
      <c r="C11" s="3" t="s">
        <v>25</v>
      </c>
      <c r="D11" s="3" t="s">
        <v>34</v>
      </c>
      <c r="E11" s="3" t="s">
        <v>9</v>
      </c>
      <c r="F11" s="3" t="s">
        <v>10</v>
      </c>
      <c r="G11" s="3" t="s">
        <v>35</v>
      </c>
      <c r="H11" s="12" t="s">
        <v>100</v>
      </c>
      <c r="I11" s="8" t="s">
        <v>131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2170-FDD6-47D6-AB16-94541D6BFEC0}">
  <dimension ref="A1:K46"/>
  <sheetViews>
    <sheetView workbookViewId="0">
      <selection activeCell="K23" sqref="K23"/>
    </sheetView>
  </sheetViews>
  <sheetFormatPr defaultRowHeight="14.4" x14ac:dyDescent="0.3"/>
  <cols>
    <col min="1" max="1" width="8.5546875" bestFit="1" customWidth="1"/>
    <col min="2" max="2" width="9" bestFit="1" customWidth="1"/>
    <col min="3" max="3" width="10.109375" bestFit="1" customWidth="1"/>
    <col min="7" max="7" width="12.5546875" bestFit="1" customWidth="1"/>
    <col min="8" max="8" width="14.44140625" bestFit="1" customWidth="1"/>
    <col min="10" max="10" width="12.5546875" bestFit="1" customWidth="1"/>
    <col min="11" max="11" width="14.44140625" bestFit="1" customWidth="1"/>
  </cols>
  <sheetData>
    <row r="1" spans="1:11" x14ac:dyDescent="0.3">
      <c r="A1" t="s">
        <v>1</v>
      </c>
      <c r="B1" t="s">
        <v>183</v>
      </c>
      <c r="C1" t="s">
        <v>155</v>
      </c>
    </row>
    <row r="2" spans="1:11" x14ac:dyDescent="0.3">
      <c r="A2" s="9" t="s">
        <v>36</v>
      </c>
      <c r="B2" s="9" t="s">
        <v>174</v>
      </c>
      <c r="C2" s="1">
        <v>10000</v>
      </c>
    </row>
    <row r="3" spans="1:11" x14ac:dyDescent="0.3">
      <c r="A3" s="9" t="s">
        <v>36</v>
      </c>
      <c r="B3" s="9" t="s">
        <v>175</v>
      </c>
      <c r="C3" s="1">
        <v>9800</v>
      </c>
    </row>
    <row r="4" spans="1:11" x14ac:dyDescent="0.3">
      <c r="A4" s="9" t="s">
        <v>36</v>
      </c>
      <c r="B4" s="9" t="s">
        <v>176</v>
      </c>
      <c r="C4" s="1">
        <v>6500</v>
      </c>
    </row>
    <row r="5" spans="1:11" x14ac:dyDescent="0.3">
      <c r="A5" s="9" t="s">
        <v>36</v>
      </c>
      <c r="B5" s="9" t="s">
        <v>177</v>
      </c>
      <c r="C5" s="1">
        <v>3200</v>
      </c>
      <c r="G5" s="20" t="s">
        <v>172</v>
      </c>
    </row>
    <row r="6" spans="1:11" x14ac:dyDescent="0.3">
      <c r="A6" s="9" t="s">
        <v>36</v>
      </c>
      <c r="B6" s="9" t="s">
        <v>178</v>
      </c>
      <c r="C6" s="1">
        <v>4500</v>
      </c>
      <c r="G6" s="26" t="s">
        <v>184</v>
      </c>
      <c r="H6" s="26"/>
      <c r="J6" s="26" t="s">
        <v>185</v>
      </c>
      <c r="K6" s="26"/>
    </row>
    <row r="7" spans="1:11" x14ac:dyDescent="0.3">
      <c r="A7" s="9" t="s">
        <v>51</v>
      </c>
      <c r="B7" s="9" t="s">
        <v>174</v>
      </c>
      <c r="C7" s="1">
        <v>8500</v>
      </c>
      <c r="G7" s="17" t="s">
        <v>169</v>
      </c>
      <c r="H7" t="s">
        <v>171</v>
      </c>
      <c r="J7" s="17" t="s">
        <v>169</v>
      </c>
      <c r="K7" t="s">
        <v>171</v>
      </c>
    </row>
    <row r="8" spans="1:11" x14ac:dyDescent="0.3">
      <c r="A8" s="9" t="s">
        <v>51</v>
      </c>
      <c r="B8" s="9" t="s">
        <v>175</v>
      </c>
      <c r="C8" s="1">
        <v>4600</v>
      </c>
      <c r="G8" s="18" t="s">
        <v>44</v>
      </c>
      <c r="H8" s="9">
        <v>30300</v>
      </c>
      <c r="J8" s="18" t="s">
        <v>174</v>
      </c>
      <c r="K8" s="9">
        <v>67500</v>
      </c>
    </row>
    <row r="9" spans="1:11" x14ac:dyDescent="0.3">
      <c r="A9" s="9" t="s">
        <v>51</v>
      </c>
      <c r="B9" s="9" t="s">
        <v>176</v>
      </c>
      <c r="C9" s="1">
        <v>9000</v>
      </c>
      <c r="G9" s="18" t="s">
        <v>179</v>
      </c>
      <c r="H9" s="9">
        <v>30080</v>
      </c>
      <c r="J9" s="18" t="s">
        <v>175</v>
      </c>
      <c r="K9" s="9">
        <v>46820</v>
      </c>
    </row>
    <row r="10" spans="1:11" x14ac:dyDescent="0.3">
      <c r="A10" s="9" t="s">
        <v>51</v>
      </c>
      <c r="B10" s="9" t="s">
        <v>177</v>
      </c>
      <c r="C10" s="1">
        <v>13400</v>
      </c>
      <c r="G10" s="18" t="s">
        <v>41</v>
      </c>
      <c r="H10" s="9">
        <v>25600</v>
      </c>
      <c r="J10" s="18" t="s">
        <v>176</v>
      </c>
      <c r="K10" s="9">
        <v>48580</v>
      </c>
    </row>
    <row r="11" spans="1:11" x14ac:dyDescent="0.3">
      <c r="A11" s="9" t="s">
        <v>51</v>
      </c>
      <c r="B11" s="9" t="s">
        <v>178</v>
      </c>
      <c r="C11" s="1">
        <v>3600</v>
      </c>
      <c r="G11" s="18" t="s">
        <v>46</v>
      </c>
      <c r="H11" s="9">
        <v>27900</v>
      </c>
      <c r="J11" s="18" t="s">
        <v>177</v>
      </c>
      <c r="K11" s="9">
        <v>48500</v>
      </c>
    </row>
    <row r="12" spans="1:11" x14ac:dyDescent="0.3">
      <c r="A12" s="9" t="s">
        <v>46</v>
      </c>
      <c r="B12" s="9" t="s">
        <v>174</v>
      </c>
      <c r="C12" s="1">
        <v>6000</v>
      </c>
      <c r="G12" s="18" t="s">
        <v>180</v>
      </c>
      <c r="H12" s="9">
        <v>16800</v>
      </c>
      <c r="J12" s="18" t="s">
        <v>178</v>
      </c>
      <c r="K12" s="9">
        <v>45400</v>
      </c>
    </row>
    <row r="13" spans="1:11" x14ac:dyDescent="0.3">
      <c r="A13" s="9" t="s">
        <v>46</v>
      </c>
      <c r="B13" s="9" t="s">
        <v>175</v>
      </c>
      <c r="C13" s="1">
        <v>7500</v>
      </c>
      <c r="G13" s="18" t="s">
        <v>39</v>
      </c>
      <c r="H13" s="9">
        <v>27520</v>
      </c>
      <c r="J13" s="18" t="s">
        <v>170</v>
      </c>
      <c r="K13" s="9">
        <v>256800</v>
      </c>
    </row>
    <row r="14" spans="1:11" x14ac:dyDescent="0.3">
      <c r="A14" s="9" t="s">
        <v>46</v>
      </c>
      <c r="B14" s="9" t="s">
        <v>176</v>
      </c>
      <c r="C14" s="1">
        <v>6300</v>
      </c>
      <c r="G14" s="18" t="s">
        <v>43</v>
      </c>
      <c r="H14" s="9">
        <v>25500</v>
      </c>
    </row>
    <row r="15" spans="1:11" x14ac:dyDescent="0.3">
      <c r="A15" s="9" t="s">
        <v>46</v>
      </c>
      <c r="B15" s="9" t="s">
        <v>177</v>
      </c>
      <c r="C15" s="1">
        <v>3600</v>
      </c>
      <c r="G15" s="18" t="s">
        <v>36</v>
      </c>
      <c r="H15" s="9">
        <v>34000</v>
      </c>
    </row>
    <row r="16" spans="1:11" x14ac:dyDescent="0.3">
      <c r="A16" s="9" t="s">
        <v>46</v>
      </c>
      <c r="B16" s="9" t="s">
        <v>178</v>
      </c>
      <c r="C16" s="1">
        <v>4500</v>
      </c>
      <c r="G16" s="18" t="s">
        <v>51</v>
      </c>
      <c r="H16" s="9">
        <v>39100</v>
      </c>
    </row>
    <row r="17" spans="1:8" x14ac:dyDescent="0.3">
      <c r="A17" s="9" t="s">
        <v>41</v>
      </c>
      <c r="B17" s="9" t="s">
        <v>174</v>
      </c>
      <c r="C17" s="1">
        <v>5500</v>
      </c>
      <c r="G17" s="18" t="s">
        <v>170</v>
      </c>
      <c r="H17" s="9">
        <v>256800</v>
      </c>
    </row>
    <row r="18" spans="1:8" x14ac:dyDescent="0.3">
      <c r="A18" s="9" t="s">
        <v>41</v>
      </c>
      <c r="B18" s="9" t="s">
        <v>175</v>
      </c>
      <c r="C18" s="1">
        <v>6300</v>
      </c>
    </row>
    <row r="19" spans="1:8" x14ac:dyDescent="0.3">
      <c r="A19" s="9" t="s">
        <v>41</v>
      </c>
      <c r="B19" s="9" t="s">
        <v>176</v>
      </c>
      <c r="C19" s="1">
        <v>6500</v>
      </c>
    </row>
    <row r="20" spans="1:8" x14ac:dyDescent="0.3">
      <c r="A20" s="9" t="s">
        <v>41</v>
      </c>
      <c r="B20" s="9" t="s">
        <v>177</v>
      </c>
      <c r="C20" s="1">
        <v>3800</v>
      </c>
    </row>
    <row r="21" spans="1:8" x14ac:dyDescent="0.3">
      <c r="A21" s="9" t="s">
        <v>41</v>
      </c>
      <c r="B21" s="9" t="s">
        <v>178</v>
      </c>
      <c r="C21" s="1">
        <v>3500</v>
      </c>
    </row>
    <row r="22" spans="1:8" x14ac:dyDescent="0.3">
      <c r="A22" s="9" t="s">
        <v>43</v>
      </c>
      <c r="B22" s="9" t="s">
        <v>174</v>
      </c>
      <c r="C22" s="1">
        <v>7000</v>
      </c>
    </row>
    <row r="23" spans="1:8" x14ac:dyDescent="0.3">
      <c r="A23" s="9" t="s">
        <v>43</v>
      </c>
      <c r="B23" s="9" t="s">
        <v>175</v>
      </c>
      <c r="C23" s="1">
        <v>2500</v>
      </c>
    </row>
    <row r="24" spans="1:8" x14ac:dyDescent="0.3">
      <c r="A24" s="9" t="s">
        <v>43</v>
      </c>
      <c r="B24" s="9" t="s">
        <v>176</v>
      </c>
      <c r="C24" s="1">
        <v>7500</v>
      </c>
    </row>
    <row r="25" spans="1:8" x14ac:dyDescent="0.3">
      <c r="A25" s="9" t="s">
        <v>43</v>
      </c>
      <c r="B25" s="9" t="s">
        <v>177</v>
      </c>
      <c r="C25" s="1">
        <v>4000</v>
      </c>
    </row>
    <row r="26" spans="1:8" x14ac:dyDescent="0.3">
      <c r="A26" s="9" t="s">
        <v>43</v>
      </c>
      <c r="B26" s="9" t="s">
        <v>178</v>
      </c>
      <c r="C26" s="1">
        <v>4500</v>
      </c>
    </row>
    <row r="27" spans="1:8" x14ac:dyDescent="0.3">
      <c r="A27" s="9" t="s">
        <v>44</v>
      </c>
      <c r="B27" s="9" t="s">
        <v>174</v>
      </c>
      <c r="C27" s="1">
        <v>7500</v>
      </c>
    </row>
    <row r="28" spans="1:8" x14ac:dyDescent="0.3">
      <c r="A28" s="9" t="s">
        <v>44</v>
      </c>
      <c r="B28" s="9" t="s">
        <v>175</v>
      </c>
      <c r="C28" s="1">
        <v>3600</v>
      </c>
    </row>
    <row r="29" spans="1:8" x14ac:dyDescent="0.3">
      <c r="A29" s="9" t="s">
        <v>44</v>
      </c>
      <c r="B29" s="9" t="s">
        <v>176</v>
      </c>
      <c r="C29" s="1">
        <v>8500</v>
      </c>
    </row>
    <row r="30" spans="1:8" x14ac:dyDescent="0.3">
      <c r="A30" s="9" t="s">
        <v>44</v>
      </c>
      <c r="B30" s="9" t="s">
        <v>177</v>
      </c>
      <c r="C30" s="1">
        <v>4200</v>
      </c>
    </row>
    <row r="31" spans="1:8" x14ac:dyDescent="0.3">
      <c r="A31" s="9" t="s">
        <v>44</v>
      </c>
      <c r="B31" s="9" t="s">
        <v>178</v>
      </c>
      <c r="C31" s="1">
        <v>6500</v>
      </c>
    </row>
    <row r="32" spans="1:8" x14ac:dyDescent="0.3">
      <c r="A32" s="9" t="s">
        <v>179</v>
      </c>
      <c r="B32" s="9" t="s">
        <v>174</v>
      </c>
      <c r="C32" s="1">
        <v>9000</v>
      </c>
    </row>
    <row r="33" spans="1:3" x14ac:dyDescent="0.3">
      <c r="A33" s="9" t="s">
        <v>179</v>
      </c>
      <c r="B33" s="9" t="s">
        <v>175</v>
      </c>
      <c r="C33" s="1">
        <v>4500</v>
      </c>
    </row>
    <row r="34" spans="1:3" x14ac:dyDescent="0.3">
      <c r="A34" s="9" t="s">
        <v>179</v>
      </c>
      <c r="B34" s="9" t="s">
        <v>176</v>
      </c>
      <c r="C34" s="1">
        <v>1580</v>
      </c>
    </row>
    <row r="35" spans="1:3" x14ac:dyDescent="0.3">
      <c r="A35" s="9" t="s">
        <v>179</v>
      </c>
      <c r="B35" s="9" t="s">
        <v>177</v>
      </c>
      <c r="C35" s="1">
        <v>6500</v>
      </c>
    </row>
    <row r="36" spans="1:3" x14ac:dyDescent="0.3">
      <c r="A36" s="9" t="s">
        <v>179</v>
      </c>
      <c r="B36" s="9" t="s">
        <v>178</v>
      </c>
      <c r="C36" s="1">
        <v>8500</v>
      </c>
    </row>
    <row r="37" spans="1:3" x14ac:dyDescent="0.3">
      <c r="A37" s="9" t="s">
        <v>39</v>
      </c>
      <c r="B37" s="9" t="s">
        <v>174</v>
      </c>
      <c r="C37" s="1">
        <v>10000</v>
      </c>
    </row>
    <row r="38" spans="1:3" x14ac:dyDescent="0.3">
      <c r="A38" s="9" t="s">
        <v>39</v>
      </c>
      <c r="B38" s="9" t="s">
        <v>175</v>
      </c>
      <c r="C38" s="1">
        <v>3520</v>
      </c>
    </row>
    <row r="39" spans="1:3" x14ac:dyDescent="0.3">
      <c r="A39" s="9" t="s">
        <v>39</v>
      </c>
      <c r="B39" s="9" t="s">
        <v>176</v>
      </c>
      <c r="C39" s="1">
        <v>1500</v>
      </c>
    </row>
    <row r="40" spans="1:3" x14ac:dyDescent="0.3">
      <c r="A40" s="9" t="s">
        <v>39</v>
      </c>
      <c r="B40" s="9" t="s">
        <v>177</v>
      </c>
      <c r="C40" s="1">
        <v>6200</v>
      </c>
    </row>
    <row r="41" spans="1:3" x14ac:dyDescent="0.3">
      <c r="A41" s="9" t="s">
        <v>39</v>
      </c>
      <c r="B41" s="9" t="s">
        <v>178</v>
      </c>
      <c r="C41" s="1">
        <v>6300</v>
      </c>
    </row>
    <row r="42" spans="1:3" x14ac:dyDescent="0.3">
      <c r="A42" s="9" t="s">
        <v>180</v>
      </c>
      <c r="B42" s="9" t="s">
        <v>174</v>
      </c>
      <c r="C42" s="1">
        <v>4000</v>
      </c>
    </row>
    <row r="43" spans="1:3" x14ac:dyDescent="0.3">
      <c r="A43" s="9" t="s">
        <v>180</v>
      </c>
      <c r="B43" s="9" t="s">
        <v>175</v>
      </c>
      <c r="C43" s="1">
        <v>4500</v>
      </c>
    </row>
    <row r="44" spans="1:3" x14ac:dyDescent="0.3">
      <c r="A44" s="9" t="s">
        <v>180</v>
      </c>
      <c r="B44" s="9" t="s">
        <v>176</v>
      </c>
      <c r="C44" s="1">
        <v>1200</v>
      </c>
    </row>
    <row r="45" spans="1:3" x14ac:dyDescent="0.3">
      <c r="A45" s="9" t="s">
        <v>180</v>
      </c>
      <c r="B45" s="9" t="s">
        <v>177</v>
      </c>
      <c r="C45" s="1">
        <v>3600</v>
      </c>
    </row>
    <row r="46" spans="1:3" x14ac:dyDescent="0.3">
      <c r="A46" s="9" t="s">
        <v>180</v>
      </c>
      <c r="B46" s="9" t="s">
        <v>178</v>
      </c>
      <c r="C46" s="1">
        <v>3500</v>
      </c>
    </row>
  </sheetData>
  <mergeCells count="2">
    <mergeCell ref="G6:H6"/>
    <mergeCell ref="J6:K6"/>
  </mergeCell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7CE4-D0BF-4EFC-B102-0D1662DE16FB}">
  <sheetPr>
    <tabColor rgb="FFFF0000"/>
  </sheetPr>
  <dimension ref="B4:I18"/>
  <sheetViews>
    <sheetView workbookViewId="0">
      <selection activeCell="G22" sqref="G22"/>
    </sheetView>
  </sheetViews>
  <sheetFormatPr defaultRowHeight="14.4" x14ac:dyDescent="0.3"/>
  <cols>
    <col min="5" max="5" width="9.33203125" customWidth="1"/>
    <col min="12" max="12" width="12.5546875" bestFit="1" customWidth="1"/>
    <col min="13" max="13" width="10.6640625" bestFit="1" customWidth="1"/>
  </cols>
  <sheetData>
    <row r="4" spans="2:9" x14ac:dyDescent="0.3">
      <c r="B4" s="21"/>
      <c r="C4" s="21"/>
      <c r="D4" s="22" t="s">
        <v>173</v>
      </c>
      <c r="E4" s="22"/>
      <c r="F4" s="21"/>
      <c r="G4" s="21"/>
    </row>
    <row r="5" spans="2:9" x14ac:dyDescent="0.3">
      <c r="B5" s="21"/>
      <c r="C5" s="21"/>
      <c r="D5" s="22"/>
      <c r="E5" s="22"/>
      <c r="F5" s="21"/>
      <c r="G5" s="21"/>
    </row>
    <row r="6" spans="2:9" x14ac:dyDescent="0.3">
      <c r="B6" s="21"/>
      <c r="C6" s="21"/>
      <c r="D6" s="21"/>
      <c r="E6" s="21"/>
      <c r="F6" s="21"/>
      <c r="G6" s="21"/>
    </row>
    <row r="7" spans="2:9" x14ac:dyDescent="0.3">
      <c r="B7" s="23" t="s">
        <v>1</v>
      </c>
      <c r="C7" s="23" t="s">
        <v>174</v>
      </c>
      <c r="D7" s="23" t="s">
        <v>175</v>
      </c>
      <c r="E7" s="23" t="s">
        <v>176</v>
      </c>
      <c r="F7" s="23" t="s">
        <v>177</v>
      </c>
      <c r="G7" s="23" t="s">
        <v>178</v>
      </c>
      <c r="I7" s="27" t="s">
        <v>187</v>
      </c>
    </row>
    <row r="8" spans="2:9" x14ac:dyDescent="0.3">
      <c r="B8" s="24" t="s">
        <v>36</v>
      </c>
      <c r="C8" s="25">
        <v>10000</v>
      </c>
      <c r="D8" s="25">
        <v>9800</v>
      </c>
      <c r="E8" s="25">
        <v>6500</v>
      </c>
      <c r="F8" s="25">
        <v>3200</v>
      </c>
      <c r="G8" s="25">
        <v>4500</v>
      </c>
      <c r="I8">
        <f>SUM(Table7[[#This Row],[JAN]:[MAY]])</f>
        <v>34000</v>
      </c>
    </row>
    <row r="9" spans="2:9" x14ac:dyDescent="0.3">
      <c r="B9" s="24" t="s">
        <v>51</v>
      </c>
      <c r="C9" s="25">
        <v>8500</v>
      </c>
      <c r="D9" s="25">
        <v>4600</v>
      </c>
      <c r="E9" s="25">
        <v>9000</v>
      </c>
      <c r="F9" s="25">
        <v>13400</v>
      </c>
      <c r="G9" s="25">
        <v>3600</v>
      </c>
      <c r="I9" s="1">
        <f>SUM(Table7[[#This Row],[JAN]:[MAY]])</f>
        <v>39100</v>
      </c>
    </row>
    <row r="10" spans="2:9" x14ac:dyDescent="0.3">
      <c r="B10" s="24" t="s">
        <v>46</v>
      </c>
      <c r="C10" s="25">
        <v>6000</v>
      </c>
      <c r="D10" s="25">
        <v>7500</v>
      </c>
      <c r="E10" s="25">
        <v>6300</v>
      </c>
      <c r="F10" s="25">
        <v>3600</v>
      </c>
      <c r="G10" s="25">
        <v>4500</v>
      </c>
      <c r="I10" s="1">
        <f>SUM(Table7[[#This Row],[JAN]:[MAY]])</f>
        <v>27900</v>
      </c>
    </row>
    <row r="11" spans="2:9" x14ac:dyDescent="0.3">
      <c r="B11" s="24" t="s">
        <v>41</v>
      </c>
      <c r="C11" s="25">
        <v>5500</v>
      </c>
      <c r="D11" s="25">
        <v>6300</v>
      </c>
      <c r="E11" s="25">
        <v>6500</v>
      </c>
      <c r="F11" s="25">
        <v>3800</v>
      </c>
      <c r="G11" s="25">
        <v>3500</v>
      </c>
      <c r="I11" s="1">
        <f>SUM(Table7[[#This Row],[JAN]:[MAY]])</f>
        <v>25600</v>
      </c>
    </row>
    <row r="12" spans="2:9" x14ac:dyDescent="0.3">
      <c r="B12" s="24" t="s">
        <v>43</v>
      </c>
      <c r="C12" s="25">
        <v>7000</v>
      </c>
      <c r="D12" s="25">
        <v>2500</v>
      </c>
      <c r="E12" s="25">
        <v>7500</v>
      </c>
      <c r="F12" s="25">
        <v>4000</v>
      </c>
      <c r="G12" s="25">
        <v>4500</v>
      </c>
      <c r="I12" s="1">
        <f>SUM(Table7[[#This Row],[JAN]:[MAY]])</f>
        <v>25500</v>
      </c>
    </row>
    <row r="13" spans="2:9" x14ac:dyDescent="0.3">
      <c r="B13" s="24" t="s">
        <v>44</v>
      </c>
      <c r="C13" s="25">
        <v>7500</v>
      </c>
      <c r="D13" s="25">
        <v>3600</v>
      </c>
      <c r="E13" s="25">
        <v>8500</v>
      </c>
      <c r="F13" s="25">
        <v>4200</v>
      </c>
      <c r="G13" s="25">
        <v>6500</v>
      </c>
      <c r="I13" s="1">
        <f>SUM(Table7[[#This Row],[JAN]:[MAY]])</f>
        <v>30300</v>
      </c>
    </row>
    <row r="14" spans="2:9" x14ac:dyDescent="0.3">
      <c r="B14" s="24" t="s">
        <v>179</v>
      </c>
      <c r="C14" s="25">
        <v>9000</v>
      </c>
      <c r="D14" s="25">
        <v>4500</v>
      </c>
      <c r="E14" s="25">
        <v>1580</v>
      </c>
      <c r="F14" s="25">
        <v>6500</v>
      </c>
      <c r="G14" s="25">
        <v>8500</v>
      </c>
      <c r="I14" s="1">
        <f>SUM(Table7[[#This Row],[JAN]:[MAY]])</f>
        <v>30080</v>
      </c>
    </row>
    <row r="15" spans="2:9" x14ac:dyDescent="0.3">
      <c r="B15" s="24" t="s">
        <v>39</v>
      </c>
      <c r="C15" s="25">
        <v>10000</v>
      </c>
      <c r="D15" s="25">
        <v>3520</v>
      </c>
      <c r="E15" s="25">
        <v>1500</v>
      </c>
      <c r="F15" s="25">
        <v>6200</v>
      </c>
      <c r="G15" s="25">
        <v>6300</v>
      </c>
      <c r="I15" s="1">
        <f>SUM(Table7[[#This Row],[JAN]:[MAY]])</f>
        <v>27520</v>
      </c>
    </row>
    <row r="16" spans="2:9" x14ac:dyDescent="0.3">
      <c r="B16" s="24" t="s">
        <v>180</v>
      </c>
      <c r="C16" s="25">
        <v>4000</v>
      </c>
      <c r="D16" s="25">
        <v>4500</v>
      </c>
      <c r="E16" s="25">
        <v>1200</v>
      </c>
      <c r="F16" s="25">
        <v>3600</v>
      </c>
      <c r="G16" s="25">
        <v>3500</v>
      </c>
      <c r="I16" s="1">
        <f>SUM(Table7[[#This Row],[JAN]:[MAY]])</f>
        <v>16800</v>
      </c>
    </row>
    <row r="18" spans="2:9" x14ac:dyDescent="0.3">
      <c r="B18" t="s">
        <v>186</v>
      </c>
      <c r="C18">
        <f>SUM(Table7[JAN])</f>
        <v>67500</v>
      </c>
      <c r="D18" s="1">
        <f>SUM(Table7[FEB])</f>
        <v>46820</v>
      </c>
      <c r="E18" s="1">
        <f>SUM(Table7[MARCH])</f>
        <v>48580</v>
      </c>
      <c r="F18" s="1">
        <f>SUM(Table7[APRIL])</f>
        <v>48500</v>
      </c>
      <c r="G18" s="1">
        <f>SUM(Table7[MAY])</f>
        <v>45400</v>
      </c>
      <c r="I18">
        <f>SUM(Table7[[JAN]:[MAY]])</f>
        <v>256800</v>
      </c>
    </row>
  </sheetData>
  <mergeCells count="1">
    <mergeCell ref="D4:E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A21F-5FCA-4CAA-94D4-6E6F7FDB6FBA}">
  <dimension ref="A1:C23"/>
  <sheetViews>
    <sheetView workbookViewId="0">
      <selection activeCell="L22" sqref="L22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14.77734375" style="1" customWidth="1"/>
    <col min="4" max="4" width="14.77734375" bestFit="1" customWidth="1"/>
  </cols>
  <sheetData>
    <row r="1" spans="1:3" x14ac:dyDescent="0.3">
      <c r="A1" t="s">
        <v>153</v>
      </c>
      <c r="B1" t="s">
        <v>154</v>
      </c>
      <c r="C1" t="s">
        <v>168</v>
      </c>
    </row>
    <row r="2" spans="1:3" x14ac:dyDescent="0.3">
      <c r="A2" s="9" t="s">
        <v>156</v>
      </c>
      <c r="B2" s="9" t="s">
        <v>157</v>
      </c>
      <c r="C2" s="1">
        <v>18550</v>
      </c>
    </row>
    <row r="3" spans="1:3" x14ac:dyDescent="0.3">
      <c r="A3" s="9" t="s">
        <v>158</v>
      </c>
      <c r="B3" s="9" t="s">
        <v>159</v>
      </c>
      <c r="C3" s="1">
        <v>22510</v>
      </c>
    </row>
    <row r="4" spans="1:3" x14ac:dyDescent="0.3">
      <c r="A4" s="9" t="s">
        <v>160</v>
      </c>
      <c r="B4" s="9" t="s">
        <v>161</v>
      </c>
      <c r="C4" s="1">
        <v>6500</v>
      </c>
    </row>
    <row r="5" spans="1:3" x14ac:dyDescent="0.3">
      <c r="A5" s="9" t="s">
        <v>162</v>
      </c>
      <c r="B5" s="9" t="s">
        <v>163</v>
      </c>
      <c r="C5" s="1">
        <v>7000</v>
      </c>
    </row>
    <row r="6" spans="1:3" x14ac:dyDescent="0.3">
      <c r="A6" s="9" t="s">
        <v>164</v>
      </c>
      <c r="B6" s="9" t="s">
        <v>165</v>
      </c>
      <c r="C6" s="1">
        <v>13190</v>
      </c>
    </row>
    <row r="7" spans="1:3" x14ac:dyDescent="0.3">
      <c r="A7" s="9" t="s">
        <v>160</v>
      </c>
      <c r="B7" s="9" t="s">
        <v>165</v>
      </c>
      <c r="C7" s="1">
        <v>6810</v>
      </c>
    </row>
    <row r="8" spans="1:3" x14ac:dyDescent="0.3">
      <c r="A8" s="9" t="s">
        <v>166</v>
      </c>
      <c r="B8" s="9" t="s">
        <v>161</v>
      </c>
      <c r="C8" s="1">
        <v>14150</v>
      </c>
    </row>
    <row r="9" spans="1:3" x14ac:dyDescent="0.3">
      <c r="A9" s="9" t="s">
        <v>166</v>
      </c>
      <c r="B9" s="9" t="s">
        <v>157</v>
      </c>
      <c r="C9" s="1">
        <v>8180</v>
      </c>
    </row>
    <row r="10" spans="1:3" x14ac:dyDescent="0.3">
      <c r="A10" s="9" t="s">
        <v>167</v>
      </c>
      <c r="B10" s="9" t="s">
        <v>157</v>
      </c>
      <c r="C10" s="1">
        <v>8111</v>
      </c>
    </row>
    <row r="11" spans="1:3" x14ac:dyDescent="0.3">
      <c r="A11" s="9" t="s">
        <v>162</v>
      </c>
      <c r="B11" s="9" t="s">
        <v>165</v>
      </c>
      <c r="C11" s="1">
        <v>8840</v>
      </c>
    </row>
    <row r="12" spans="1:3" x14ac:dyDescent="0.3">
      <c r="A12" s="9" t="s">
        <v>158</v>
      </c>
      <c r="B12" s="9" t="s">
        <v>165</v>
      </c>
      <c r="C12" s="1">
        <v>3500</v>
      </c>
    </row>
    <row r="13" spans="1:3" x14ac:dyDescent="0.3">
      <c r="A13" s="9" t="s">
        <v>164</v>
      </c>
      <c r="B13" s="9" t="s">
        <v>159</v>
      </c>
      <c r="C13" s="1">
        <v>3600</v>
      </c>
    </row>
    <row r="14" spans="1:3" x14ac:dyDescent="0.3">
      <c r="A14" s="9" t="s">
        <v>167</v>
      </c>
      <c r="B14" s="9" t="s">
        <v>163</v>
      </c>
      <c r="C14" s="1">
        <v>3300</v>
      </c>
    </row>
    <row r="15" spans="1:3" x14ac:dyDescent="0.3">
      <c r="A15" s="9" t="s">
        <v>160</v>
      </c>
      <c r="B15" s="9" t="s">
        <v>163</v>
      </c>
      <c r="C15" s="1">
        <v>4520</v>
      </c>
    </row>
    <row r="16" spans="1:3" x14ac:dyDescent="0.3">
      <c r="A16" s="9" t="s">
        <v>162</v>
      </c>
      <c r="B16" s="9" t="s">
        <v>157</v>
      </c>
      <c r="C16" s="1">
        <v>11070</v>
      </c>
    </row>
    <row r="17" spans="1:3" x14ac:dyDescent="0.3">
      <c r="A17" s="9" t="s">
        <v>166</v>
      </c>
      <c r="B17" s="9" t="s">
        <v>163</v>
      </c>
      <c r="C17" s="1">
        <v>18000</v>
      </c>
    </row>
    <row r="18" spans="1:3" x14ac:dyDescent="0.3">
      <c r="A18" s="9" t="s">
        <v>167</v>
      </c>
      <c r="B18" s="9" t="s">
        <v>165</v>
      </c>
      <c r="C18" s="1">
        <v>3450</v>
      </c>
    </row>
    <row r="19" spans="1:3" x14ac:dyDescent="0.3">
      <c r="A19" s="9" t="s">
        <v>164</v>
      </c>
      <c r="B19" s="9" t="s">
        <v>161</v>
      </c>
      <c r="C19" s="1">
        <v>20860</v>
      </c>
    </row>
    <row r="20" spans="1:3" x14ac:dyDescent="0.3">
      <c r="A20" s="9" t="s">
        <v>166</v>
      </c>
      <c r="B20" s="9" t="s">
        <v>159</v>
      </c>
      <c r="C20" s="1">
        <v>6950</v>
      </c>
    </row>
    <row r="21" spans="1:3" x14ac:dyDescent="0.3">
      <c r="A21" s="9" t="s">
        <v>166</v>
      </c>
      <c r="B21" s="9" t="s">
        <v>165</v>
      </c>
      <c r="C21" s="1">
        <v>250</v>
      </c>
    </row>
    <row r="22" spans="1:3" x14ac:dyDescent="0.3">
      <c r="A22" s="9" t="s">
        <v>162</v>
      </c>
      <c r="B22" s="9" t="s">
        <v>161</v>
      </c>
      <c r="C22" s="1">
        <v>3650</v>
      </c>
    </row>
    <row r="23" spans="1:3" x14ac:dyDescent="0.3">
      <c r="A23" s="9" t="s">
        <v>167</v>
      </c>
      <c r="B23" s="9" t="s">
        <v>159</v>
      </c>
      <c r="C23" s="1">
        <v>14320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A12B-E679-4B48-A4B5-D0EB8DD073CD}">
  <sheetPr>
    <tabColor rgb="FFFF0000"/>
  </sheetPr>
  <dimension ref="A1:G43"/>
  <sheetViews>
    <sheetView topLeftCell="A11" workbookViewId="0">
      <selection activeCell="F32" sqref="F32:G32"/>
      <pivotSelection pane="bottomRight" showHeader="1" extendable="1" axis="axisRow" dimension="1" start="20" min="17" max="22" activeRow="31" activeCol="5" previousRow="31" previousCol="5" click="1" r:id="rId1">
        <pivotArea dataOnly="0" fieldPosition="0">
          <references count="1">
            <reference field="0" count="1">
              <x v="4"/>
            </reference>
          </references>
        </pivotArea>
      </pivotSelection>
    </sheetView>
  </sheetViews>
  <sheetFormatPr defaultColWidth="13.21875" defaultRowHeight="14.4" x14ac:dyDescent="0.3"/>
  <cols>
    <col min="6" max="6" width="12.5546875" bestFit="1" customWidth="1"/>
    <col min="7" max="7" width="14.44140625" bestFit="1" customWidth="1"/>
  </cols>
  <sheetData>
    <row r="1" spans="1:7" x14ac:dyDescent="0.3">
      <c r="A1" s="14" t="s">
        <v>153</v>
      </c>
      <c r="B1" s="14" t="s">
        <v>154</v>
      </c>
      <c r="C1" s="14" t="s">
        <v>155</v>
      </c>
    </row>
    <row r="2" spans="1:7" x14ac:dyDescent="0.3">
      <c r="A2" s="15" t="s">
        <v>156</v>
      </c>
      <c r="B2" s="15" t="s">
        <v>157</v>
      </c>
      <c r="C2" s="16">
        <v>5200</v>
      </c>
    </row>
    <row r="3" spans="1:7" x14ac:dyDescent="0.3">
      <c r="A3" s="15" t="s">
        <v>158</v>
      </c>
      <c r="B3" s="15" t="s">
        <v>159</v>
      </c>
      <c r="C3" s="16">
        <v>8500</v>
      </c>
    </row>
    <row r="4" spans="1:7" x14ac:dyDescent="0.3">
      <c r="A4" s="15" t="s">
        <v>160</v>
      </c>
      <c r="B4" s="15" t="s">
        <v>161</v>
      </c>
      <c r="C4" s="16">
        <v>6500</v>
      </c>
    </row>
    <row r="5" spans="1:7" x14ac:dyDescent="0.3">
      <c r="A5" s="15" t="s">
        <v>162</v>
      </c>
      <c r="B5" s="15" t="s">
        <v>163</v>
      </c>
      <c r="C5" s="16">
        <v>7000</v>
      </c>
    </row>
    <row r="6" spans="1:7" x14ac:dyDescent="0.3">
      <c r="A6" s="15" t="s">
        <v>164</v>
      </c>
      <c r="B6" s="15" t="s">
        <v>165</v>
      </c>
      <c r="C6" s="16">
        <v>9540</v>
      </c>
    </row>
    <row r="7" spans="1:7" x14ac:dyDescent="0.3">
      <c r="A7" s="15" t="s">
        <v>158</v>
      </c>
      <c r="B7" s="15" t="s">
        <v>159</v>
      </c>
      <c r="C7" s="16">
        <v>6510</v>
      </c>
    </row>
    <row r="8" spans="1:7" x14ac:dyDescent="0.3">
      <c r="A8" s="15" t="s">
        <v>160</v>
      </c>
      <c r="B8" s="15" t="s">
        <v>165</v>
      </c>
      <c r="C8" s="16">
        <v>3560</v>
      </c>
    </row>
    <row r="9" spans="1:7" x14ac:dyDescent="0.3">
      <c r="A9" s="15" t="s">
        <v>166</v>
      </c>
      <c r="B9" s="15" t="s">
        <v>161</v>
      </c>
      <c r="C9" s="16">
        <v>10000</v>
      </c>
    </row>
    <row r="10" spans="1:7" x14ac:dyDescent="0.3">
      <c r="A10" s="15" t="s">
        <v>166</v>
      </c>
      <c r="B10" s="15" t="s">
        <v>157</v>
      </c>
      <c r="C10" s="16">
        <v>3600</v>
      </c>
      <c r="F10" s="20" t="s">
        <v>172</v>
      </c>
    </row>
    <row r="11" spans="1:7" x14ac:dyDescent="0.3">
      <c r="A11" s="15" t="s">
        <v>167</v>
      </c>
      <c r="B11" s="15" t="s">
        <v>157</v>
      </c>
      <c r="C11" s="16">
        <v>4511</v>
      </c>
      <c r="F11" s="17" t="s">
        <v>169</v>
      </c>
      <c r="G11" t="s">
        <v>171</v>
      </c>
    </row>
    <row r="12" spans="1:7" x14ac:dyDescent="0.3">
      <c r="A12" s="15" t="s">
        <v>160</v>
      </c>
      <c r="B12" s="15" t="s">
        <v>165</v>
      </c>
      <c r="C12" s="16">
        <v>3250</v>
      </c>
      <c r="F12" s="18" t="s">
        <v>159</v>
      </c>
      <c r="G12" s="13">
        <v>47380</v>
      </c>
    </row>
    <row r="13" spans="1:7" x14ac:dyDescent="0.3">
      <c r="A13" s="15" t="s">
        <v>162</v>
      </c>
      <c r="B13" s="15" t="s">
        <v>165</v>
      </c>
      <c r="C13" s="16">
        <v>5200</v>
      </c>
      <c r="F13" s="19" t="s">
        <v>166</v>
      </c>
      <c r="G13" s="13">
        <v>6950</v>
      </c>
    </row>
    <row r="14" spans="1:7" x14ac:dyDescent="0.3">
      <c r="A14" s="15" t="s">
        <v>158</v>
      </c>
      <c r="B14" s="15" t="s">
        <v>165</v>
      </c>
      <c r="C14" s="16">
        <v>3500</v>
      </c>
      <c r="F14" s="19" t="s">
        <v>158</v>
      </c>
      <c r="G14" s="13">
        <v>22510</v>
      </c>
    </row>
    <row r="15" spans="1:7" x14ac:dyDescent="0.3">
      <c r="A15" s="15" t="s">
        <v>164</v>
      </c>
      <c r="B15" s="15" t="s">
        <v>159</v>
      </c>
      <c r="C15" s="16">
        <v>3600</v>
      </c>
      <c r="F15" s="19" t="s">
        <v>167</v>
      </c>
      <c r="G15" s="13">
        <v>14320</v>
      </c>
    </row>
    <row r="16" spans="1:7" x14ac:dyDescent="0.3">
      <c r="A16" s="15" t="s">
        <v>167</v>
      </c>
      <c r="B16" s="15" t="s">
        <v>163</v>
      </c>
      <c r="C16" s="16">
        <v>2500</v>
      </c>
      <c r="F16" s="19" t="s">
        <v>164</v>
      </c>
      <c r="G16" s="13">
        <v>3600</v>
      </c>
    </row>
    <row r="17" spans="1:7" x14ac:dyDescent="0.3">
      <c r="A17" s="15" t="s">
        <v>160</v>
      </c>
      <c r="B17" s="15" t="s">
        <v>163</v>
      </c>
      <c r="C17" s="16">
        <v>4520</v>
      </c>
      <c r="F17" s="18" t="s">
        <v>165</v>
      </c>
      <c r="G17" s="13">
        <v>36040</v>
      </c>
    </row>
    <row r="18" spans="1:7" x14ac:dyDescent="0.3">
      <c r="A18" s="15" t="s">
        <v>156</v>
      </c>
      <c r="B18" s="15" t="s">
        <v>157</v>
      </c>
      <c r="C18" s="16">
        <v>3500</v>
      </c>
      <c r="F18" s="19" t="s">
        <v>166</v>
      </c>
      <c r="G18" s="13">
        <v>250</v>
      </c>
    </row>
    <row r="19" spans="1:7" x14ac:dyDescent="0.3">
      <c r="A19" s="15" t="s">
        <v>156</v>
      </c>
      <c r="B19" s="15" t="s">
        <v>157</v>
      </c>
      <c r="C19" s="16">
        <v>6350</v>
      </c>
      <c r="F19" s="19" t="s">
        <v>160</v>
      </c>
      <c r="G19" s="13">
        <v>6810</v>
      </c>
    </row>
    <row r="20" spans="1:7" x14ac:dyDescent="0.3">
      <c r="A20" s="15" t="s">
        <v>162</v>
      </c>
      <c r="B20" s="15" t="s">
        <v>157</v>
      </c>
      <c r="C20" s="16">
        <v>4570</v>
      </c>
      <c r="F20" s="19" t="s">
        <v>162</v>
      </c>
      <c r="G20" s="13">
        <v>8840</v>
      </c>
    </row>
    <row r="21" spans="1:7" x14ac:dyDescent="0.3">
      <c r="A21" s="15" t="s">
        <v>166</v>
      </c>
      <c r="B21" s="15" t="s">
        <v>163</v>
      </c>
      <c r="C21" s="16">
        <v>3650</v>
      </c>
      <c r="F21" s="19" t="s">
        <v>158</v>
      </c>
      <c r="G21" s="13">
        <v>3500</v>
      </c>
    </row>
    <row r="22" spans="1:7" x14ac:dyDescent="0.3">
      <c r="A22" s="15" t="s">
        <v>166</v>
      </c>
      <c r="B22" s="15" t="s">
        <v>161</v>
      </c>
      <c r="C22" s="16">
        <v>3500</v>
      </c>
      <c r="F22" s="19" t="s">
        <v>167</v>
      </c>
      <c r="G22" s="13">
        <v>3450</v>
      </c>
    </row>
    <row r="23" spans="1:7" x14ac:dyDescent="0.3">
      <c r="A23" s="15" t="s">
        <v>167</v>
      </c>
      <c r="B23" s="15" t="s">
        <v>165</v>
      </c>
      <c r="C23" s="16">
        <v>3450</v>
      </c>
      <c r="F23" s="19" t="s">
        <v>164</v>
      </c>
      <c r="G23" s="13">
        <v>13190</v>
      </c>
    </row>
    <row r="24" spans="1:7" x14ac:dyDescent="0.3">
      <c r="A24" s="15" t="s">
        <v>164</v>
      </c>
      <c r="B24" s="15" t="s">
        <v>161</v>
      </c>
      <c r="C24" s="16">
        <v>7800</v>
      </c>
      <c r="F24" s="18" t="s">
        <v>161</v>
      </c>
      <c r="G24" s="13">
        <v>45160</v>
      </c>
    </row>
    <row r="25" spans="1:7" x14ac:dyDescent="0.3">
      <c r="A25" s="15" t="s">
        <v>166</v>
      </c>
      <c r="B25" s="15" t="s">
        <v>163</v>
      </c>
      <c r="C25" s="16">
        <v>9800</v>
      </c>
      <c r="F25" s="19" t="s">
        <v>166</v>
      </c>
      <c r="G25" s="13">
        <v>14150</v>
      </c>
    </row>
    <row r="26" spans="1:7" x14ac:dyDescent="0.3">
      <c r="A26" s="15" t="s">
        <v>156</v>
      </c>
      <c r="B26" s="15" t="s">
        <v>157</v>
      </c>
      <c r="C26" s="16">
        <v>3500</v>
      </c>
      <c r="F26" s="19" t="s">
        <v>160</v>
      </c>
      <c r="G26" s="13">
        <v>6500</v>
      </c>
    </row>
    <row r="27" spans="1:7" x14ac:dyDescent="0.3">
      <c r="A27" s="15" t="s">
        <v>166</v>
      </c>
      <c r="B27" s="15" t="s">
        <v>159</v>
      </c>
      <c r="C27" s="16">
        <v>6950</v>
      </c>
      <c r="F27" s="19" t="s">
        <v>162</v>
      </c>
      <c r="G27" s="13">
        <v>3650</v>
      </c>
    </row>
    <row r="28" spans="1:7" x14ac:dyDescent="0.3">
      <c r="A28" s="15" t="s">
        <v>167</v>
      </c>
      <c r="B28" s="15" t="s">
        <v>157</v>
      </c>
      <c r="C28" s="16">
        <v>3600</v>
      </c>
      <c r="F28" s="19" t="s">
        <v>164</v>
      </c>
      <c r="G28" s="13">
        <v>20860</v>
      </c>
    </row>
    <row r="29" spans="1:7" x14ac:dyDescent="0.3">
      <c r="A29" s="15" t="s">
        <v>164</v>
      </c>
      <c r="B29" s="15" t="s">
        <v>165</v>
      </c>
      <c r="C29" s="16">
        <v>3650</v>
      </c>
      <c r="F29" s="18" t="s">
        <v>157</v>
      </c>
      <c r="G29" s="13">
        <v>45911</v>
      </c>
    </row>
    <row r="30" spans="1:7" x14ac:dyDescent="0.3">
      <c r="A30" s="15" t="s">
        <v>167</v>
      </c>
      <c r="B30" s="15" t="s">
        <v>163</v>
      </c>
      <c r="C30" s="16">
        <v>800</v>
      </c>
      <c r="F30" s="19" t="s">
        <v>166</v>
      </c>
      <c r="G30" s="13">
        <v>8180</v>
      </c>
    </row>
    <row r="31" spans="1:7" x14ac:dyDescent="0.3">
      <c r="A31" s="15" t="s">
        <v>166</v>
      </c>
      <c r="B31" s="15" t="s">
        <v>163</v>
      </c>
      <c r="C31" s="16">
        <v>3600</v>
      </c>
      <c r="F31" s="19" t="s">
        <v>162</v>
      </c>
      <c r="G31" s="13">
        <v>11070</v>
      </c>
    </row>
    <row r="32" spans="1:7" x14ac:dyDescent="0.3">
      <c r="A32" s="15" t="s">
        <v>166</v>
      </c>
      <c r="B32" s="15" t="s">
        <v>163</v>
      </c>
      <c r="C32" s="16">
        <v>950</v>
      </c>
      <c r="F32" s="19" t="s">
        <v>156</v>
      </c>
      <c r="G32" s="13">
        <v>18550</v>
      </c>
    </row>
    <row r="33" spans="1:7" x14ac:dyDescent="0.3">
      <c r="A33" s="15" t="s">
        <v>166</v>
      </c>
      <c r="B33" s="15" t="s">
        <v>161</v>
      </c>
      <c r="C33" s="16">
        <v>650</v>
      </c>
      <c r="F33" s="19" t="s">
        <v>167</v>
      </c>
      <c r="G33" s="13">
        <v>8111</v>
      </c>
    </row>
    <row r="34" spans="1:7" x14ac:dyDescent="0.3">
      <c r="A34" s="15" t="s">
        <v>166</v>
      </c>
      <c r="B34" s="15" t="s">
        <v>165</v>
      </c>
      <c r="C34" s="16">
        <v>250</v>
      </c>
      <c r="F34" s="18" t="s">
        <v>163</v>
      </c>
      <c r="G34" s="13">
        <v>32820</v>
      </c>
    </row>
    <row r="35" spans="1:7" x14ac:dyDescent="0.3">
      <c r="A35" s="15" t="s">
        <v>162</v>
      </c>
      <c r="B35" s="15" t="s">
        <v>161</v>
      </c>
      <c r="C35" s="16">
        <v>3650</v>
      </c>
      <c r="F35" s="19" t="s">
        <v>166</v>
      </c>
      <c r="G35" s="13">
        <v>18000</v>
      </c>
    </row>
    <row r="36" spans="1:7" x14ac:dyDescent="0.3">
      <c r="A36" s="15" t="s">
        <v>162</v>
      </c>
      <c r="B36" s="15" t="s">
        <v>165</v>
      </c>
      <c r="C36" s="16">
        <v>3640</v>
      </c>
      <c r="F36" s="19" t="s">
        <v>160</v>
      </c>
      <c r="G36" s="13">
        <v>4520</v>
      </c>
    </row>
    <row r="37" spans="1:7" x14ac:dyDescent="0.3">
      <c r="A37" s="15" t="s">
        <v>162</v>
      </c>
      <c r="B37" s="15" t="s">
        <v>157</v>
      </c>
      <c r="C37" s="16">
        <v>6500</v>
      </c>
      <c r="F37" s="19" t="s">
        <v>162</v>
      </c>
      <c r="G37" s="13">
        <v>7000</v>
      </c>
    </row>
    <row r="38" spans="1:7" x14ac:dyDescent="0.3">
      <c r="A38" s="15" t="s">
        <v>158</v>
      </c>
      <c r="B38" s="15" t="s">
        <v>159</v>
      </c>
      <c r="C38" s="16">
        <v>7500</v>
      </c>
      <c r="F38" s="19" t="s">
        <v>167</v>
      </c>
      <c r="G38" s="13">
        <v>3300</v>
      </c>
    </row>
    <row r="39" spans="1:7" x14ac:dyDescent="0.3">
      <c r="A39" s="15" t="s">
        <v>164</v>
      </c>
      <c r="B39" s="15" t="s">
        <v>161</v>
      </c>
      <c r="C39" s="16">
        <v>9500</v>
      </c>
      <c r="F39" s="18" t="s">
        <v>170</v>
      </c>
      <c r="G39" s="13">
        <v>207311</v>
      </c>
    </row>
    <row r="40" spans="1:7" x14ac:dyDescent="0.3">
      <c r="A40" s="15" t="s">
        <v>164</v>
      </c>
      <c r="B40" s="15" t="s">
        <v>161</v>
      </c>
      <c r="C40" s="16">
        <v>3560</v>
      </c>
    </row>
    <row r="41" spans="1:7" x14ac:dyDescent="0.3">
      <c r="A41" s="15" t="s">
        <v>166</v>
      </c>
      <c r="B41" s="15" t="s">
        <v>157</v>
      </c>
      <c r="C41" s="16">
        <v>4580</v>
      </c>
    </row>
    <row r="42" spans="1:7" x14ac:dyDescent="0.3">
      <c r="A42" s="15" t="s">
        <v>167</v>
      </c>
      <c r="B42" s="15" t="s">
        <v>159</v>
      </c>
      <c r="C42" s="16">
        <v>6500</v>
      </c>
    </row>
    <row r="43" spans="1:7" x14ac:dyDescent="0.3">
      <c r="A43" s="15" t="s">
        <v>167</v>
      </c>
      <c r="B43" s="15" t="s">
        <v>159</v>
      </c>
      <c r="C43" s="16">
        <v>7820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C560-C653-4B17-94BA-D1615F7791FC}">
  <dimension ref="A1:I32"/>
  <sheetViews>
    <sheetView tabSelected="1" zoomScale="80" workbookViewId="0">
      <selection activeCell="J21" sqref="J21"/>
    </sheetView>
  </sheetViews>
  <sheetFormatPr defaultRowHeight="14.4" x14ac:dyDescent="0.3"/>
  <cols>
    <col min="1" max="1" width="11.5546875" bestFit="1" customWidth="1"/>
    <col min="3" max="3" width="12.21875" customWidth="1"/>
    <col min="6" max="6" width="15.77734375" customWidth="1"/>
  </cols>
  <sheetData>
    <row r="1" spans="1:9" ht="15.6" x14ac:dyDescent="0.3">
      <c r="A1" s="29" t="s">
        <v>188</v>
      </c>
      <c r="B1" s="21"/>
      <c r="C1" s="29" t="s">
        <v>189</v>
      </c>
    </row>
    <row r="2" spans="1:9" x14ac:dyDescent="0.3">
      <c r="A2" s="30">
        <v>44896</v>
      </c>
      <c r="B2" s="21"/>
      <c r="C2" s="31">
        <v>44900</v>
      </c>
    </row>
    <row r="3" spans="1:9" x14ac:dyDescent="0.3">
      <c r="A3" s="32">
        <v>44897</v>
      </c>
      <c r="B3" s="21"/>
      <c r="C3" s="33">
        <v>44920</v>
      </c>
    </row>
    <row r="4" spans="1:9" ht="15.6" x14ac:dyDescent="0.3">
      <c r="A4" s="30">
        <v>44898</v>
      </c>
      <c r="B4" s="21"/>
      <c r="C4" s="31">
        <v>44923</v>
      </c>
      <c r="F4" s="28" t="s">
        <v>190</v>
      </c>
      <c r="G4" s="28"/>
      <c r="H4" s="28"/>
      <c r="I4" s="28"/>
    </row>
    <row r="5" spans="1:9" x14ac:dyDescent="0.3">
      <c r="A5" s="32">
        <v>44899</v>
      </c>
      <c r="B5" s="21"/>
      <c r="C5" s="32">
        <v>44905</v>
      </c>
    </row>
    <row r="6" spans="1:9" x14ac:dyDescent="0.3">
      <c r="A6" s="30">
        <v>44900</v>
      </c>
      <c r="B6" s="21"/>
      <c r="C6" s="32">
        <v>44913</v>
      </c>
      <c r="F6" s="1" t="s">
        <v>188</v>
      </c>
    </row>
    <row r="7" spans="1:9" x14ac:dyDescent="0.3">
      <c r="A7" s="32">
        <v>44901</v>
      </c>
      <c r="B7" s="21"/>
      <c r="C7" s="21"/>
      <c r="F7" s="10">
        <v>44896</v>
      </c>
    </row>
    <row r="8" spans="1:9" x14ac:dyDescent="0.3">
      <c r="A8" s="30">
        <v>44902</v>
      </c>
      <c r="B8" s="21"/>
      <c r="C8" s="21"/>
      <c r="F8" s="10">
        <v>44897</v>
      </c>
    </row>
    <row r="9" spans="1:9" x14ac:dyDescent="0.3">
      <c r="A9" s="32">
        <v>44903</v>
      </c>
      <c r="B9" s="21"/>
      <c r="C9" s="21"/>
      <c r="F9" s="10">
        <v>44898</v>
      </c>
    </row>
    <row r="10" spans="1:9" x14ac:dyDescent="0.3">
      <c r="A10" s="30">
        <v>44904</v>
      </c>
      <c r="B10" s="21"/>
      <c r="C10" s="21"/>
      <c r="F10" s="10">
        <v>44899</v>
      </c>
    </row>
    <row r="11" spans="1:9" x14ac:dyDescent="0.3">
      <c r="A11" s="32">
        <v>44905</v>
      </c>
      <c r="B11" s="21"/>
      <c r="C11" s="21"/>
      <c r="F11" s="10">
        <v>44901</v>
      </c>
    </row>
    <row r="12" spans="1:9" x14ac:dyDescent="0.3">
      <c r="A12" s="30">
        <v>44906</v>
      </c>
      <c r="B12" s="21"/>
      <c r="C12" s="21"/>
      <c r="F12" s="10">
        <v>44902</v>
      </c>
    </row>
    <row r="13" spans="1:9" x14ac:dyDescent="0.3">
      <c r="A13" s="32">
        <v>44907</v>
      </c>
      <c r="B13" s="21"/>
      <c r="C13" s="21"/>
      <c r="F13" s="10">
        <v>44903</v>
      </c>
    </row>
    <row r="14" spans="1:9" x14ac:dyDescent="0.3">
      <c r="A14" s="30">
        <v>44908</v>
      </c>
      <c r="B14" s="21"/>
      <c r="C14" s="21"/>
      <c r="F14" s="10">
        <v>44904</v>
      </c>
    </row>
    <row r="15" spans="1:9" x14ac:dyDescent="0.3">
      <c r="A15" s="32">
        <v>44909</v>
      </c>
      <c r="B15" s="21"/>
      <c r="C15" s="21"/>
      <c r="F15" s="10">
        <v>44906</v>
      </c>
    </row>
    <row r="16" spans="1:9" x14ac:dyDescent="0.3">
      <c r="A16" s="30">
        <v>44910</v>
      </c>
      <c r="B16" s="21"/>
      <c r="C16" s="21"/>
      <c r="F16" s="10">
        <v>44907</v>
      </c>
    </row>
    <row r="17" spans="1:6" x14ac:dyDescent="0.3">
      <c r="A17" s="32">
        <v>44911</v>
      </c>
      <c r="B17" s="21"/>
      <c r="C17" s="21"/>
      <c r="F17" s="10">
        <v>44908</v>
      </c>
    </row>
    <row r="18" spans="1:6" x14ac:dyDescent="0.3">
      <c r="A18" s="30">
        <v>44912</v>
      </c>
      <c r="B18" s="21"/>
      <c r="C18" s="21"/>
      <c r="F18" s="10">
        <v>44909</v>
      </c>
    </row>
    <row r="19" spans="1:6" x14ac:dyDescent="0.3">
      <c r="A19" s="32">
        <v>44913</v>
      </c>
      <c r="B19" s="21"/>
      <c r="C19" s="21"/>
      <c r="F19" s="10">
        <v>44910</v>
      </c>
    </row>
    <row r="20" spans="1:6" x14ac:dyDescent="0.3">
      <c r="A20" s="30">
        <v>44914</v>
      </c>
      <c r="B20" s="21"/>
      <c r="C20" s="21"/>
      <c r="F20" s="10">
        <v>44911</v>
      </c>
    </row>
    <row r="21" spans="1:6" x14ac:dyDescent="0.3">
      <c r="A21" s="32">
        <v>44915</v>
      </c>
      <c r="B21" s="21"/>
      <c r="C21" s="21"/>
      <c r="F21" s="10">
        <v>44912</v>
      </c>
    </row>
    <row r="22" spans="1:6" x14ac:dyDescent="0.3">
      <c r="A22" s="30">
        <v>44916</v>
      </c>
      <c r="B22" s="21"/>
      <c r="C22" s="21"/>
      <c r="F22" s="10">
        <v>44914</v>
      </c>
    </row>
    <row r="23" spans="1:6" x14ac:dyDescent="0.3">
      <c r="A23" s="32">
        <v>44917</v>
      </c>
      <c r="B23" s="21"/>
      <c r="C23" s="21"/>
      <c r="F23" s="10">
        <v>44915</v>
      </c>
    </row>
    <row r="24" spans="1:6" x14ac:dyDescent="0.3">
      <c r="A24" s="30">
        <v>44918</v>
      </c>
      <c r="B24" s="21"/>
      <c r="C24" s="21"/>
      <c r="F24" s="10">
        <v>44916</v>
      </c>
    </row>
    <row r="25" spans="1:6" x14ac:dyDescent="0.3">
      <c r="A25" s="32">
        <v>44919</v>
      </c>
      <c r="B25" s="21"/>
      <c r="C25" s="21"/>
      <c r="F25" s="10">
        <v>44917</v>
      </c>
    </row>
    <row r="26" spans="1:6" x14ac:dyDescent="0.3">
      <c r="A26" s="30">
        <v>44920</v>
      </c>
      <c r="B26" s="21"/>
      <c r="C26" s="21"/>
      <c r="F26" s="10">
        <v>44918</v>
      </c>
    </row>
    <row r="27" spans="1:6" x14ac:dyDescent="0.3">
      <c r="A27" s="32">
        <v>44921</v>
      </c>
      <c r="B27" s="21"/>
      <c r="C27" s="21"/>
      <c r="F27" s="10">
        <v>44919</v>
      </c>
    </row>
    <row r="28" spans="1:6" x14ac:dyDescent="0.3">
      <c r="A28" s="30">
        <v>44922</v>
      </c>
      <c r="B28" s="21"/>
      <c r="C28" s="21"/>
      <c r="F28" s="10">
        <v>44921</v>
      </c>
    </row>
    <row r="29" spans="1:6" x14ac:dyDescent="0.3">
      <c r="A29" s="32">
        <v>44923</v>
      </c>
      <c r="B29" s="21"/>
      <c r="C29" s="21"/>
      <c r="F29" s="10">
        <v>44922</v>
      </c>
    </row>
    <row r="30" spans="1:6" x14ac:dyDescent="0.3">
      <c r="A30" s="30">
        <v>44924</v>
      </c>
      <c r="B30" s="21"/>
      <c r="C30" s="21"/>
      <c r="F30" s="10">
        <v>44924</v>
      </c>
    </row>
    <row r="31" spans="1:6" x14ac:dyDescent="0.3">
      <c r="A31" s="32">
        <v>44925</v>
      </c>
      <c r="B31" s="21"/>
      <c r="C31" s="21"/>
      <c r="F31" s="10">
        <v>44925</v>
      </c>
    </row>
    <row r="32" spans="1:6" x14ac:dyDescent="0.3">
      <c r="F32" s="1"/>
    </row>
  </sheetData>
  <mergeCells count="1">
    <mergeCell ref="F4:I4"/>
  </mergeCells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7D921F-0038-4D9D-B0DD-E5AE80DE5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Topics-covered</vt:lpstr>
      <vt:lpstr>SplitName_UpperCase_sheet</vt:lpstr>
      <vt:lpstr>data-1</vt:lpstr>
      <vt:lpstr>UnpivotedData</vt:lpstr>
      <vt:lpstr>DataForUnpivot</vt:lpstr>
      <vt:lpstr>GroupByTable</vt:lpstr>
      <vt:lpstr>DataForGroupBy</vt:lpstr>
      <vt:lpstr>DateTimeData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2025-05-28T18:52:55Z</dcterms:created>
  <dcterms:modified xsi:type="dcterms:W3CDTF">2025-05-28T21:29:12Z</dcterms:modified>
</cp:coreProperties>
</file>