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rohit\Excel_Practice\PowerQuery-and-PowerPivot\Power-Query\Load-CSV-DATA\"/>
    </mc:Choice>
  </mc:AlternateContent>
  <xr:revisionPtr revIDLastSave="0" documentId="13_ncr:1_{6C8ACEBE-7026-472B-BBC3-B5C799D425C1}" xr6:coauthVersionLast="47" xr6:coauthVersionMax="47" xr10:uidLastSave="{00000000-0000-0000-0000-000000000000}"/>
  <bookViews>
    <workbookView xWindow="-108" yWindow="-108" windowWidth="23256" windowHeight="12456" activeTab="1" xr2:uid="{BCDA3CBB-3318-4D72-A7A8-946EEB793798}"/>
  </bookViews>
  <sheets>
    <sheet name="DataAnalysis-Steps" sheetId="2" r:id="rId1"/>
    <sheet name="analysis-report" sheetId="3" r:id="rId2"/>
    <sheet name="PivotTable-and-xlookup" sheetId="1" r:id="rId3"/>
  </sheets>
  <definedNames>
    <definedName name="ExternalData_1" localSheetId="2" hidden="1">'PivotTable-and-xlookup'!$A$15:$D$873</definedName>
    <definedName name="Slicer_Product">#N/A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1" l="1" a="1"/>
  <c r="E16" i="1" s="1"/>
  <c r="E17" i="1" a="1"/>
  <c r="E17" i="1"/>
  <c r="E18" i="1" a="1"/>
  <c r="E18" i="1" s="1"/>
  <c r="E19" i="1" a="1"/>
  <c r="E19" i="1"/>
  <c r="E20" i="1" a="1"/>
  <c r="E20" i="1" s="1"/>
  <c r="E21" i="1" a="1"/>
  <c r="E21" i="1"/>
  <c r="E22" i="1" a="1"/>
  <c r="E22" i="1" s="1"/>
  <c r="E23" i="1" a="1"/>
  <c r="E23" i="1"/>
  <c r="E24" i="1" a="1"/>
  <c r="E24" i="1" s="1"/>
  <c r="E25" i="1" a="1"/>
  <c r="E25" i="1" s="1"/>
  <c r="E26" i="1" a="1"/>
  <c r="E26" i="1"/>
  <c r="E27" i="1" a="1"/>
  <c r="E27" i="1" s="1"/>
  <c r="E28" i="1" a="1"/>
  <c r="E28" i="1"/>
  <c r="E29" i="1" a="1"/>
  <c r="E29" i="1"/>
  <c r="E30" i="1" a="1"/>
  <c r="E30" i="1" s="1"/>
  <c r="E31" i="1" a="1"/>
  <c r="E31" i="1" s="1"/>
  <c r="E32" i="1" a="1"/>
  <c r="E32" i="1"/>
  <c r="E33" i="1" a="1"/>
  <c r="E33" i="1" s="1"/>
  <c r="E34" i="1" a="1"/>
  <c r="E34" i="1" s="1"/>
  <c r="E35" i="1" a="1"/>
  <c r="E35" i="1"/>
  <c r="E36" i="1" a="1"/>
  <c r="E36" i="1" s="1"/>
  <c r="E37" i="1" a="1"/>
  <c r="E37" i="1"/>
  <c r="E38" i="1" a="1"/>
  <c r="E38" i="1" s="1"/>
  <c r="E39" i="1" a="1"/>
  <c r="E39" i="1"/>
  <c r="E40" i="1" a="1"/>
  <c r="E40" i="1"/>
  <c r="E41" i="1" a="1"/>
  <c r="E41" i="1" s="1"/>
  <c r="E42" i="1" a="1"/>
  <c r="E42" i="1" s="1"/>
  <c r="E43" i="1" a="1"/>
  <c r="E43" i="1" s="1"/>
  <c r="E44" i="1" a="1"/>
  <c r="E44" i="1"/>
  <c r="E45" i="1" a="1"/>
  <c r="E45" i="1" s="1"/>
  <c r="E46" i="1" a="1"/>
  <c r="E46" i="1" s="1"/>
  <c r="E47" i="1" a="1"/>
  <c r="E47" i="1" s="1"/>
  <c r="E48" i="1" a="1"/>
  <c r="E48" i="1" s="1"/>
  <c r="E49" i="1" a="1"/>
  <c r="E49" i="1" s="1"/>
  <c r="E50" i="1" a="1"/>
  <c r="E50" i="1" s="1"/>
  <c r="E51" i="1" a="1"/>
  <c r="E51" i="1" s="1"/>
  <c r="E52" i="1" a="1"/>
  <c r="E52" i="1"/>
  <c r="E53" i="1" a="1"/>
  <c r="E53" i="1" s="1"/>
  <c r="E54" i="1" a="1"/>
  <c r="E54" i="1" s="1"/>
  <c r="E55" i="1" a="1"/>
  <c r="E55" i="1" s="1"/>
  <c r="E56" i="1" a="1"/>
  <c r="E56" i="1" s="1"/>
  <c r="E57" i="1" a="1"/>
  <c r="E57" i="1"/>
  <c r="E58" i="1" a="1"/>
  <c r="E58" i="1"/>
  <c r="E59" i="1" a="1"/>
  <c r="E59" i="1" s="1"/>
  <c r="E60" i="1" a="1"/>
  <c r="E60" i="1" s="1"/>
  <c r="E61" i="1" a="1"/>
  <c r="E61" i="1"/>
  <c r="E62" i="1" a="1"/>
  <c r="E62" i="1" s="1"/>
  <c r="E63" i="1" a="1"/>
  <c r="E63" i="1" s="1"/>
  <c r="E64" i="1" a="1"/>
  <c r="E64" i="1" s="1"/>
  <c r="E65" i="1" a="1"/>
  <c r="E65" i="1"/>
  <c r="E66" i="1" a="1"/>
  <c r="E66" i="1" s="1"/>
  <c r="E67" i="1" a="1"/>
  <c r="E67" i="1" s="1"/>
  <c r="E68" i="1" a="1"/>
  <c r="E68" i="1" s="1"/>
  <c r="E69" i="1" a="1"/>
  <c r="E69" i="1" s="1"/>
  <c r="E70" i="1" a="1"/>
  <c r="E70" i="1"/>
  <c r="E71" i="1" a="1"/>
  <c r="E71" i="1" s="1"/>
  <c r="E72" i="1" a="1"/>
  <c r="E72" i="1" s="1"/>
  <c r="E73" i="1" a="1"/>
  <c r="E73" i="1"/>
  <c r="E74" i="1" a="1"/>
  <c r="E74" i="1"/>
  <c r="E75" i="1" a="1"/>
  <c r="E75" i="1" s="1"/>
  <c r="E76" i="1" a="1"/>
  <c r="E76" i="1" s="1"/>
  <c r="E77" i="1" a="1"/>
  <c r="E77" i="1" s="1"/>
  <c r="E78" i="1" a="1"/>
  <c r="E78" i="1" s="1"/>
  <c r="E79" i="1" a="1"/>
  <c r="E79" i="1" s="1"/>
  <c r="E80" i="1" a="1"/>
  <c r="E80" i="1" s="1"/>
  <c r="E81" i="1" a="1"/>
  <c r="E81" i="1" s="1"/>
  <c r="E82" i="1" a="1"/>
  <c r="E82" i="1" s="1"/>
  <c r="E83" i="1" a="1"/>
  <c r="E83" i="1"/>
  <c r="E84" i="1" a="1"/>
  <c r="E84" i="1" s="1"/>
  <c r="E85" i="1" a="1"/>
  <c r="E85" i="1"/>
  <c r="E86" i="1" a="1"/>
  <c r="E86" i="1"/>
  <c r="E87" i="1" a="1"/>
  <c r="E87" i="1" s="1"/>
  <c r="E88" i="1" a="1"/>
  <c r="E88" i="1" s="1"/>
  <c r="E89" i="1" a="1"/>
  <c r="E89" i="1" s="1"/>
  <c r="E90" i="1" a="1"/>
  <c r="E90" i="1" s="1"/>
  <c r="E91" i="1" a="1"/>
  <c r="E91" i="1"/>
  <c r="E92" i="1" a="1"/>
  <c r="E92" i="1" s="1"/>
  <c r="E93" i="1" a="1"/>
  <c r="E93" i="1" s="1"/>
  <c r="E94" i="1" a="1"/>
  <c r="E94" i="1" s="1"/>
  <c r="E95" i="1" a="1"/>
  <c r="E95" i="1" s="1"/>
  <c r="E96" i="1" a="1"/>
  <c r="E96" i="1" s="1"/>
  <c r="E97" i="1" a="1"/>
  <c r="E97" i="1" s="1"/>
  <c r="E98" i="1" a="1"/>
  <c r="E98" i="1" s="1"/>
  <c r="E99" i="1" a="1"/>
  <c r="E99" i="1"/>
  <c r="E100" i="1" a="1"/>
  <c r="E100" i="1"/>
  <c r="E101" i="1" a="1"/>
  <c r="E101" i="1" s="1"/>
  <c r="E102" i="1" a="1"/>
  <c r="E102" i="1" s="1"/>
  <c r="E103" i="1" a="1"/>
  <c r="E103" i="1"/>
  <c r="E104" i="1" a="1"/>
  <c r="E104" i="1"/>
  <c r="E105" i="1" a="1"/>
  <c r="E105" i="1" s="1"/>
  <c r="E106" i="1" a="1"/>
  <c r="E106" i="1" s="1"/>
  <c r="E107" i="1" a="1"/>
  <c r="E107" i="1" s="1"/>
  <c r="E108" i="1" a="1"/>
  <c r="E108" i="1" s="1"/>
  <c r="E109" i="1" a="1"/>
  <c r="E109" i="1" s="1"/>
  <c r="E110" i="1" a="1"/>
  <c r="E110" i="1" s="1"/>
  <c r="E111" i="1" a="1"/>
  <c r="E111" i="1" s="1"/>
  <c r="E112" i="1" a="1"/>
  <c r="E112" i="1"/>
  <c r="E113" i="1" a="1"/>
  <c r="E113" i="1"/>
  <c r="E114" i="1" a="1"/>
  <c r="E114" i="1" s="1"/>
  <c r="E115" i="1" a="1"/>
  <c r="E115" i="1" s="1"/>
  <c r="E116" i="1" a="1"/>
  <c r="E116" i="1"/>
  <c r="E117" i="1" a="1"/>
  <c r="E117" i="1"/>
  <c r="E118" i="1" a="1"/>
  <c r="E118" i="1" s="1"/>
  <c r="E119" i="1" a="1"/>
  <c r="E119" i="1"/>
  <c r="E120" i="1" a="1"/>
  <c r="E120" i="1" s="1"/>
  <c r="E121" i="1" a="1"/>
  <c r="E121" i="1" s="1"/>
  <c r="E122" i="1" a="1"/>
  <c r="E122" i="1" s="1"/>
  <c r="E123" i="1" a="1"/>
  <c r="E123" i="1" s="1"/>
  <c r="E124" i="1" a="1"/>
  <c r="E124" i="1"/>
  <c r="E125" i="1" a="1"/>
  <c r="E125" i="1"/>
  <c r="E126" i="1" a="1"/>
  <c r="E126" i="1" s="1"/>
  <c r="E127" i="1" a="1"/>
  <c r="E127" i="1" s="1"/>
  <c r="E128" i="1" a="1"/>
  <c r="E128" i="1" s="1"/>
  <c r="E129" i="1" a="1"/>
  <c r="E129" i="1"/>
  <c r="E130" i="1" a="1"/>
  <c r="E130" i="1"/>
  <c r="E131" i="1" a="1"/>
  <c r="E131" i="1" s="1"/>
  <c r="E132" i="1" a="1"/>
  <c r="E132" i="1" s="1"/>
  <c r="E133" i="1" a="1"/>
  <c r="E133" i="1"/>
  <c r="E134" i="1" a="1"/>
  <c r="E134" i="1" s="1"/>
  <c r="E135" i="1" a="1"/>
  <c r="E135" i="1" s="1"/>
  <c r="E136" i="1" a="1"/>
  <c r="E136" i="1" s="1"/>
  <c r="E137" i="1" a="1"/>
  <c r="E137" i="1"/>
  <c r="E138" i="1" a="1"/>
  <c r="E138" i="1" s="1"/>
  <c r="E139" i="1" a="1"/>
  <c r="E139" i="1"/>
  <c r="E140" i="1" a="1"/>
  <c r="E140" i="1" s="1"/>
  <c r="E141" i="1" a="1"/>
  <c r="E141" i="1" s="1"/>
  <c r="E142" i="1" a="1"/>
  <c r="E142" i="1"/>
  <c r="E143" i="1" a="1"/>
  <c r="E143" i="1"/>
  <c r="E144" i="1" a="1"/>
  <c r="E144" i="1" s="1"/>
  <c r="E145" i="1" a="1"/>
  <c r="E145" i="1"/>
  <c r="E146" i="1" a="1"/>
  <c r="E146" i="1" s="1"/>
  <c r="E147" i="1" a="1"/>
  <c r="E147" i="1" s="1"/>
  <c r="E148" i="1" a="1"/>
  <c r="E148" i="1" s="1"/>
  <c r="E149" i="1" a="1"/>
  <c r="E149" i="1" s="1"/>
  <c r="E150" i="1" a="1"/>
  <c r="E150" i="1" s="1"/>
  <c r="E151" i="1" a="1"/>
  <c r="E151" i="1" s="1"/>
  <c r="E152" i="1" a="1"/>
  <c r="E152" i="1"/>
  <c r="E153" i="1" a="1"/>
  <c r="E153" i="1" s="1"/>
  <c r="E154" i="1" a="1"/>
  <c r="E154" i="1" s="1"/>
  <c r="E155" i="1" a="1"/>
  <c r="E155" i="1" s="1"/>
  <c r="E156" i="1" a="1"/>
  <c r="E156" i="1" s="1"/>
  <c r="E157" i="1" a="1"/>
  <c r="E157" i="1"/>
  <c r="E158" i="1" a="1"/>
  <c r="E158" i="1" s="1"/>
  <c r="E159" i="1" a="1"/>
  <c r="E159" i="1" s="1"/>
  <c r="E160" i="1" a="1"/>
  <c r="E160" i="1" s="1"/>
  <c r="E161" i="1" a="1"/>
  <c r="E161" i="1" s="1"/>
  <c r="E162" i="1" a="1"/>
  <c r="E162" i="1" s="1"/>
  <c r="E163" i="1" a="1"/>
  <c r="E163" i="1" s="1"/>
  <c r="E164" i="1" a="1"/>
  <c r="E164" i="1" s="1"/>
  <c r="E165" i="1" a="1"/>
  <c r="E165" i="1"/>
  <c r="E166" i="1" a="1"/>
  <c r="E166" i="1" s="1"/>
  <c r="E167" i="1" a="1"/>
  <c r="E167" i="1" s="1"/>
  <c r="E168" i="1" a="1"/>
  <c r="E168" i="1" s="1"/>
  <c r="E169" i="1" a="1"/>
  <c r="E169" i="1" s="1"/>
  <c r="E170" i="1" a="1"/>
  <c r="E170" i="1"/>
  <c r="E171" i="1" a="1"/>
  <c r="E171" i="1" s="1"/>
  <c r="E172" i="1" a="1"/>
  <c r="E172" i="1" s="1"/>
  <c r="E173" i="1" a="1"/>
  <c r="E173" i="1" s="1"/>
  <c r="E174" i="1" a="1"/>
  <c r="E174" i="1" s="1"/>
  <c r="E175" i="1" a="1"/>
  <c r="E175" i="1"/>
  <c r="E176" i="1" a="1"/>
  <c r="E176" i="1"/>
  <c r="E177" i="1" a="1"/>
  <c r="E177" i="1" s="1"/>
  <c r="E178" i="1" a="1"/>
  <c r="E178" i="1" s="1"/>
  <c r="E179" i="1" a="1"/>
  <c r="E179" i="1" s="1"/>
  <c r="E180" i="1" a="1"/>
  <c r="E180" i="1" s="1"/>
  <c r="E181" i="1" a="1"/>
  <c r="E181" i="1" s="1"/>
  <c r="E182" i="1" a="1"/>
  <c r="E182" i="1" s="1"/>
  <c r="E183" i="1" a="1"/>
  <c r="E183" i="1"/>
  <c r="E184" i="1" a="1"/>
  <c r="E184" i="1" s="1"/>
  <c r="E185" i="1" a="1"/>
  <c r="E185" i="1" s="1"/>
  <c r="E186" i="1" a="1"/>
  <c r="E186" i="1" s="1"/>
  <c r="E187" i="1" a="1"/>
  <c r="E187" i="1" s="1"/>
  <c r="E188" i="1" a="1"/>
  <c r="E188" i="1" s="1"/>
  <c r="E189" i="1" a="1"/>
  <c r="E189" i="1"/>
  <c r="E190" i="1" a="1"/>
  <c r="E190" i="1" s="1"/>
  <c r="E191" i="1" a="1"/>
  <c r="E191" i="1" s="1"/>
  <c r="E192" i="1" a="1"/>
  <c r="E192" i="1" s="1"/>
  <c r="E193" i="1" a="1"/>
  <c r="E193" i="1" s="1"/>
  <c r="E194" i="1" a="1"/>
  <c r="E194" i="1"/>
  <c r="E195" i="1" a="1"/>
  <c r="E195" i="1" s="1"/>
  <c r="E196" i="1" a="1"/>
  <c r="E196" i="1" s="1"/>
  <c r="E197" i="1" a="1"/>
  <c r="E197" i="1"/>
  <c r="E198" i="1" a="1"/>
  <c r="E198" i="1" s="1"/>
  <c r="E199" i="1" a="1"/>
  <c r="E199" i="1" s="1"/>
  <c r="E200" i="1" a="1"/>
  <c r="E200" i="1" s="1"/>
  <c r="E201" i="1" a="1"/>
  <c r="E201" i="1"/>
  <c r="E202" i="1" a="1"/>
  <c r="E202" i="1"/>
  <c r="E203" i="1" a="1"/>
  <c r="E203" i="1" s="1"/>
  <c r="E204" i="1" a="1"/>
  <c r="E204" i="1" s="1"/>
  <c r="E205" i="1" a="1"/>
  <c r="E205" i="1" s="1"/>
  <c r="E206" i="1" a="1"/>
  <c r="E206" i="1" s="1"/>
  <c r="E207" i="1" a="1"/>
  <c r="E207" i="1"/>
  <c r="E208" i="1" a="1"/>
  <c r="E208" i="1" s="1"/>
  <c r="E209" i="1" a="1"/>
  <c r="E209" i="1" s="1"/>
  <c r="E210" i="1" a="1"/>
  <c r="E210" i="1" s="1"/>
  <c r="E211" i="1" a="1"/>
  <c r="E211" i="1" s="1"/>
  <c r="E212" i="1" a="1"/>
  <c r="E212" i="1" s="1"/>
  <c r="E213" i="1" a="1"/>
  <c r="E213" i="1" s="1"/>
  <c r="E214" i="1" a="1"/>
  <c r="E214" i="1" s="1"/>
  <c r="E215" i="1" a="1"/>
  <c r="E215" i="1"/>
  <c r="E216" i="1" a="1"/>
  <c r="E216" i="1" s="1"/>
  <c r="E217" i="1" a="1"/>
  <c r="E217" i="1"/>
  <c r="E218" i="1" a="1"/>
  <c r="E218" i="1"/>
  <c r="E219" i="1" a="1"/>
  <c r="E219" i="1" s="1"/>
  <c r="E220" i="1" a="1"/>
  <c r="E220" i="1"/>
  <c r="E221" i="1" a="1"/>
  <c r="E221" i="1" s="1"/>
  <c r="E222" i="1" a="1"/>
  <c r="E222" i="1" s="1"/>
  <c r="E223" i="1" a="1"/>
  <c r="E223" i="1" s="1"/>
  <c r="E224" i="1" a="1"/>
  <c r="E224" i="1"/>
  <c r="E225" i="1" a="1"/>
  <c r="E225" i="1" s="1"/>
  <c r="E226" i="1" a="1"/>
  <c r="E226" i="1" s="1"/>
  <c r="E227" i="1" a="1"/>
  <c r="E227" i="1" s="1"/>
  <c r="E228" i="1" a="1"/>
  <c r="E228" i="1" s="1"/>
  <c r="E229" i="1" a="1"/>
  <c r="E229" i="1"/>
  <c r="E230" i="1" a="1"/>
  <c r="E230" i="1" s="1"/>
  <c r="E231" i="1" a="1"/>
  <c r="E231" i="1" s="1"/>
  <c r="E232" i="1" a="1"/>
  <c r="E232" i="1" s="1"/>
  <c r="E233" i="1" a="1"/>
  <c r="E233" i="1"/>
  <c r="E234" i="1" a="1"/>
  <c r="E234" i="1" s="1"/>
  <c r="E235" i="1" a="1"/>
  <c r="E235" i="1" s="1"/>
  <c r="E236" i="1" a="1"/>
  <c r="E236" i="1" s="1"/>
  <c r="E237" i="1" a="1"/>
  <c r="E237" i="1" s="1"/>
  <c r="E238" i="1" a="1"/>
  <c r="E238" i="1" s="1"/>
  <c r="E239" i="1" a="1"/>
  <c r="E239" i="1" s="1"/>
  <c r="E240" i="1" a="1"/>
  <c r="E240" i="1" s="1"/>
  <c r="E241" i="1" a="1"/>
  <c r="E241" i="1" s="1"/>
  <c r="E242" i="1" a="1"/>
  <c r="E242" i="1"/>
  <c r="E243" i="1" a="1"/>
  <c r="E243" i="1"/>
  <c r="E244" i="1" a="1"/>
  <c r="E244" i="1" s="1"/>
  <c r="E245" i="1" a="1"/>
  <c r="E245" i="1" s="1"/>
  <c r="E246" i="1" a="1"/>
  <c r="E246" i="1" s="1"/>
  <c r="E247" i="1" a="1"/>
  <c r="E247" i="1" s="1"/>
  <c r="E248" i="1" a="1"/>
  <c r="E248" i="1"/>
  <c r="E249" i="1" a="1"/>
  <c r="E249" i="1" s="1"/>
  <c r="E250" i="1" a="1"/>
  <c r="E250" i="1"/>
  <c r="E251" i="1" a="1"/>
  <c r="E251" i="1" s="1"/>
  <c r="E252" i="1" a="1"/>
  <c r="E252" i="1" s="1"/>
  <c r="E253" i="1" a="1"/>
  <c r="E253" i="1"/>
  <c r="E254" i="1" a="1"/>
  <c r="E254" i="1" s="1"/>
  <c r="E255" i="1" a="1"/>
  <c r="E255" i="1" s="1"/>
  <c r="E256" i="1" a="1"/>
  <c r="E256" i="1"/>
  <c r="E257" i="1" a="1"/>
  <c r="E257" i="1" s="1"/>
  <c r="E258" i="1" a="1"/>
  <c r="E258" i="1" s="1"/>
  <c r="E259" i="1" a="1"/>
  <c r="E259" i="1" s="1"/>
  <c r="E260" i="1" a="1"/>
  <c r="E260" i="1" s="1"/>
  <c r="E261" i="1" a="1"/>
  <c r="E261" i="1"/>
  <c r="E262" i="1" a="1"/>
  <c r="E262" i="1" s="1"/>
  <c r="E263" i="1" a="1"/>
  <c r="E263" i="1" s="1"/>
  <c r="E264" i="1" a="1"/>
  <c r="E264" i="1" s="1"/>
  <c r="E265" i="1" a="1"/>
  <c r="E265" i="1" s="1"/>
  <c r="E266" i="1" a="1"/>
  <c r="E266" i="1"/>
  <c r="E267" i="1" a="1"/>
  <c r="E267" i="1" s="1"/>
  <c r="E268" i="1" a="1"/>
  <c r="E268" i="1" s="1"/>
  <c r="E269" i="1" a="1"/>
  <c r="E269" i="1"/>
  <c r="E270" i="1" a="1"/>
  <c r="E270" i="1" s="1"/>
  <c r="E271" i="1" a="1"/>
  <c r="E271" i="1" s="1"/>
  <c r="E272" i="1" a="1"/>
  <c r="E272" i="1" s="1"/>
  <c r="E273" i="1" a="1"/>
  <c r="E273" i="1" s="1"/>
  <c r="E274" i="1" a="1"/>
  <c r="E274" i="1" s="1"/>
  <c r="E275" i="1" a="1"/>
  <c r="E275" i="1" s="1"/>
  <c r="E276" i="1" a="1"/>
  <c r="E276" i="1" s="1"/>
  <c r="E277" i="1" a="1"/>
  <c r="E277" i="1" s="1"/>
  <c r="E278" i="1" a="1"/>
  <c r="E278" i="1" s="1"/>
  <c r="E279" i="1" a="1"/>
  <c r="E279" i="1"/>
  <c r="E280" i="1" a="1"/>
  <c r="E280" i="1" s="1"/>
  <c r="E281" i="1" a="1"/>
  <c r="E281" i="1" s="1"/>
  <c r="E282" i="1" a="1"/>
  <c r="E282" i="1" s="1"/>
  <c r="E283" i="1" a="1"/>
  <c r="E283" i="1" s="1"/>
  <c r="E284" i="1" a="1"/>
  <c r="E284" i="1" s="1"/>
  <c r="E285" i="1" a="1"/>
  <c r="E285" i="1" s="1"/>
  <c r="E286" i="1" a="1"/>
  <c r="E286" i="1" s="1"/>
  <c r="E287" i="1" a="1"/>
  <c r="E287" i="1"/>
  <c r="E288" i="1" a="1"/>
  <c r="E288" i="1" s="1"/>
  <c r="E289" i="1" a="1"/>
  <c r="E289" i="1" s="1"/>
  <c r="E290" i="1" a="1"/>
  <c r="E290" i="1"/>
  <c r="E291" i="1" a="1"/>
  <c r="E291" i="1" s="1"/>
  <c r="E292" i="1" a="1"/>
  <c r="E292" i="1" s="1"/>
  <c r="E293" i="1" a="1"/>
  <c r="E293" i="1" s="1"/>
  <c r="E294" i="1" a="1"/>
  <c r="E294" i="1" s="1"/>
  <c r="E295" i="1" a="1"/>
  <c r="E295" i="1" s="1"/>
  <c r="E296" i="1" a="1"/>
  <c r="E296" i="1" s="1"/>
  <c r="E297" i="1" a="1"/>
  <c r="E297" i="1" s="1"/>
  <c r="E298" i="1" a="1"/>
  <c r="E298" i="1" s="1"/>
  <c r="E299" i="1" a="1"/>
  <c r="E299" i="1"/>
  <c r="E300" i="1" a="1"/>
  <c r="E300" i="1" s="1"/>
  <c r="E301" i="1" a="1"/>
  <c r="E301" i="1"/>
  <c r="E302" i="1" a="1"/>
  <c r="E302" i="1" s="1"/>
  <c r="E303" i="1" a="1"/>
  <c r="E303" i="1" s="1"/>
  <c r="E304" i="1" a="1"/>
  <c r="E304" i="1" s="1"/>
  <c r="E305" i="1" a="1"/>
  <c r="E305" i="1"/>
  <c r="E306" i="1" a="1"/>
  <c r="E306" i="1" s="1"/>
  <c r="E307" i="1" a="1"/>
  <c r="E307" i="1" s="1"/>
  <c r="E308" i="1" a="1"/>
  <c r="E308" i="1" s="1"/>
  <c r="E309" i="1" a="1"/>
  <c r="E309" i="1" s="1"/>
  <c r="E310" i="1" a="1"/>
  <c r="E310" i="1" s="1"/>
  <c r="E311" i="1" a="1"/>
  <c r="E311" i="1" s="1"/>
  <c r="E312" i="1" a="1"/>
  <c r="E312" i="1" s="1"/>
  <c r="E313" i="1" a="1"/>
  <c r="E313" i="1" s="1"/>
  <c r="E314" i="1" a="1"/>
  <c r="E314" i="1"/>
  <c r="E315" i="1" a="1"/>
  <c r="E315" i="1" s="1"/>
  <c r="E316" i="1" a="1"/>
  <c r="E316" i="1" s="1"/>
  <c r="E317" i="1" a="1"/>
  <c r="E317" i="1" s="1"/>
  <c r="E318" i="1" a="1"/>
  <c r="E318" i="1" s="1"/>
  <c r="E319" i="1" a="1"/>
  <c r="E319" i="1"/>
  <c r="E320" i="1" a="1"/>
  <c r="E320" i="1" s="1"/>
  <c r="E321" i="1" a="1"/>
  <c r="E321" i="1" s="1"/>
  <c r="E322" i="1" a="1"/>
  <c r="E322" i="1"/>
  <c r="E323" i="1" a="1"/>
  <c r="E323" i="1" s="1"/>
  <c r="E324" i="1" a="1"/>
  <c r="E324" i="1" s="1"/>
  <c r="E325" i="1" a="1"/>
  <c r="E325" i="1"/>
  <c r="E326" i="1" a="1"/>
  <c r="E326" i="1" s="1"/>
  <c r="E327" i="1" a="1"/>
  <c r="E327" i="1"/>
  <c r="E328" i="1" a="1"/>
  <c r="E328" i="1" s="1"/>
  <c r="E329" i="1" a="1"/>
  <c r="E329" i="1"/>
  <c r="E330" i="1" a="1"/>
  <c r="E330" i="1" s="1"/>
  <c r="E331" i="1" a="1"/>
  <c r="E331" i="1" s="1"/>
  <c r="E332" i="1" a="1"/>
  <c r="E332" i="1" s="1"/>
  <c r="E333" i="1" a="1"/>
  <c r="E333" i="1" s="1"/>
  <c r="E334" i="1" a="1"/>
  <c r="E334" i="1" s="1"/>
  <c r="E335" i="1" a="1"/>
  <c r="E335" i="1" s="1"/>
  <c r="E336" i="1" a="1"/>
  <c r="E336" i="1" s="1"/>
  <c r="E337" i="1" a="1"/>
  <c r="E337" i="1" s="1"/>
  <c r="E338" i="1" a="1"/>
  <c r="E338" i="1"/>
  <c r="E339" i="1" a="1"/>
  <c r="E339" i="1" s="1"/>
  <c r="E340" i="1" a="1"/>
  <c r="E340" i="1" s="1"/>
  <c r="E341" i="1" a="1"/>
  <c r="E341" i="1"/>
  <c r="E342" i="1" a="1"/>
  <c r="E342" i="1" s="1"/>
  <c r="E343" i="1" a="1"/>
  <c r="E343" i="1" s="1"/>
  <c r="E344" i="1" a="1"/>
  <c r="E344" i="1" s="1"/>
  <c r="E345" i="1" a="1"/>
  <c r="E345" i="1" s="1"/>
  <c r="E346" i="1" a="1"/>
  <c r="E346" i="1"/>
  <c r="E347" i="1" a="1"/>
  <c r="E347" i="1" s="1"/>
  <c r="E348" i="1" a="1"/>
  <c r="E348" i="1" s="1"/>
  <c r="E349" i="1" a="1"/>
  <c r="E349" i="1" s="1"/>
  <c r="E350" i="1" a="1"/>
  <c r="E350" i="1" s="1"/>
  <c r="E351" i="1" a="1"/>
  <c r="E351" i="1"/>
  <c r="E352" i="1" a="1"/>
  <c r="E352" i="1" s="1"/>
  <c r="E353" i="1" a="1"/>
  <c r="E353" i="1" s="1"/>
  <c r="E354" i="1" a="1"/>
  <c r="E354" i="1" s="1"/>
  <c r="E355" i="1" a="1"/>
  <c r="E355" i="1"/>
  <c r="E356" i="1" a="1"/>
  <c r="E356" i="1" s="1"/>
  <c r="E357" i="1" a="1"/>
  <c r="E357" i="1" s="1"/>
  <c r="E358" i="1" a="1"/>
  <c r="E358" i="1"/>
  <c r="E359" i="1" a="1"/>
  <c r="E359" i="1" s="1"/>
  <c r="E360" i="1" a="1"/>
  <c r="E360" i="1" s="1"/>
  <c r="E361" i="1" a="1"/>
  <c r="E361" i="1" s="1"/>
  <c r="E362" i="1" a="1"/>
  <c r="E362" i="1"/>
  <c r="E363" i="1" a="1"/>
  <c r="E363" i="1" s="1"/>
  <c r="E364" i="1" a="1"/>
  <c r="E364" i="1" s="1"/>
  <c r="E365" i="1" a="1"/>
  <c r="E365" i="1" s="1"/>
  <c r="E366" i="1" a="1"/>
  <c r="E366" i="1" s="1"/>
  <c r="E367" i="1" a="1"/>
  <c r="E367" i="1" s="1"/>
  <c r="E368" i="1" a="1"/>
  <c r="E368" i="1" s="1"/>
  <c r="E369" i="1" a="1"/>
  <c r="E369" i="1" s="1"/>
  <c r="E370" i="1" a="1"/>
  <c r="E370" i="1" s="1"/>
  <c r="E371" i="1" a="1"/>
  <c r="E371" i="1"/>
  <c r="E372" i="1" a="1"/>
  <c r="E372" i="1" s="1"/>
  <c r="E373" i="1" a="1"/>
  <c r="E373" i="1" s="1"/>
  <c r="E374" i="1" a="1"/>
  <c r="E374" i="1" s="1"/>
  <c r="E375" i="1" a="1"/>
  <c r="E375" i="1"/>
  <c r="E376" i="1" a="1"/>
  <c r="E376" i="1" s="1"/>
  <c r="E377" i="1" a="1"/>
  <c r="E377" i="1" s="1"/>
  <c r="E378" i="1" a="1"/>
  <c r="E378" i="1" s="1"/>
  <c r="E379" i="1" a="1"/>
  <c r="E379" i="1"/>
  <c r="E380" i="1" a="1"/>
  <c r="E380" i="1" s="1"/>
  <c r="E381" i="1" a="1"/>
  <c r="E381" i="1" s="1"/>
  <c r="E382" i="1" a="1"/>
  <c r="E382" i="1" s="1"/>
  <c r="E383" i="1" a="1"/>
  <c r="E383" i="1" s="1"/>
  <c r="E384" i="1" a="1"/>
  <c r="E384" i="1" s="1"/>
  <c r="E385" i="1" a="1"/>
  <c r="E385" i="1" s="1"/>
  <c r="E386" i="1" a="1"/>
  <c r="E386" i="1"/>
  <c r="E387" i="1" a="1"/>
  <c r="E387" i="1" s="1"/>
  <c r="E388" i="1" a="1"/>
  <c r="E388" i="1" s="1"/>
  <c r="E389" i="1" a="1"/>
  <c r="E389" i="1" s="1"/>
  <c r="E390" i="1" a="1"/>
  <c r="E390" i="1" s="1"/>
  <c r="E391" i="1" a="1"/>
  <c r="E391" i="1" s="1"/>
  <c r="E392" i="1" a="1"/>
  <c r="E392" i="1"/>
  <c r="E393" i="1" a="1"/>
  <c r="E393" i="1" s="1"/>
  <c r="E394" i="1" a="1"/>
  <c r="E394" i="1"/>
  <c r="E395" i="1" a="1"/>
  <c r="E395" i="1" s="1"/>
  <c r="E396" i="1" a="1"/>
  <c r="E396" i="1" s="1"/>
  <c r="E397" i="1" a="1"/>
  <c r="E397" i="1"/>
  <c r="E398" i="1" a="1"/>
  <c r="E398" i="1" s="1"/>
  <c r="E399" i="1" a="1"/>
  <c r="E399" i="1" s="1"/>
  <c r="E400" i="1" a="1"/>
  <c r="E400" i="1"/>
  <c r="E401" i="1" a="1"/>
  <c r="E401" i="1" s="1"/>
  <c r="E402" i="1" a="1"/>
  <c r="E402" i="1" s="1"/>
  <c r="E403" i="1" a="1"/>
  <c r="E403" i="1" s="1"/>
  <c r="E404" i="1" a="1"/>
  <c r="E404" i="1" s="1"/>
  <c r="E405" i="1" a="1"/>
  <c r="E405" i="1"/>
  <c r="E406" i="1" a="1"/>
  <c r="E406" i="1" s="1"/>
  <c r="E407" i="1" a="1"/>
  <c r="E407" i="1" s="1"/>
  <c r="E408" i="1" a="1"/>
  <c r="E408" i="1" s="1"/>
  <c r="E409" i="1" a="1"/>
  <c r="E409" i="1" s="1"/>
  <c r="E410" i="1" a="1"/>
  <c r="E410" i="1" s="1"/>
  <c r="E411" i="1" a="1"/>
  <c r="E411" i="1" s="1"/>
  <c r="E412" i="1" a="1"/>
  <c r="E412" i="1" s="1"/>
  <c r="E413" i="1" a="1"/>
  <c r="E413" i="1"/>
  <c r="E414" i="1" a="1"/>
  <c r="E414" i="1" s="1"/>
  <c r="E415" i="1" a="1"/>
  <c r="E415" i="1" s="1"/>
  <c r="E416" i="1" a="1"/>
  <c r="E416" i="1" s="1"/>
  <c r="E417" i="1" a="1"/>
  <c r="E417" i="1"/>
  <c r="E418" i="1" a="1"/>
  <c r="E418" i="1"/>
  <c r="E419" i="1" a="1"/>
  <c r="E419" i="1" s="1"/>
  <c r="E420" i="1" a="1"/>
  <c r="E420" i="1" s="1"/>
  <c r="E421" i="1" a="1"/>
  <c r="E421" i="1" s="1"/>
  <c r="E422" i="1" a="1"/>
  <c r="E422" i="1" s="1"/>
  <c r="E423" i="1" a="1"/>
  <c r="E423" i="1"/>
  <c r="E424" i="1" a="1"/>
  <c r="E424" i="1" s="1"/>
  <c r="E425" i="1" a="1"/>
  <c r="E425" i="1" s="1"/>
  <c r="E426" i="1" a="1"/>
  <c r="E426" i="1" s="1"/>
  <c r="E427" i="1" a="1"/>
  <c r="E427" i="1"/>
  <c r="E428" i="1" a="1"/>
  <c r="E428" i="1" s="1"/>
  <c r="E429" i="1" a="1"/>
  <c r="E429" i="1" s="1"/>
  <c r="E430" i="1" a="1"/>
  <c r="E430" i="1" s="1"/>
  <c r="E431" i="1" a="1"/>
  <c r="E431" i="1"/>
  <c r="E432" i="1" a="1"/>
  <c r="E432" i="1" s="1"/>
  <c r="E433" i="1" a="1"/>
  <c r="E433" i="1" s="1"/>
  <c r="E434" i="1" a="1"/>
  <c r="E434" i="1"/>
  <c r="E435" i="1" a="1"/>
  <c r="E435" i="1" s="1"/>
  <c r="E436" i="1" a="1"/>
  <c r="E436" i="1"/>
  <c r="E437" i="1" a="1"/>
  <c r="E437" i="1" s="1"/>
  <c r="E438" i="1" a="1"/>
  <c r="E438" i="1" s="1"/>
  <c r="E439" i="1" a="1"/>
  <c r="E439" i="1" s="1"/>
  <c r="E440" i="1" a="1"/>
  <c r="E440" i="1"/>
  <c r="E441" i="1" a="1"/>
  <c r="E441" i="1" s="1"/>
  <c r="E442" i="1" a="1"/>
  <c r="E442" i="1" s="1"/>
  <c r="E443" i="1" a="1"/>
  <c r="E443" i="1"/>
  <c r="E444" i="1" a="1"/>
  <c r="E444" i="1" s="1"/>
  <c r="E445" i="1" a="1"/>
  <c r="E445" i="1" s="1"/>
  <c r="E446" i="1" a="1"/>
  <c r="E446" i="1" s="1"/>
  <c r="E447" i="1" a="1"/>
  <c r="E447" i="1"/>
  <c r="E448" i="1" a="1"/>
  <c r="E448" i="1" s="1"/>
  <c r="E449" i="1" a="1"/>
  <c r="E449" i="1"/>
  <c r="E450" i="1" a="1"/>
  <c r="E450" i="1" s="1"/>
  <c r="E451" i="1" a="1"/>
  <c r="E451" i="1"/>
  <c r="E452" i="1" a="1"/>
  <c r="E452" i="1" s="1"/>
  <c r="E453" i="1" a="1"/>
  <c r="E453" i="1" s="1"/>
  <c r="E454" i="1" a="1"/>
  <c r="E454" i="1" s="1"/>
  <c r="E455" i="1" a="1"/>
  <c r="E455" i="1" s="1"/>
  <c r="E456" i="1" a="1"/>
  <c r="E456" i="1" s="1"/>
  <c r="E457" i="1" a="1"/>
  <c r="E457" i="1" s="1"/>
  <c r="E458" i="1" a="1"/>
  <c r="E458" i="1" s="1"/>
  <c r="E459" i="1" a="1"/>
  <c r="E459" i="1" s="1"/>
  <c r="E460" i="1" a="1"/>
  <c r="E460" i="1"/>
  <c r="E461" i="1" a="1"/>
  <c r="E461" i="1" s="1"/>
  <c r="E462" i="1" a="1"/>
  <c r="E462" i="1" s="1"/>
  <c r="E463" i="1" a="1"/>
  <c r="E463" i="1" s="1"/>
  <c r="E464" i="1" a="1"/>
  <c r="E464" i="1"/>
  <c r="E465" i="1" a="1"/>
  <c r="E465" i="1" s="1"/>
  <c r="E466" i="1" a="1"/>
  <c r="E466" i="1" s="1"/>
  <c r="E467" i="1" a="1"/>
  <c r="E467" i="1" s="1"/>
  <c r="E468" i="1" a="1"/>
  <c r="E468" i="1" s="1"/>
  <c r="E469" i="1" a="1"/>
  <c r="E469" i="1"/>
  <c r="E470" i="1" a="1"/>
  <c r="E470" i="1" s="1"/>
  <c r="E471" i="1" a="1"/>
  <c r="E471" i="1" s="1"/>
  <c r="E472" i="1" a="1"/>
  <c r="E472" i="1" s="1"/>
  <c r="E473" i="1" a="1"/>
  <c r="E473" i="1" s="1"/>
  <c r="E474" i="1" a="1"/>
  <c r="E474" i="1" s="1"/>
  <c r="E475" i="1" a="1"/>
  <c r="E475" i="1" s="1"/>
  <c r="E476" i="1" a="1"/>
  <c r="E476" i="1" s="1"/>
  <c r="E477" i="1" a="1"/>
  <c r="E477" i="1"/>
  <c r="E478" i="1" a="1"/>
  <c r="E478" i="1" s="1"/>
  <c r="E479" i="1" a="1"/>
  <c r="E479" i="1" s="1"/>
  <c r="E480" i="1" a="1"/>
  <c r="E480" i="1" s="1"/>
  <c r="E481" i="1" a="1"/>
  <c r="E481" i="1" s="1"/>
  <c r="E482" i="1" a="1"/>
  <c r="E482" i="1" s="1"/>
  <c r="E483" i="1" a="1"/>
  <c r="E483" i="1" s="1"/>
  <c r="E484" i="1" a="1"/>
  <c r="E484" i="1"/>
  <c r="E485" i="1" a="1"/>
  <c r="E485" i="1" s="1"/>
  <c r="E486" i="1" a="1"/>
  <c r="E486" i="1" s="1"/>
  <c r="E487" i="1" a="1"/>
  <c r="E487" i="1" s="1"/>
  <c r="E488" i="1" a="1"/>
  <c r="E488" i="1" s="1"/>
  <c r="E489" i="1" a="1"/>
  <c r="E489" i="1"/>
  <c r="E490" i="1" a="1"/>
  <c r="E490" i="1" s="1"/>
  <c r="E491" i="1" a="1"/>
  <c r="E491" i="1"/>
  <c r="E492" i="1" a="1"/>
  <c r="E492" i="1" s="1"/>
  <c r="E493" i="1" a="1"/>
  <c r="E493" i="1" s="1"/>
  <c r="E494" i="1" a="1"/>
  <c r="E494" i="1" s="1"/>
  <c r="E495" i="1" a="1"/>
  <c r="E495" i="1"/>
  <c r="E496" i="1" a="1"/>
  <c r="E496" i="1" s="1"/>
  <c r="E497" i="1" a="1"/>
  <c r="E497" i="1" s="1"/>
  <c r="E498" i="1" a="1"/>
  <c r="E498" i="1" s="1"/>
  <c r="E499" i="1" a="1"/>
  <c r="E499" i="1" s="1"/>
  <c r="E500" i="1" a="1"/>
  <c r="E500" i="1" s="1"/>
  <c r="E501" i="1" a="1"/>
  <c r="E501" i="1" s="1"/>
  <c r="E502" i="1" a="1"/>
  <c r="E502" i="1" s="1"/>
  <c r="E503" i="1" a="1"/>
  <c r="E503" i="1"/>
  <c r="E504" i="1" a="1"/>
  <c r="E504" i="1" s="1"/>
  <c r="E505" i="1" a="1"/>
  <c r="E505" i="1" s="1"/>
  <c r="E506" i="1" a="1"/>
  <c r="E506" i="1" s="1"/>
  <c r="E507" i="1" a="1"/>
  <c r="E507" i="1" s="1"/>
  <c r="E508" i="1" a="1"/>
  <c r="E508" i="1"/>
  <c r="E509" i="1" a="1"/>
  <c r="E509" i="1" s="1"/>
  <c r="E510" i="1" a="1"/>
  <c r="E510" i="1" s="1"/>
  <c r="E511" i="1" a="1"/>
  <c r="E511" i="1" s="1"/>
  <c r="E512" i="1" a="1"/>
  <c r="E512" i="1"/>
  <c r="E513" i="1" a="1"/>
  <c r="E513" i="1" s="1"/>
  <c r="E514" i="1" a="1"/>
  <c r="E514" i="1" s="1"/>
  <c r="E515" i="1" a="1"/>
  <c r="E515" i="1" s="1"/>
  <c r="E516" i="1" a="1"/>
  <c r="E516" i="1" s="1"/>
  <c r="E517" i="1" a="1"/>
  <c r="E517" i="1"/>
  <c r="E518" i="1" a="1"/>
  <c r="E518" i="1" s="1"/>
  <c r="E519" i="1" a="1"/>
  <c r="E519" i="1" s="1"/>
  <c r="E520" i="1" a="1"/>
  <c r="E520" i="1" s="1"/>
  <c r="E521" i="1" a="1"/>
  <c r="E521" i="1"/>
  <c r="E522" i="1" a="1"/>
  <c r="E522" i="1" s="1"/>
  <c r="E523" i="1" a="1"/>
  <c r="E523" i="1" s="1"/>
  <c r="E524" i="1" a="1"/>
  <c r="E524" i="1" s="1"/>
  <c r="E525" i="1" a="1"/>
  <c r="E525" i="1" s="1"/>
  <c r="E526" i="1" a="1"/>
  <c r="E526" i="1"/>
  <c r="E527" i="1" a="1"/>
  <c r="E527" i="1" s="1"/>
  <c r="E528" i="1" a="1"/>
  <c r="E528" i="1" s="1"/>
  <c r="E529" i="1" a="1"/>
  <c r="E529" i="1"/>
  <c r="E530" i="1" a="1"/>
  <c r="E530" i="1" s="1"/>
  <c r="E531" i="1" a="1"/>
  <c r="E531" i="1" s="1"/>
  <c r="E532" i="1" a="1"/>
  <c r="E532" i="1" s="1"/>
  <c r="E533" i="1" a="1"/>
  <c r="E533" i="1" s="1"/>
  <c r="E534" i="1" a="1"/>
  <c r="E534" i="1"/>
  <c r="E535" i="1" a="1"/>
  <c r="E535" i="1"/>
  <c r="E536" i="1" a="1"/>
  <c r="E536" i="1" s="1"/>
  <c r="E537" i="1" a="1"/>
  <c r="E537" i="1" s="1"/>
  <c r="E538" i="1" a="1"/>
  <c r="E538" i="1" s="1"/>
  <c r="E539" i="1" a="1"/>
  <c r="E539" i="1" s="1"/>
  <c r="E540" i="1" a="1"/>
  <c r="E540" i="1" s="1"/>
  <c r="E541" i="1" a="1"/>
  <c r="E541" i="1" s="1"/>
  <c r="E542" i="1" a="1"/>
  <c r="E542" i="1"/>
  <c r="E543" i="1" a="1"/>
  <c r="E543" i="1" s="1"/>
  <c r="E544" i="1" a="1"/>
  <c r="E544" i="1"/>
  <c r="E545" i="1" a="1"/>
  <c r="E545" i="1" s="1"/>
  <c r="E546" i="1" a="1"/>
  <c r="E546" i="1"/>
  <c r="E547" i="1" a="1"/>
  <c r="E547" i="1" s="1"/>
  <c r="E548" i="1" a="1"/>
  <c r="E548" i="1"/>
  <c r="E549" i="1" a="1"/>
  <c r="E549" i="1" s="1"/>
  <c r="E550" i="1" a="1"/>
  <c r="E550" i="1" s="1"/>
  <c r="E551" i="1" a="1"/>
  <c r="E551" i="1" s="1"/>
  <c r="E552" i="1" a="1"/>
  <c r="E552" i="1" s="1"/>
  <c r="E553" i="1" a="1"/>
  <c r="E553" i="1" s="1"/>
  <c r="E554" i="1" a="1"/>
  <c r="E554" i="1"/>
  <c r="E555" i="1" a="1"/>
  <c r="E555" i="1" s="1"/>
  <c r="E556" i="1" a="1"/>
  <c r="E556" i="1" s="1"/>
  <c r="E557" i="1" a="1"/>
  <c r="E557" i="1" s="1"/>
  <c r="E558" i="1" a="1"/>
  <c r="E558" i="1" s="1"/>
  <c r="E559" i="1" a="1"/>
  <c r="E559" i="1"/>
  <c r="E560" i="1" a="1"/>
  <c r="E560" i="1" s="1"/>
  <c r="E561" i="1" a="1"/>
  <c r="E561" i="1"/>
  <c r="E562" i="1" a="1"/>
  <c r="E562" i="1" s="1"/>
  <c r="E563" i="1" a="1"/>
  <c r="E563" i="1" s="1"/>
  <c r="E564" i="1" a="1"/>
  <c r="E564" i="1" s="1"/>
  <c r="E565" i="1" a="1"/>
  <c r="E565" i="1" s="1"/>
  <c r="E566" i="1" a="1"/>
  <c r="E566" i="1" s="1"/>
  <c r="E567" i="1" a="1"/>
  <c r="E567" i="1" s="1"/>
  <c r="E568" i="1" a="1"/>
  <c r="E568" i="1"/>
  <c r="E569" i="1" a="1"/>
  <c r="E569" i="1" s="1"/>
  <c r="E570" i="1" a="1"/>
  <c r="E570" i="1" s="1"/>
  <c r="E571" i="1" a="1"/>
  <c r="E571" i="1" s="1"/>
  <c r="E572" i="1" a="1"/>
  <c r="E572" i="1"/>
  <c r="E573" i="1" a="1"/>
  <c r="E573" i="1" s="1"/>
  <c r="E574" i="1" a="1"/>
  <c r="E574" i="1" s="1"/>
  <c r="E575" i="1" a="1"/>
  <c r="E575" i="1" s="1"/>
  <c r="E576" i="1" a="1"/>
  <c r="E576" i="1" s="1"/>
  <c r="E577" i="1" a="1"/>
  <c r="E577" i="1" s="1"/>
  <c r="E578" i="1" a="1"/>
  <c r="E578" i="1" s="1"/>
  <c r="E579" i="1" a="1"/>
  <c r="E579" i="1" s="1"/>
  <c r="E580" i="1" a="1"/>
  <c r="E580" i="1" s="1"/>
  <c r="E581" i="1" a="1"/>
  <c r="E581" i="1" s="1"/>
  <c r="E582" i="1" a="1"/>
  <c r="E582" i="1"/>
  <c r="E583" i="1" a="1"/>
  <c r="E583" i="1" s="1"/>
  <c r="E584" i="1" a="1"/>
  <c r="E584" i="1" s="1"/>
  <c r="E585" i="1" a="1"/>
  <c r="E585" i="1" s="1"/>
  <c r="E586" i="1" a="1"/>
  <c r="E586" i="1" s="1"/>
  <c r="E587" i="1" a="1"/>
  <c r="E587" i="1" s="1"/>
  <c r="E588" i="1" a="1"/>
  <c r="E588" i="1"/>
  <c r="E589" i="1" a="1"/>
  <c r="E589" i="1" s="1"/>
  <c r="E590" i="1" a="1"/>
  <c r="E590" i="1" s="1"/>
  <c r="E591" i="1" a="1"/>
  <c r="E591" i="1" s="1"/>
  <c r="E592" i="1" a="1"/>
  <c r="E592" i="1" s="1"/>
  <c r="E593" i="1" a="1"/>
  <c r="E593" i="1" s="1"/>
  <c r="E594" i="1" a="1"/>
  <c r="E594" i="1" s="1"/>
  <c r="E595" i="1" a="1"/>
  <c r="E595" i="1"/>
  <c r="E596" i="1" a="1"/>
  <c r="E596" i="1" s="1"/>
  <c r="E597" i="1" a="1"/>
  <c r="E597" i="1" s="1"/>
  <c r="E598" i="1" a="1"/>
  <c r="E598" i="1" s="1"/>
  <c r="E599" i="1" a="1"/>
  <c r="E599" i="1" s="1"/>
  <c r="E600" i="1" a="1"/>
  <c r="E600" i="1" s="1"/>
  <c r="E601" i="1" a="1"/>
  <c r="E601" i="1" s="1"/>
  <c r="E602" i="1" a="1"/>
  <c r="E602" i="1" s="1"/>
  <c r="E603" i="1" a="1"/>
  <c r="E603" i="1" s="1"/>
  <c r="E604" i="1" a="1"/>
  <c r="E604" i="1" s="1"/>
  <c r="E605" i="1" a="1"/>
  <c r="E605" i="1" s="1"/>
  <c r="E606" i="1" a="1"/>
  <c r="E606" i="1" s="1"/>
  <c r="E607" i="1" a="1"/>
  <c r="E607" i="1" s="1"/>
  <c r="E608" i="1" a="1"/>
  <c r="E608" i="1"/>
  <c r="E609" i="1" a="1"/>
  <c r="E609" i="1" s="1"/>
  <c r="E610" i="1" a="1"/>
  <c r="E610" i="1" s="1"/>
  <c r="E611" i="1" a="1"/>
  <c r="E611" i="1" s="1"/>
  <c r="E612" i="1" a="1"/>
  <c r="E612" i="1" s="1"/>
  <c r="E613" i="1" a="1"/>
  <c r="E613" i="1" s="1"/>
  <c r="E614" i="1" a="1"/>
  <c r="E614" i="1"/>
  <c r="E615" i="1" a="1"/>
  <c r="E615" i="1" s="1"/>
  <c r="E616" i="1" a="1"/>
  <c r="E616" i="1" s="1"/>
  <c r="E617" i="1" a="1"/>
  <c r="E617" i="1" s="1"/>
  <c r="E618" i="1" a="1"/>
  <c r="E618" i="1"/>
  <c r="E619" i="1" a="1"/>
  <c r="E619" i="1" s="1"/>
  <c r="E620" i="1" a="1"/>
  <c r="E620" i="1" s="1"/>
  <c r="E621" i="1" a="1"/>
  <c r="E621" i="1" s="1"/>
  <c r="E622" i="1" a="1"/>
  <c r="E622" i="1" s="1"/>
  <c r="E623" i="1" a="1"/>
  <c r="E623" i="1" s="1"/>
  <c r="E624" i="1" a="1"/>
  <c r="E624" i="1"/>
  <c r="E625" i="1" a="1"/>
  <c r="E625" i="1" s="1"/>
  <c r="E626" i="1" a="1"/>
  <c r="E626" i="1" s="1"/>
  <c r="E627" i="1" a="1"/>
  <c r="E627" i="1" s="1"/>
  <c r="E628" i="1" a="1"/>
  <c r="E628" i="1" s="1"/>
  <c r="E629" i="1" a="1"/>
  <c r="E629" i="1" s="1"/>
  <c r="E630" i="1" a="1"/>
  <c r="E630" i="1" s="1"/>
  <c r="E631" i="1" a="1"/>
  <c r="E631" i="1"/>
  <c r="E632" i="1" a="1"/>
  <c r="E632" i="1" s="1"/>
  <c r="E633" i="1" a="1"/>
  <c r="E633" i="1"/>
  <c r="E634" i="1" a="1"/>
  <c r="E634" i="1" s="1"/>
  <c r="E635" i="1" a="1"/>
  <c r="E635" i="1" s="1"/>
  <c r="E636" i="1" a="1"/>
  <c r="E636" i="1" s="1"/>
  <c r="E637" i="1" a="1"/>
  <c r="E637" i="1"/>
  <c r="E638" i="1" a="1"/>
  <c r="E638" i="1" s="1"/>
  <c r="E639" i="1" a="1"/>
  <c r="E639" i="1" s="1"/>
  <c r="E640" i="1" a="1"/>
  <c r="E640" i="1"/>
  <c r="E641" i="1" a="1"/>
  <c r="E641" i="1" s="1"/>
  <c r="E642" i="1" a="1"/>
  <c r="E642" i="1" s="1"/>
  <c r="E643" i="1" a="1"/>
  <c r="E643" i="1" s="1"/>
  <c r="E644" i="1" a="1"/>
  <c r="E644" i="1"/>
  <c r="E645" i="1" a="1"/>
  <c r="E645" i="1" s="1"/>
  <c r="E646" i="1" a="1"/>
  <c r="E646" i="1" s="1"/>
  <c r="E647" i="1" a="1"/>
  <c r="E647" i="1" s="1"/>
  <c r="E648" i="1" a="1"/>
  <c r="E648" i="1" s="1"/>
  <c r="E649" i="1" a="1"/>
  <c r="E649" i="1" s="1"/>
  <c r="E650" i="1" a="1"/>
  <c r="E650" i="1" s="1"/>
  <c r="E651" i="1" a="1"/>
  <c r="E651" i="1" s="1"/>
  <c r="E652" i="1" a="1"/>
  <c r="E652" i="1" s="1"/>
  <c r="E653" i="1" a="1"/>
  <c r="E653" i="1" s="1"/>
  <c r="E654" i="1" a="1"/>
  <c r="E654" i="1"/>
  <c r="E655" i="1" a="1"/>
  <c r="E655" i="1" s="1"/>
  <c r="E656" i="1" a="1"/>
  <c r="E656" i="1" s="1"/>
  <c r="E657" i="1" a="1"/>
  <c r="E657" i="1"/>
  <c r="E658" i="1" a="1"/>
  <c r="E658" i="1" s="1"/>
  <c r="E659" i="1" a="1"/>
  <c r="E659" i="1" s="1"/>
  <c r="E660" i="1" a="1"/>
  <c r="E660" i="1" s="1"/>
  <c r="E661" i="1" a="1"/>
  <c r="E661" i="1" s="1"/>
  <c r="E662" i="1" a="1"/>
  <c r="E662" i="1"/>
  <c r="E663" i="1" a="1"/>
  <c r="E663" i="1" s="1"/>
  <c r="E664" i="1" a="1"/>
  <c r="E664" i="1"/>
  <c r="E665" i="1" a="1"/>
  <c r="E665" i="1" s="1"/>
  <c r="E666" i="1" a="1"/>
  <c r="E666" i="1" s="1"/>
  <c r="E667" i="1" a="1"/>
  <c r="E667" i="1" s="1"/>
  <c r="E668" i="1" a="1"/>
  <c r="E668" i="1" s="1"/>
  <c r="E669" i="1" a="1"/>
  <c r="E669" i="1" s="1"/>
  <c r="E670" i="1" a="1"/>
  <c r="E670" i="1"/>
  <c r="E671" i="1" a="1"/>
  <c r="E671" i="1" s="1"/>
  <c r="E672" i="1" a="1"/>
  <c r="E672" i="1" s="1"/>
  <c r="E673" i="1" a="1"/>
  <c r="E673" i="1"/>
  <c r="E674" i="1" a="1"/>
  <c r="E674" i="1" s="1"/>
  <c r="E675" i="1" a="1"/>
  <c r="E675" i="1"/>
  <c r="E676" i="1" a="1"/>
  <c r="E676" i="1" s="1"/>
  <c r="E677" i="1" a="1"/>
  <c r="E677" i="1" s="1"/>
  <c r="E678" i="1" a="1"/>
  <c r="E678" i="1" s="1"/>
  <c r="E679" i="1" a="1"/>
  <c r="E679" i="1" s="1"/>
  <c r="E680" i="1" a="1"/>
  <c r="E680" i="1" s="1"/>
  <c r="E681" i="1" a="1"/>
  <c r="E681" i="1" s="1"/>
  <c r="E682" i="1" a="1"/>
  <c r="E682" i="1" s="1"/>
  <c r="E683" i="1" a="1"/>
  <c r="E683" i="1" s="1"/>
  <c r="E684" i="1" a="1"/>
  <c r="E684" i="1" s="1"/>
  <c r="E685" i="1" a="1"/>
  <c r="E685" i="1" s="1"/>
  <c r="E686" i="1" a="1"/>
  <c r="E686" i="1" s="1"/>
  <c r="E687" i="1" a="1"/>
  <c r="E687" i="1"/>
  <c r="E688" i="1" a="1"/>
  <c r="E688" i="1"/>
  <c r="E689" i="1" a="1"/>
  <c r="E689" i="1" s="1"/>
  <c r="E690" i="1" a="1"/>
  <c r="E690" i="1"/>
  <c r="E691" i="1" a="1"/>
  <c r="E691" i="1" s="1"/>
  <c r="E692" i="1" a="1"/>
  <c r="E692" i="1" s="1"/>
  <c r="E693" i="1" a="1"/>
  <c r="E693" i="1" s="1"/>
  <c r="E694" i="1" a="1"/>
  <c r="E694" i="1" s="1"/>
  <c r="E695" i="1" a="1"/>
  <c r="E695" i="1" s="1"/>
  <c r="E696" i="1" a="1"/>
  <c r="E696" i="1"/>
  <c r="E697" i="1" a="1"/>
  <c r="E697" i="1" s="1"/>
  <c r="E698" i="1" a="1"/>
  <c r="E698" i="1" s="1"/>
  <c r="E699" i="1" a="1"/>
  <c r="E699" i="1"/>
  <c r="E700" i="1" a="1"/>
  <c r="E700" i="1" s="1"/>
  <c r="E701" i="1" a="1"/>
  <c r="E701" i="1" s="1"/>
  <c r="E702" i="1" a="1"/>
  <c r="E702" i="1" s="1"/>
  <c r="E703" i="1" a="1"/>
  <c r="E703" i="1"/>
  <c r="E704" i="1" a="1"/>
  <c r="E704" i="1" s="1"/>
  <c r="E705" i="1" a="1"/>
  <c r="E705" i="1" s="1"/>
  <c r="E706" i="1" a="1"/>
  <c r="E706" i="1" s="1"/>
  <c r="E707" i="1" a="1"/>
  <c r="E707" i="1" s="1"/>
  <c r="E708" i="1" a="1"/>
  <c r="E708" i="1" s="1"/>
  <c r="E709" i="1" a="1"/>
  <c r="E709" i="1"/>
  <c r="E710" i="1" a="1"/>
  <c r="E710" i="1" s="1"/>
  <c r="E711" i="1" a="1"/>
  <c r="E711" i="1" s="1"/>
  <c r="E712" i="1" a="1"/>
  <c r="E712" i="1"/>
  <c r="E713" i="1" a="1"/>
  <c r="E713" i="1" s="1"/>
  <c r="E714" i="1" a="1"/>
  <c r="E714" i="1" s="1"/>
  <c r="E715" i="1" a="1"/>
  <c r="E715" i="1" s="1"/>
  <c r="E716" i="1" a="1"/>
  <c r="E716" i="1" s="1"/>
  <c r="E717" i="1" a="1"/>
  <c r="E717" i="1" s="1"/>
  <c r="E718" i="1" a="1"/>
  <c r="E718" i="1" s="1"/>
  <c r="E719" i="1" a="1"/>
  <c r="E719" i="1" s="1"/>
  <c r="E720" i="1" a="1"/>
  <c r="E720" i="1" s="1"/>
  <c r="E721" i="1" a="1"/>
  <c r="E721" i="1" s="1"/>
  <c r="E722" i="1" a="1"/>
  <c r="E722" i="1"/>
  <c r="E723" i="1" a="1"/>
  <c r="E723" i="1" s="1"/>
  <c r="E724" i="1" a="1"/>
  <c r="E724" i="1" s="1"/>
  <c r="E725" i="1" a="1"/>
  <c r="E725" i="1" s="1"/>
  <c r="E726" i="1" a="1"/>
  <c r="E726" i="1" s="1"/>
  <c r="E727" i="1" a="1"/>
  <c r="E727" i="1"/>
  <c r="E728" i="1" a="1"/>
  <c r="E728" i="1" s="1"/>
  <c r="E729" i="1" a="1"/>
  <c r="E729" i="1" s="1"/>
  <c r="E730" i="1" a="1"/>
  <c r="E730" i="1" s="1"/>
  <c r="E731" i="1" a="1"/>
  <c r="E731" i="1" s="1"/>
  <c r="E732" i="1" a="1"/>
  <c r="E732" i="1"/>
  <c r="E733" i="1" a="1"/>
  <c r="E733" i="1" s="1"/>
  <c r="E734" i="1" a="1"/>
  <c r="E734" i="1" s="1"/>
  <c r="E735" i="1" a="1"/>
  <c r="E735" i="1"/>
  <c r="E736" i="1" a="1"/>
  <c r="E736" i="1" s="1"/>
  <c r="E737" i="1" a="1"/>
  <c r="E737" i="1" s="1"/>
  <c r="E738" i="1" a="1"/>
  <c r="E738" i="1" s="1"/>
  <c r="E739" i="1" a="1"/>
  <c r="E739" i="1" s="1"/>
  <c r="E740" i="1" a="1"/>
  <c r="E740" i="1" s="1"/>
  <c r="E741" i="1" a="1"/>
  <c r="E741" i="1" s="1"/>
  <c r="E742" i="1" a="1"/>
  <c r="E742" i="1"/>
  <c r="E743" i="1" a="1"/>
  <c r="E743" i="1" s="1"/>
  <c r="E744" i="1" a="1"/>
  <c r="E744" i="1" s="1"/>
  <c r="E745" i="1" a="1"/>
  <c r="E745" i="1"/>
  <c r="E746" i="1" a="1"/>
  <c r="E746" i="1" s="1"/>
  <c r="E747" i="1" a="1"/>
  <c r="E747" i="1" s="1"/>
  <c r="E748" i="1" a="1"/>
  <c r="E748" i="1"/>
  <c r="E749" i="1" a="1"/>
  <c r="E749" i="1" s="1"/>
  <c r="E750" i="1" a="1"/>
  <c r="E750" i="1" s="1"/>
  <c r="E751" i="1" a="1"/>
  <c r="E751" i="1" s="1"/>
  <c r="E752" i="1" a="1"/>
  <c r="E752" i="1" s="1"/>
  <c r="E753" i="1" a="1"/>
  <c r="E753" i="1" s="1"/>
  <c r="E754" i="1" a="1"/>
  <c r="E754" i="1" s="1"/>
  <c r="E755" i="1" a="1"/>
  <c r="E755" i="1" s="1"/>
  <c r="E756" i="1" a="1"/>
  <c r="E756" i="1" s="1"/>
  <c r="E757" i="1" a="1"/>
  <c r="E757" i="1" s="1"/>
  <c r="E758" i="1" a="1"/>
  <c r="E758" i="1"/>
  <c r="E759" i="1" a="1"/>
  <c r="E759" i="1"/>
  <c r="E760" i="1" a="1"/>
  <c r="E760" i="1" s="1"/>
  <c r="E761" i="1" a="1"/>
  <c r="E761" i="1" s="1"/>
  <c r="E762" i="1" a="1"/>
  <c r="E762" i="1"/>
  <c r="E763" i="1" a="1"/>
  <c r="E763" i="1" s="1"/>
  <c r="E764" i="1" a="1"/>
  <c r="E764" i="1" s="1"/>
  <c r="E765" i="1" a="1"/>
  <c r="E765" i="1" s="1"/>
  <c r="E766" i="1" a="1"/>
  <c r="E766" i="1" s="1"/>
  <c r="E767" i="1" a="1"/>
  <c r="E767" i="1" s="1"/>
  <c r="E768" i="1" a="1"/>
  <c r="E768" i="1" s="1"/>
  <c r="E769" i="1" a="1"/>
  <c r="E769" i="1" s="1"/>
  <c r="E770" i="1" a="1"/>
  <c r="E770" i="1" s="1"/>
  <c r="E771" i="1" a="1"/>
  <c r="E771" i="1"/>
  <c r="E772" i="1" a="1"/>
  <c r="E772" i="1" s="1"/>
  <c r="E773" i="1" a="1"/>
  <c r="E773" i="1" s="1"/>
  <c r="E774" i="1" a="1"/>
  <c r="E774" i="1" s="1"/>
  <c r="E775" i="1" a="1"/>
  <c r="E775" i="1"/>
  <c r="E776" i="1" a="1"/>
  <c r="E776" i="1" s="1"/>
  <c r="E777" i="1" a="1"/>
  <c r="E777" i="1" s="1"/>
  <c r="E778" i="1" a="1"/>
  <c r="E778" i="1" s="1"/>
  <c r="E779" i="1" a="1"/>
  <c r="E779" i="1" s="1"/>
  <c r="E780" i="1" a="1"/>
  <c r="E780" i="1"/>
  <c r="E781" i="1" a="1"/>
  <c r="E781" i="1"/>
  <c r="E782" i="1" a="1"/>
  <c r="E782" i="1" s="1"/>
  <c r="E783" i="1" a="1"/>
  <c r="E783" i="1" s="1"/>
  <c r="E784" i="1" a="1"/>
  <c r="E784" i="1"/>
  <c r="E785" i="1" a="1"/>
  <c r="E785" i="1" s="1"/>
  <c r="E786" i="1" a="1"/>
  <c r="E786" i="1" s="1"/>
  <c r="E787" i="1" a="1"/>
  <c r="E787" i="1" s="1"/>
  <c r="E788" i="1" a="1"/>
  <c r="E788" i="1"/>
  <c r="E789" i="1" a="1"/>
  <c r="E789" i="1" s="1"/>
  <c r="E790" i="1" a="1"/>
  <c r="E790" i="1" s="1"/>
  <c r="E791" i="1" a="1"/>
  <c r="E791" i="1" s="1"/>
  <c r="E792" i="1" a="1"/>
  <c r="E792" i="1"/>
  <c r="E793" i="1" a="1"/>
  <c r="E793" i="1"/>
  <c r="E794" i="1" a="1"/>
  <c r="E794" i="1" s="1"/>
  <c r="E795" i="1" a="1"/>
  <c r="E795" i="1" s="1"/>
  <c r="E796" i="1" a="1"/>
  <c r="E796" i="1" s="1"/>
  <c r="E797" i="1" a="1"/>
  <c r="E797" i="1" s="1"/>
  <c r="E798" i="1" a="1"/>
  <c r="E798" i="1"/>
  <c r="E799" i="1" a="1"/>
  <c r="E799" i="1" s="1"/>
  <c r="E800" i="1" a="1"/>
  <c r="E800" i="1" s="1"/>
  <c r="E801" i="1" a="1"/>
  <c r="E801" i="1" s="1"/>
  <c r="E802" i="1" a="1"/>
  <c r="E802" i="1" s="1"/>
  <c r="E803" i="1" a="1"/>
  <c r="E803" i="1" s="1"/>
  <c r="E804" i="1" a="1"/>
  <c r="E804" i="1" s="1"/>
  <c r="E805" i="1" a="1"/>
  <c r="E805" i="1" s="1"/>
  <c r="E806" i="1" a="1"/>
  <c r="E806" i="1"/>
  <c r="E807" i="1" a="1"/>
  <c r="E807" i="1" s="1"/>
  <c r="E808" i="1" a="1"/>
  <c r="E808" i="1" s="1"/>
  <c r="E809" i="1" a="1"/>
  <c r="E809" i="1" s="1"/>
  <c r="E810" i="1" a="1"/>
  <c r="E810" i="1" s="1"/>
  <c r="E811" i="1" a="1"/>
  <c r="E811" i="1" s="1"/>
  <c r="E812" i="1" a="1"/>
  <c r="E812" i="1" s="1"/>
  <c r="E813" i="1" a="1"/>
  <c r="E813" i="1" s="1"/>
  <c r="E814" i="1" a="1"/>
  <c r="E814" i="1"/>
  <c r="E815" i="1" a="1"/>
  <c r="E815" i="1" s="1"/>
  <c r="E816" i="1" a="1"/>
  <c r="E816" i="1" s="1"/>
  <c r="E817" i="1" a="1"/>
  <c r="E817" i="1"/>
  <c r="E818" i="1" a="1"/>
  <c r="E818" i="1"/>
  <c r="E819" i="1" a="1"/>
  <c r="E819" i="1" s="1"/>
  <c r="E820" i="1" a="1"/>
  <c r="E820" i="1"/>
  <c r="E821" i="1" a="1"/>
  <c r="E821" i="1" s="1"/>
  <c r="E822" i="1" a="1"/>
  <c r="E822" i="1" s="1"/>
  <c r="E823" i="1" a="1"/>
  <c r="E823" i="1" s="1"/>
  <c r="E824" i="1" a="1"/>
  <c r="E824" i="1" s="1"/>
  <c r="E825" i="1" a="1"/>
  <c r="E825" i="1"/>
  <c r="E826" i="1" a="1"/>
  <c r="E826" i="1" s="1"/>
  <c r="E827" i="1" a="1"/>
  <c r="E827" i="1" s="1"/>
  <c r="E828" i="1" a="1"/>
  <c r="E828" i="1" s="1"/>
  <c r="E829" i="1" a="1"/>
  <c r="E829" i="1" s="1"/>
  <c r="E830" i="1" a="1"/>
  <c r="E830" i="1"/>
  <c r="E831" i="1" a="1"/>
  <c r="E831" i="1" s="1"/>
  <c r="E832" i="1" a="1"/>
  <c r="E832" i="1"/>
  <c r="E833" i="1" a="1"/>
  <c r="E833" i="1"/>
  <c r="E834" i="1" a="1"/>
  <c r="E834" i="1" s="1"/>
  <c r="E835" i="1" a="1"/>
  <c r="E835" i="1" s="1"/>
  <c r="E836" i="1" a="1"/>
  <c r="E836" i="1"/>
  <c r="E837" i="1" a="1"/>
  <c r="E837" i="1" s="1"/>
  <c r="E838" i="1" a="1"/>
  <c r="E838" i="1" s="1"/>
  <c r="E839" i="1" a="1"/>
  <c r="E839" i="1" s="1"/>
  <c r="E840" i="1" a="1"/>
  <c r="E840" i="1" s="1"/>
  <c r="E841" i="1" a="1"/>
  <c r="E841" i="1" s="1"/>
  <c r="E842" i="1" a="1"/>
  <c r="E842" i="1" s="1"/>
  <c r="E843" i="1" a="1"/>
  <c r="E843" i="1" s="1"/>
  <c r="E844" i="1" a="1"/>
  <c r="E844" i="1" s="1"/>
  <c r="E845" i="1" a="1"/>
  <c r="E845" i="1" s="1"/>
  <c r="E846" i="1" a="1"/>
  <c r="E846" i="1"/>
  <c r="E847" i="1" a="1"/>
  <c r="E847" i="1" s="1"/>
  <c r="E848" i="1" a="1"/>
  <c r="E848" i="1" s="1"/>
  <c r="E849" i="1" a="1"/>
  <c r="E849" i="1"/>
  <c r="E850" i="1" a="1"/>
  <c r="E850" i="1" s="1"/>
  <c r="E851" i="1" a="1"/>
  <c r="E851" i="1" s="1"/>
  <c r="E852" i="1" a="1"/>
  <c r="E852" i="1" s="1"/>
  <c r="E853" i="1" a="1"/>
  <c r="E853" i="1" s="1"/>
  <c r="E854" i="1" a="1"/>
  <c r="E854" i="1"/>
  <c r="E855" i="1" a="1"/>
  <c r="E855" i="1" s="1"/>
  <c r="E856" i="1" a="1"/>
  <c r="E856" i="1" s="1"/>
  <c r="E857" i="1" a="1"/>
  <c r="E857" i="1" s="1"/>
  <c r="E858" i="1" a="1"/>
  <c r="E858" i="1"/>
  <c r="E859" i="1" a="1"/>
  <c r="E859" i="1" s="1"/>
  <c r="E860" i="1" a="1"/>
  <c r="E860" i="1" s="1"/>
  <c r="E861" i="1" a="1"/>
  <c r="E861" i="1"/>
  <c r="E862" i="1" a="1"/>
  <c r="E862" i="1" s="1"/>
  <c r="E863" i="1" a="1"/>
  <c r="E863" i="1" s="1"/>
  <c r="E864" i="1" a="1"/>
  <c r="E864" i="1" s="1"/>
  <c r="E865" i="1" a="1"/>
  <c r="E865" i="1" s="1"/>
  <c r="E866" i="1" a="1"/>
  <c r="E866" i="1"/>
  <c r="E867" i="1" a="1"/>
  <c r="E867" i="1" s="1"/>
  <c r="E868" i="1" a="1"/>
  <c r="E868" i="1"/>
  <c r="E869" i="1" a="1"/>
  <c r="E869" i="1" s="1"/>
  <c r="E870" i="1" a="1"/>
  <c r="E870" i="1"/>
  <c r="E871" i="1" a="1"/>
  <c r="E871" i="1" s="1"/>
  <c r="E872" i="1" a="1"/>
  <c r="E872" i="1"/>
  <c r="E873" i="1" a="1"/>
  <c r="E873" i="1" s="1"/>
  <c r="F16" i="1" a="1"/>
  <c r="F16" i="1" s="1"/>
  <c r="F17" i="1" a="1"/>
  <c r="F17" i="1" s="1"/>
  <c r="F18" i="1" a="1"/>
  <c r="F18" i="1" s="1"/>
  <c r="F19" i="1" a="1"/>
  <c r="F19" i="1" s="1"/>
  <c r="F20" i="1" a="1"/>
  <c r="F20" i="1" s="1"/>
  <c r="F21" i="1" a="1"/>
  <c r="F21" i="1" s="1"/>
  <c r="F22" i="1" a="1"/>
  <c r="F22" i="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c r="F34" i="1" a="1"/>
  <c r="F34" i="1" s="1"/>
  <c r="F35" i="1" a="1"/>
  <c r="F35" i="1" s="1"/>
  <c r="F36" i="1" a="1"/>
  <c r="F36" i="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c r="F53" i="1" a="1"/>
  <c r="F53" i="1" s="1"/>
  <c r="F54" i="1" a="1"/>
  <c r="F54" i="1"/>
  <c r="F55" i="1" a="1"/>
  <c r="F55" i="1" s="1"/>
  <c r="F56" i="1" a="1"/>
  <c r="F56" i="1" s="1"/>
  <c r="F57" i="1" a="1"/>
  <c r="F57" i="1"/>
  <c r="F58" i="1" a="1"/>
  <c r="F58" i="1" s="1"/>
  <c r="F59" i="1" a="1"/>
  <c r="F59" i="1" s="1"/>
  <c r="F60" i="1" a="1"/>
  <c r="F60" i="1"/>
  <c r="F61" i="1" a="1"/>
  <c r="F61" i="1" s="1"/>
  <c r="F62" i="1" a="1"/>
  <c r="F62" i="1" s="1"/>
  <c r="F63" i="1" a="1"/>
  <c r="F63" i="1" s="1"/>
  <c r="F64" i="1" a="1"/>
  <c r="F64" i="1" s="1"/>
  <c r="F65" i="1" a="1"/>
  <c r="F65" i="1" s="1"/>
  <c r="F66" i="1" a="1"/>
  <c r="F66" i="1"/>
  <c r="F67" i="1" a="1"/>
  <c r="F67" i="1" s="1"/>
  <c r="F68" i="1" a="1"/>
  <c r="F68" i="1" s="1"/>
  <c r="F69" i="1" a="1"/>
  <c r="F69" i="1" s="1"/>
  <c r="F70" i="1" a="1"/>
  <c r="F70" i="1"/>
  <c r="F71" i="1" a="1"/>
  <c r="F71" i="1" s="1"/>
  <c r="F72" i="1" a="1"/>
  <c r="F72" i="1" s="1"/>
  <c r="F73" i="1" a="1"/>
  <c r="F73" i="1" s="1"/>
  <c r="F74" i="1" a="1"/>
  <c r="F74" i="1" s="1"/>
  <c r="F75" i="1" a="1"/>
  <c r="F75" i="1" s="1"/>
  <c r="F76" i="1" a="1"/>
  <c r="F76" i="1"/>
  <c r="F77" i="1" a="1"/>
  <c r="F77" i="1" s="1"/>
  <c r="F78" i="1" a="1"/>
  <c r="F78" i="1" s="1"/>
  <c r="F79" i="1" a="1"/>
  <c r="F79" i="1" s="1"/>
  <c r="F80" i="1" a="1"/>
  <c r="F80" i="1" s="1"/>
  <c r="F81" i="1" a="1"/>
  <c r="F81" i="1"/>
  <c r="F82" i="1" a="1"/>
  <c r="F82" i="1" s="1"/>
  <c r="F83" i="1" a="1"/>
  <c r="F83" i="1" s="1"/>
  <c r="F84" i="1" a="1"/>
  <c r="F84" i="1"/>
  <c r="F85" i="1" a="1"/>
  <c r="F85" i="1" s="1"/>
  <c r="F86" i="1" a="1"/>
  <c r="F86" i="1" s="1"/>
  <c r="F87" i="1" a="1"/>
  <c r="F87" i="1" s="1"/>
  <c r="F88" i="1" a="1"/>
  <c r="F88" i="1" s="1"/>
  <c r="F89" i="1" a="1"/>
  <c r="F89" i="1" s="1"/>
  <c r="F90" i="1" a="1"/>
  <c r="F90" i="1" s="1"/>
  <c r="F91" i="1" a="1"/>
  <c r="F91" i="1" s="1"/>
  <c r="F92" i="1" a="1"/>
  <c r="F92" i="1" s="1"/>
  <c r="F93" i="1" a="1"/>
  <c r="F93" i="1" s="1"/>
  <c r="F94" i="1" a="1"/>
  <c r="F94" i="1"/>
  <c r="F95" i="1" a="1"/>
  <c r="F95" i="1" s="1"/>
  <c r="F96" i="1" a="1"/>
  <c r="F96" i="1" s="1"/>
  <c r="F97" i="1" a="1"/>
  <c r="F97" i="1" s="1"/>
  <c r="F98" i="1" a="1"/>
  <c r="F98" i="1" s="1"/>
  <c r="F99" i="1" a="1"/>
  <c r="F99" i="1" s="1"/>
  <c r="F100" i="1" a="1"/>
  <c r="F100" i="1"/>
  <c r="F101" i="1" a="1"/>
  <c r="F101" i="1" s="1"/>
  <c r="F102" i="1" a="1"/>
  <c r="F102" i="1" s="1"/>
  <c r="F103" i="1" a="1"/>
  <c r="F103" i="1" s="1"/>
  <c r="F104" i="1" a="1"/>
  <c r="F104" i="1" s="1"/>
  <c r="F105" i="1" a="1"/>
  <c r="F105" i="1"/>
  <c r="F106" i="1" a="1"/>
  <c r="F106" i="1" s="1"/>
  <c r="F107" i="1" a="1"/>
  <c r="F107" i="1" s="1"/>
  <c r="F108" i="1" a="1"/>
  <c r="F108" i="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c r="F130" i="1" a="1"/>
  <c r="F130" i="1" s="1"/>
  <c r="F131" i="1" a="1"/>
  <c r="F131" i="1" s="1"/>
  <c r="F132" i="1" a="1"/>
  <c r="F132" i="1" s="1"/>
  <c r="F133" i="1" a="1"/>
  <c r="F133" i="1" s="1"/>
  <c r="F134" i="1" a="1"/>
  <c r="F134" i="1" s="1"/>
  <c r="F135" i="1" a="1"/>
  <c r="F135" i="1"/>
  <c r="F136" i="1" a="1"/>
  <c r="F136" i="1" s="1"/>
  <c r="F137" i="1" a="1"/>
  <c r="F137" i="1" s="1"/>
  <c r="F138" i="1" a="1"/>
  <c r="F138" i="1"/>
  <c r="F139" i="1" a="1"/>
  <c r="F139" i="1" s="1"/>
  <c r="F140" i="1" a="1"/>
  <c r="F140" i="1" s="1"/>
  <c r="F141" i="1" a="1"/>
  <c r="F141" i="1" s="1"/>
  <c r="F142" i="1" a="1"/>
  <c r="F142" i="1" s="1"/>
  <c r="F143" i="1" a="1"/>
  <c r="F143" i="1" s="1"/>
  <c r="F144" i="1" a="1"/>
  <c r="F144" i="1" s="1"/>
  <c r="F145" i="1" a="1"/>
  <c r="F145" i="1" s="1"/>
  <c r="F146" i="1" a="1"/>
  <c r="F146" i="1" s="1"/>
  <c r="F147" i="1" a="1"/>
  <c r="F147" i="1"/>
  <c r="F148" i="1" a="1"/>
  <c r="F148" i="1"/>
  <c r="F149" i="1" a="1"/>
  <c r="F149" i="1" s="1"/>
  <c r="F150" i="1" a="1"/>
  <c r="F150" i="1" s="1"/>
  <c r="F151" i="1" a="1"/>
  <c r="F151" i="1" s="1"/>
  <c r="F152" i="1" a="1"/>
  <c r="F152" i="1" s="1"/>
  <c r="F153" i="1" a="1"/>
  <c r="F153" i="1" s="1"/>
  <c r="F154" i="1" a="1"/>
  <c r="F154" i="1" s="1"/>
  <c r="F155" i="1" a="1"/>
  <c r="F155" i="1" s="1"/>
  <c r="F156" i="1" a="1"/>
  <c r="F156" i="1"/>
  <c r="F157" i="1" a="1"/>
  <c r="F157" i="1" s="1"/>
  <c r="F158" i="1" a="1"/>
  <c r="F158" i="1" s="1"/>
  <c r="F159" i="1" a="1"/>
  <c r="F159" i="1" s="1"/>
  <c r="F160" i="1" a="1"/>
  <c r="F160" i="1" s="1"/>
  <c r="F161" i="1" a="1"/>
  <c r="F161" i="1" s="1"/>
  <c r="F162" i="1" a="1"/>
  <c r="F162" i="1" s="1"/>
  <c r="F163" i="1" a="1"/>
  <c r="F163" i="1" s="1"/>
  <c r="F164" i="1" a="1"/>
  <c r="F164" i="1" s="1"/>
  <c r="F165" i="1" a="1"/>
  <c r="F165" i="1"/>
  <c r="F166" i="1" a="1"/>
  <c r="F166" i="1" s="1"/>
  <c r="F167" i="1" a="1"/>
  <c r="F167" i="1" s="1"/>
  <c r="F168" i="1" a="1"/>
  <c r="F168" i="1" s="1"/>
  <c r="F169" i="1" a="1"/>
  <c r="F169" i="1" s="1"/>
  <c r="F170" i="1" a="1"/>
  <c r="F170" i="1" s="1"/>
  <c r="F171" i="1" a="1"/>
  <c r="F171" i="1" s="1"/>
  <c r="F172" i="1" a="1"/>
  <c r="F172" i="1"/>
  <c r="F173" i="1" a="1"/>
  <c r="F173" i="1" s="1"/>
  <c r="F174" i="1" a="1"/>
  <c r="F174" i="1" s="1"/>
  <c r="F175" i="1" a="1"/>
  <c r="F175" i="1" s="1"/>
  <c r="F176" i="1" a="1"/>
  <c r="F176" i="1"/>
  <c r="F177" i="1" a="1"/>
  <c r="F177" i="1" s="1"/>
  <c r="F178" i="1" a="1"/>
  <c r="F178" i="1" s="1"/>
  <c r="F179" i="1" a="1"/>
  <c r="F179" i="1" s="1"/>
  <c r="F180" i="1" a="1"/>
  <c r="F180" i="1" s="1"/>
  <c r="F181" i="1" a="1"/>
  <c r="F181" i="1" s="1"/>
  <c r="F182" i="1" a="1"/>
  <c r="F182" i="1"/>
  <c r="F183" i="1" a="1"/>
  <c r="F183" i="1" s="1"/>
  <c r="F184" i="1" a="1"/>
  <c r="F184" i="1" s="1"/>
  <c r="F185" i="1" a="1"/>
  <c r="F185" i="1" s="1"/>
  <c r="F186" i="1" a="1"/>
  <c r="F186" i="1"/>
  <c r="F187" i="1" a="1"/>
  <c r="F187" i="1" s="1"/>
  <c r="F188" i="1" a="1"/>
  <c r="F188" i="1" s="1"/>
  <c r="F189" i="1" a="1"/>
  <c r="F189" i="1"/>
  <c r="F190" i="1" a="1"/>
  <c r="F190" i="1"/>
  <c r="F191" i="1" a="1"/>
  <c r="F191" i="1" s="1"/>
  <c r="F192" i="1" a="1"/>
  <c r="F192" i="1" s="1"/>
  <c r="F193" i="1" a="1"/>
  <c r="F193" i="1" s="1"/>
  <c r="F194" i="1" a="1"/>
  <c r="F194" i="1"/>
  <c r="F195" i="1" a="1"/>
  <c r="F195" i="1" s="1"/>
  <c r="F196" i="1" a="1"/>
  <c r="F196" i="1"/>
  <c r="F197" i="1" a="1"/>
  <c r="F197" i="1" s="1"/>
  <c r="F198" i="1" a="1"/>
  <c r="F198" i="1"/>
  <c r="F199" i="1" a="1"/>
  <c r="F199" i="1" s="1"/>
  <c r="F200" i="1" a="1"/>
  <c r="F200" i="1" s="1"/>
  <c r="F201" i="1" a="1"/>
  <c r="F201" i="1"/>
  <c r="F202" i="1" a="1"/>
  <c r="F202" i="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c r="F225" i="1" a="1"/>
  <c r="F225" i="1" s="1"/>
  <c r="F226" i="1" a="1"/>
  <c r="F226" i="1"/>
  <c r="F227" i="1" a="1"/>
  <c r="F227" i="1" s="1"/>
  <c r="F228" i="1" a="1"/>
  <c r="F228" i="1" s="1"/>
  <c r="F229" i="1" a="1"/>
  <c r="F229" i="1" s="1"/>
  <c r="F230" i="1" a="1"/>
  <c r="F230" i="1"/>
  <c r="F231" i="1" a="1"/>
  <c r="F231" i="1"/>
  <c r="F232" i="1" a="1"/>
  <c r="F232" i="1" s="1"/>
  <c r="F233" i="1" a="1"/>
  <c r="F233" i="1" s="1"/>
  <c r="F234" i="1" a="1"/>
  <c r="F234" i="1" s="1"/>
  <c r="F235" i="1" a="1"/>
  <c r="F235" i="1" s="1"/>
  <c r="F236" i="1" a="1"/>
  <c r="F236" i="1" s="1"/>
  <c r="F237" i="1" a="1"/>
  <c r="F237" i="1" s="1"/>
  <c r="F238" i="1" a="1"/>
  <c r="F238" i="1"/>
  <c r="F239" i="1" a="1"/>
  <c r="F239" i="1" s="1"/>
  <c r="F240" i="1" a="1"/>
  <c r="F240" i="1" s="1"/>
  <c r="F241" i="1" a="1"/>
  <c r="F241" i="1" s="1"/>
  <c r="F242" i="1" a="1"/>
  <c r="F242" i="1" s="1"/>
  <c r="F243" i="1" a="1"/>
  <c r="F243" i="1" s="1"/>
  <c r="F244" i="1" a="1"/>
  <c r="F244" i="1" s="1"/>
  <c r="F245" i="1" a="1"/>
  <c r="F245" i="1" s="1"/>
  <c r="F246" i="1" a="1"/>
  <c r="F246" i="1" s="1"/>
  <c r="F247" i="1" a="1"/>
  <c r="F247" i="1" s="1"/>
  <c r="F248" i="1" a="1"/>
  <c r="F248" i="1"/>
  <c r="F249" i="1" a="1"/>
  <c r="F249" i="1" s="1"/>
  <c r="F250" i="1" a="1"/>
  <c r="F250" i="1" s="1"/>
  <c r="F251" i="1" a="1"/>
  <c r="F251" i="1" s="1"/>
  <c r="F252" i="1" a="1"/>
  <c r="F252" i="1" s="1"/>
  <c r="F253" i="1" a="1"/>
  <c r="F253" i="1" s="1"/>
  <c r="F254" i="1" a="1"/>
  <c r="F254" i="1" s="1"/>
  <c r="F255" i="1" a="1"/>
  <c r="F255" i="1"/>
  <c r="F256" i="1" a="1"/>
  <c r="F256" i="1" s="1"/>
  <c r="F257" i="1" a="1"/>
  <c r="F257" i="1" s="1"/>
  <c r="F258" i="1" a="1"/>
  <c r="F258" i="1"/>
  <c r="F259" i="1" a="1"/>
  <c r="F259" i="1" s="1"/>
  <c r="F260" i="1" a="1"/>
  <c r="F260" i="1" s="1"/>
  <c r="F261" i="1" a="1"/>
  <c r="F261" i="1" s="1"/>
  <c r="F262" i="1" a="1"/>
  <c r="F262" i="1"/>
  <c r="F263" i="1" a="1"/>
  <c r="F263" i="1" s="1"/>
  <c r="F264" i="1" a="1"/>
  <c r="F264" i="1" s="1"/>
  <c r="F265" i="1" a="1"/>
  <c r="F265" i="1" s="1"/>
  <c r="F266" i="1" a="1"/>
  <c r="F266" i="1"/>
  <c r="F267" i="1" a="1"/>
  <c r="F267" i="1" s="1"/>
  <c r="F268" i="1" a="1"/>
  <c r="F268" i="1" s="1"/>
  <c r="F269" i="1" a="1"/>
  <c r="F269" i="1" s="1"/>
  <c r="F270" i="1" a="1"/>
  <c r="F270" i="1"/>
  <c r="F271" i="1" a="1"/>
  <c r="F271" i="1" s="1"/>
  <c r="F272" i="1" a="1"/>
  <c r="F272" i="1" s="1"/>
  <c r="F273" i="1" a="1"/>
  <c r="F273" i="1" s="1"/>
  <c r="F274" i="1" a="1"/>
  <c r="F274" i="1"/>
  <c r="F275" i="1" a="1"/>
  <c r="F275" i="1" s="1"/>
  <c r="F276" i="1" a="1"/>
  <c r="F276" i="1" s="1"/>
  <c r="F277" i="1" a="1"/>
  <c r="F277" i="1" s="1"/>
  <c r="F278" i="1" a="1"/>
  <c r="F278" i="1" s="1"/>
  <c r="F279" i="1" a="1"/>
  <c r="F279" i="1" s="1"/>
  <c r="F280" i="1" a="1"/>
  <c r="F280" i="1"/>
  <c r="F281" i="1" a="1"/>
  <c r="F281" i="1" s="1"/>
  <c r="F282" i="1" a="1"/>
  <c r="F282" i="1" s="1"/>
  <c r="F283" i="1" a="1"/>
  <c r="F283" i="1" s="1"/>
  <c r="F284" i="1" a="1"/>
  <c r="F284" i="1"/>
  <c r="F285" i="1" a="1"/>
  <c r="F285" i="1" s="1"/>
  <c r="F286" i="1" a="1"/>
  <c r="F286" i="1" s="1"/>
  <c r="F287" i="1" a="1"/>
  <c r="F287" i="1" s="1"/>
  <c r="F288" i="1" a="1"/>
  <c r="F288" i="1" s="1"/>
  <c r="F289" i="1" a="1"/>
  <c r="F289" i="1" s="1"/>
  <c r="F290" i="1" a="1"/>
  <c r="F290" i="1" s="1"/>
  <c r="F291" i="1" a="1"/>
  <c r="F291" i="1"/>
  <c r="F292" i="1" a="1"/>
  <c r="F292" i="1" s="1"/>
  <c r="F293" i="1" a="1"/>
  <c r="F293" i="1" s="1"/>
  <c r="F294" i="1" a="1"/>
  <c r="F294" i="1"/>
  <c r="F295" i="1" a="1"/>
  <c r="F295" i="1" s="1"/>
  <c r="F296" i="1" a="1"/>
  <c r="F296" i="1" s="1"/>
  <c r="F297" i="1" a="1"/>
  <c r="F297" i="1"/>
  <c r="F298" i="1" a="1"/>
  <c r="F298" i="1"/>
  <c r="F299" i="1" a="1"/>
  <c r="F299" i="1" s="1"/>
  <c r="F300" i="1" a="1"/>
  <c r="F300" i="1" s="1"/>
  <c r="F301" i="1" a="1"/>
  <c r="F301" i="1" s="1"/>
  <c r="F302" i="1" a="1"/>
  <c r="F302" i="1"/>
  <c r="F303" i="1" a="1"/>
  <c r="F303" i="1" s="1"/>
  <c r="F304" i="1" a="1"/>
  <c r="F304" i="1"/>
  <c r="F305" i="1" a="1"/>
  <c r="F305" i="1" s="1"/>
  <c r="F306" i="1" a="1"/>
  <c r="F306" i="1"/>
  <c r="F307" i="1" a="1"/>
  <c r="F307" i="1" s="1"/>
  <c r="F308" i="1" a="1"/>
  <c r="F308" i="1" s="1"/>
  <c r="F309" i="1" a="1"/>
  <c r="F309" i="1"/>
  <c r="F310" i="1" a="1"/>
  <c r="F310" i="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c r="F333" i="1" a="1"/>
  <c r="F333" i="1"/>
  <c r="F334" i="1" a="1"/>
  <c r="F334" i="1" s="1"/>
  <c r="F335" i="1" a="1"/>
  <c r="F335" i="1" s="1"/>
  <c r="F336" i="1" a="1"/>
  <c r="F336" i="1"/>
  <c r="F337" i="1" a="1"/>
  <c r="F337" i="1" s="1"/>
  <c r="F338" i="1" a="1"/>
  <c r="F338" i="1" s="1"/>
  <c r="F339" i="1" a="1"/>
  <c r="F339" i="1"/>
  <c r="F340" i="1" a="1"/>
  <c r="F340" i="1"/>
  <c r="F341" i="1" a="1"/>
  <c r="F341" i="1" s="1"/>
  <c r="F342" i="1" a="1"/>
  <c r="F342" i="1" s="1"/>
  <c r="F343" i="1" a="1"/>
  <c r="F343" i="1" s="1"/>
  <c r="F344" i="1" a="1"/>
  <c r="F344" i="1" s="1"/>
  <c r="F345" i="1" a="1"/>
  <c r="F345" i="1"/>
  <c r="F346" i="1" a="1"/>
  <c r="F346" i="1" s="1"/>
  <c r="F347" i="1" a="1"/>
  <c r="F347" i="1" s="1"/>
  <c r="F348" i="1" a="1"/>
  <c r="F348" i="1" s="1"/>
  <c r="F349" i="1" a="1"/>
  <c r="F349" i="1" s="1"/>
  <c r="F350" i="1" a="1"/>
  <c r="F350" i="1" s="1"/>
  <c r="F351" i="1" a="1"/>
  <c r="F351" i="1" s="1"/>
  <c r="F352" i="1" a="1"/>
  <c r="F352" i="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c r="F364" i="1" a="1"/>
  <c r="F364" i="1" s="1"/>
  <c r="F365" i="1" a="1"/>
  <c r="F365" i="1" s="1"/>
  <c r="F366" i="1" a="1"/>
  <c r="F366" i="1" s="1"/>
  <c r="F367" i="1" a="1"/>
  <c r="F367" i="1" s="1"/>
  <c r="F368" i="1" a="1"/>
  <c r="F368" i="1"/>
  <c r="F369" i="1" a="1"/>
  <c r="F369" i="1" s="1"/>
  <c r="F370" i="1" a="1"/>
  <c r="F370" i="1" s="1"/>
  <c r="F371" i="1" a="1"/>
  <c r="F371" i="1" s="1"/>
  <c r="F372" i="1" a="1"/>
  <c r="F372" i="1"/>
  <c r="F373" i="1" a="1"/>
  <c r="F373" i="1" s="1"/>
  <c r="F374" i="1" a="1"/>
  <c r="F374" i="1" s="1"/>
  <c r="F375" i="1" a="1"/>
  <c r="F375" i="1" s="1"/>
  <c r="F376" i="1" a="1"/>
  <c r="F376" i="1" s="1"/>
  <c r="F377" i="1" a="1"/>
  <c r="F377" i="1" s="1"/>
  <c r="F378" i="1" a="1"/>
  <c r="F378" i="1"/>
  <c r="F379" i="1" a="1"/>
  <c r="F379" i="1" s="1"/>
  <c r="F380" i="1" a="1"/>
  <c r="F380" i="1" s="1"/>
  <c r="F381" i="1" a="1"/>
  <c r="F381" i="1"/>
  <c r="F382" i="1" a="1"/>
  <c r="F382" i="1"/>
  <c r="F383" i="1" a="1"/>
  <c r="F383" i="1" s="1"/>
  <c r="F384" i="1" a="1"/>
  <c r="F384" i="1" s="1"/>
  <c r="F385" i="1" a="1"/>
  <c r="F385" i="1" s="1"/>
  <c r="F386" i="1" a="1"/>
  <c r="F386" i="1" s="1"/>
  <c r="F387" i="1" a="1"/>
  <c r="F387" i="1" s="1"/>
  <c r="F388" i="1" a="1"/>
  <c r="F388" i="1" s="1"/>
  <c r="F389" i="1" a="1"/>
  <c r="F389" i="1" s="1"/>
  <c r="F390" i="1" a="1"/>
  <c r="F390" i="1"/>
  <c r="F391" i="1" a="1"/>
  <c r="F391" i="1" s="1"/>
  <c r="F392" i="1" a="1"/>
  <c r="F392" i="1" s="1"/>
  <c r="F393" i="1" a="1"/>
  <c r="F393" i="1" s="1"/>
  <c r="F394" i="1" a="1"/>
  <c r="F394" i="1" s="1"/>
  <c r="F395" i="1" a="1"/>
  <c r="F395" i="1" s="1"/>
  <c r="F396" i="1" a="1"/>
  <c r="F396" i="1" s="1"/>
  <c r="F397" i="1" a="1"/>
  <c r="F397" i="1" s="1"/>
  <c r="F398" i="1" a="1"/>
  <c r="F398" i="1"/>
  <c r="F399" i="1" a="1"/>
  <c r="F399" i="1" s="1"/>
  <c r="F400" i="1" a="1"/>
  <c r="F400" i="1" s="1"/>
  <c r="F401" i="1" a="1"/>
  <c r="F401" i="1" s="1"/>
  <c r="F402" i="1" a="1"/>
  <c r="F402" i="1"/>
  <c r="F403" i="1" a="1"/>
  <c r="F403" i="1" s="1"/>
  <c r="F404" i="1" a="1"/>
  <c r="F404" i="1" s="1"/>
  <c r="F405" i="1" a="1"/>
  <c r="F405" i="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c r="F418" i="1" a="1"/>
  <c r="F418" i="1" s="1"/>
  <c r="F419" i="1" a="1"/>
  <c r="F419" i="1" s="1"/>
  <c r="F420" i="1" a="1"/>
  <c r="F420" i="1" s="1"/>
  <c r="F421" i="1" a="1"/>
  <c r="F421" i="1" s="1"/>
  <c r="F422" i="1" a="1"/>
  <c r="F422" i="1" s="1"/>
  <c r="F423" i="1" a="1"/>
  <c r="F423" i="1" s="1"/>
  <c r="F424" i="1" a="1"/>
  <c r="F424" i="1" s="1"/>
  <c r="F425" i="1" a="1"/>
  <c r="F425" i="1" s="1"/>
  <c r="F426" i="1" a="1"/>
  <c r="F426" i="1"/>
  <c r="F427" i="1" a="1"/>
  <c r="F427" i="1" s="1"/>
  <c r="F428" i="1" a="1"/>
  <c r="F428" i="1" s="1"/>
  <c r="F429" i="1" a="1"/>
  <c r="F429" i="1" s="1"/>
  <c r="F430" i="1" a="1"/>
  <c r="F430" i="1" s="1"/>
  <c r="F431" i="1" a="1"/>
  <c r="F431" i="1"/>
  <c r="F432" i="1" a="1"/>
  <c r="F432" i="1" s="1"/>
  <c r="F433" i="1" a="1"/>
  <c r="F433" i="1" s="1"/>
  <c r="F434" i="1" a="1"/>
  <c r="F434" i="1" s="1"/>
  <c r="F435" i="1" a="1"/>
  <c r="F435" i="1" s="1"/>
  <c r="F436" i="1" a="1"/>
  <c r="F436" i="1" s="1"/>
  <c r="F437" i="1" a="1"/>
  <c r="F437" i="1"/>
  <c r="F438" i="1" a="1"/>
  <c r="F438" i="1"/>
  <c r="F439" i="1" a="1"/>
  <c r="F439" i="1" s="1"/>
  <c r="F440" i="1" a="1"/>
  <c r="F440" i="1" s="1"/>
  <c r="F441" i="1" a="1"/>
  <c r="F441" i="1"/>
  <c r="F442" i="1" a="1"/>
  <c r="F442" i="1"/>
  <c r="F443" i="1" a="1"/>
  <c r="F443" i="1" s="1"/>
  <c r="F444" i="1" a="1"/>
  <c r="F444" i="1" s="1"/>
  <c r="F445" i="1" a="1"/>
  <c r="F445" i="1" s="1"/>
  <c r="F446" i="1" a="1"/>
  <c r="F446" i="1" s="1"/>
  <c r="F447" i="1" a="1"/>
  <c r="F447" i="1" s="1"/>
  <c r="F448" i="1" a="1"/>
  <c r="F448" i="1"/>
  <c r="F449" i="1" a="1"/>
  <c r="F449" i="1"/>
  <c r="F450" i="1" a="1"/>
  <c r="F450" i="1" s="1"/>
  <c r="F451" i="1" a="1"/>
  <c r="F451" i="1" s="1"/>
  <c r="F452" i="1" a="1"/>
  <c r="F452" i="1" s="1"/>
  <c r="F453" i="1" a="1"/>
  <c r="F453" i="1"/>
  <c r="F454" i="1" a="1"/>
  <c r="F454" i="1" s="1"/>
  <c r="F455" i="1" a="1"/>
  <c r="F455" i="1"/>
  <c r="F456" i="1" a="1"/>
  <c r="F456" i="1" s="1"/>
  <c r="F457" i="1" a="1"/>
  <c r="F457" i="1" s="1"/>
  <c r="F458" i="1" a="1"/>
  <c r="F458" i="1" s="1"/>
  <c r="F459" i="1" a="1"/>
  <c r="F459" i="1" s="1"/>
  <c r="F460" i="1" a="1"/>
  <c r="F460" i="1"/>
  <c r="F461" i="1" a="1"/>
  <c r="F461" i="1" s="1"/>
  <c r="F462" i="1" a="1"/>
  <c r="F462" i="1" s="1"/>
  <c r="F463" i="1" a="1"/>
  <c r="F463" i="1" s="1"/>
  <c r="F464" i="1" a="1"/>
  <c r="F464" i="1" s="1"/>
  <c r="F465" i="1" a="1"/>
  <c r="F465" i="1"/>
  <c r="F466" i="1" a="1"/>
  <c r="F466" i="1" s="1"/>
  <c r="F467" i="1" a="1"/>
  <c r="F467" i="1" s="1"/>
  <c r="F468" i="1" a="1"/>
  <c r="F468" i="1" s="1"/>
  <c r="F469" i="1" a="1"/>
  <c r="F469" i="1"/>
  <c r="F470" i="1" a="1"/>
  <c r="F470" i="1" s="1"/>
  <c r="F471" i="1" a="1"/>
  <c r="F471" i="1" s="1"/>
  <c r="F472" i="1" a="1"/>
  <c r="F472" i="1"/>
  <c r="F473" i="1" a="1"/>
  <c r="F473" i="1"/>
  <c r="F474" i="1" a="1"/>
  <c r="F474" i="1" s="1"/>
  <c r="F475" i="1" a="1"/>
  <c r="F475" i="1" s="1"/>
  <c r="F476" i="1" a="1"/>
  <c r="F476" i="1" s="1"/>
  <c r="F477" i="1" a="1"/>
  <c r="F477" i="1"/>
  <c r="F478" i="1" a="1"/>
  <c r="F478" i="1" s="1"/>
  <c r="F479" i="1" a="1"/>
  <c r="F479" i="1"/>
  <c r="F480" i="1" a="1"/>
  <c r="F480" i="1" s="1"/>
  <c r="F481" i="1" a="1"/>
  <c r="F481" i="1" s="1"/>
  <c r="F482" i="1" a="1"/>
  <c r="F482" i="1" s="1"/>
  <c r="F483" i="1" a="1"/>
  <c r="F483" i="1" s="1"/>
  <c r="F484" i="1" a="1"/>
  <c r="F484" i="1"/>
  <c r="F485" i="1" a="1"/>
  <c r="F485" i="1"/>
  <c r="F486" i="1" a="1"/>
  <c r="F486" i="1" s="1"/>
  <c r="F487" i="1" a="1"/>
  <c r="F487" i="1"/>
  <c r="F488" i="1" a="1"/>
  <c r="F488" i="1" s="1"/>
  <c r="F489" i="1" a="1"/>
  <c r="F489" i="1" s="1"/>
  <c r="F490" i="1" a="1"/>
  <c r="F490" i="1" s="1"/>
  <c r="F491" i="1" a="1"/>
  <c r="F491" i="1"/>
  <c r="F492" i="1" a="1"/>
  <c r="F492" i="1" s="1"/>
  <c r="F493" i="1" a="1"/>
  <c r="F493" i="1" s="1"/>
  <c r="F494" i="1" a="1"/>
  <c r="F494" i="1" s="1"/>
  <c r="F495" i="1" a="1"/>
  <c r="F495" i="1"/>
  <c r="F496" i="1" a="1"/>
  <c r="F496" i="1" s="1"/>
  <c r="F497" i="1" a="1"/>
  <c r="F497" i="1" s="1"/>
  <c r="F498" i="1" a="1"/>
  <c r="F498" i="1" s="1"/>
  <c r="F499" i="1" a="1"/>
  <c r="F499" i="1"/>
  <c r="F500" i="1" a="1"/>
  <c r="F500" i="1" s="1"/>
  <c r="F501" i="1" a="1"/>
  <c r="F501" i="1" s="1"/>
  <c r="F502" i="1" a="1"/>
  <c r="F502" i="1"/>
  <c r="F503" i="1" a="1"/>
  <c r="F503" i="1"/>
  <c r="F504" i="1" a="1"/>
  <c r="F504" i="1" s="1"/>
  <c r="F505" i="1" a="1"/>
  <c r="F505" i="1" s="1"/>
  <c r="F506" i="1" a="1"/>
  <c r="F506" i="1" s="1"/>
  <c r="F507" i="1" a="1"/>
  <c r="F507" i="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c r="F521" i="1" a="1"/>
  <c r="F521" i="1" s="1"/>
  <c r="F522" i="1" a="1"/>
  <c r="F522" i="1" s="1"/>
  <c r="F523" i="1" a="1"/>
  <c r="F523" i="1" s="1"/>
  <c r="F524" i="1" a="1"/>
  <c r="F524" i="1" s="1"/>
  <c r="F525" i="1" a="1"/>
  <c r="F525" i="1" s="1"/>
  <c r="F526" i="1" a="1"/>
  <c r="F526" i="1" s="1"/>
  <c r="F527" i="1" a="1"/>
  <c r="F527" i="1" s="1"/>
  <c r="F528" i="1" a="1"/>
  <c r="F528" i="1"/>
  <c r="F529" i="1" a="1"/>
  <c r="F529" i="1" s="1"/>
  <c r="F530" i="1" a="1"/>
  <c r="F530" i="1" s="1"/>
  <c r="F531" i="1" a="1"/>
  <c r="F531" i="1" s="1"/>
  <c r="F532" i="1" a="1"/>
  <c r="F532" i="1"/>
  <c r="F533" i="1" a="1"/>
  <c r="F533" i="1"/>
  <c r="F534" i="1" a="1"/>
  <c r="F534" i="1" s="1"/>
  <c r="F535" i="1" a="1"/>
  <c r="F535" i="1" s="1"/>
  <c r="F536" i="1" a="1"/>
  <c r="F536" i="1" s="1"/>
  <c r="F537" i="1" a="1"/>
  <c r="F537" i="1" s="1"/>
  <c r="F538" i="1" a="1"/>
  <c r="F538" i="1" s="1"/>
  <c r="F539" i="1" a="1"/>
  <c r="F539" i="1" s="1"/>
  <c r="F540" i="1" a="1"/>
  <c r="F540" i="1" s="1"/>
  <c r="F541" i="1" a="1"/>
  <c r="F541" i="1"/>
  <c r="F542" i="1" a="1"/>
  <c r="F542" i="1" s="1"/>
  <c r="F543" i="1" a="1"/>
  <c r="F543" i="1"/>
  <c r="F544" i="1" a="1"/>
  <c r="F544" i="1" s="1"/>
  <c r="F545" i="1" a="1"/>
  <c r="F545" i="1" s="1"/>
  <c r="F546" i="1" a="1"/>
  <c r="F546" i="1"/>
  <c r="F547" i="1" a="1"/>
  <c r="F547" i="1" s="1"/>
  <c r="F548" i="1" a="1"/>
  <c r="F548" i="1" s="1"/>
  <c r="F549" i="1" a="1"/>
  <c r="F549" i="1" s="1"/>
  <c r="F550" i="1" a="1"/>
  <c r="F550" i="1" s="1"/>
  <c r="F551" i="1" a="1"/>
  <c r="F551" i="1" s="1"/>
  <c r="F552" i="1" a="1"/>
  <c r="F552" i="1" s="1"/>
  <c r="F553" i="1" a="1"/>
  <c r="F553" i="1" s="1"/>
  <c r="F554" i="1" a="1"/>
  <c r="F554" i="1" s="1"/>
  <c r="F555" i="1" a="1"/>
  <c r="F555" i="1" s="1"/>
  <c r="F556" i="1" a="1"/>
  <c r="F556" i="1"/>
  <c r="F557" i="1" a="1"/>
  <c r="F557" i="1" s="1"/>
  <c r="F558" i="1" a="1"/>
  <c r="F558" i="1"/>
  <c r="F559" i="1" a="1"/>
  <c r="F559" i="1"/>
  <c r="F560" i="1" a="1"/>
  <c r="F560" i="1" s="1"/>
  <c r="F561" i="1" a="1"/>
  <c r="F561" i="1" s="1"/>
  <c r="F562" i="1" a="1"/>
  <c r="F562" i="1" s="1"/>
  <c r="F563" i="1" a="1"/>
  <c r="F563" i="1" s="1"/>
  <c r="F564" i="1" a="1"/>
  <c r="F564" i="1" s="1"/>
  <c r="F565" i="1" a="1"/>
  <c r="F565" i="1" s="1"/>
  <c r="F566" i="1" a="1"/>
  <c r="F566" i="1" s="1"/>
  <c r="F567" i="1" a="1"/>
  <c r="F567" i="1" s="1"/>
  <c r="F568" i="1" a="1"/>
  <c r="F568" i="1" s="1"/>
  <c r="F569" i="1" a="1"/>
  <c r="F569" i="1"/>
  <c r="F570" i="1" a="1"/>
  <c r="F570" i="1" s="1"/>
  <c r="F571" i="1" a="1"/>
  <c r="F571" i="1"/>
  <c r="F572" i="1" a="1"/>
  <c r="F572" i="1" s="1"/>
  <c r="F573" i="1" a="1"/>
  <c r="F573" i="1"/>
  <c r="F574" i="1" a="1"/>
  <c r="F574" i="1" s="1"/>
  <c r="F575" i="1" a="1"/>
  <c r="F575" i="1" s="1"/>
  <c r="F576" i="1" a="1"/>
  <c r="F576" i="1" s="1"/>
  <c r="F577" i="1" a="1"/>
  <c r="F577" i="1" s="1"/>
  <c r="F578" i="1" a="1"/>
  <c r="F578" i="1" s="1"/>
  <c r="F579" i="1" a="1"/>
  <c r="F579" i="1" s="1"/>
  <c r="F580" i="1" a="1"/>
  <c r="F580" i="1" s="1"/>
  <c r="F581" i="1" a="1"/>
  <c r="F581" i="1" s="1"/>
  <c r="F582" i="1" a="1"/>
  <c r="F582" i="1"/>
  <c r="F583" i="1" a="1"/>
  <c r="F583" i="1" s="1"/>
  <c r="F584" i="1" a="1"/>
  <c r="F584" i="1" s="1"/>
  <c r="F585" i="1" a="1"/>
  <c r="F585" i="1" s="1"/>
  <c r="F586" i="1" a="1"/>
  <c r="F586" i="1" s="1"/>
  <c r="F587" i="1" a="1"/>
  <c r="F587" i="1" s="1"/>
  <c r="F588" i="1" a="1"/>
  <c r="F588" i="1" s="1"/>
  <c r="F589" i="1" a="1"/>
  <c r="F589" i="1" s="1"/>
  <c r="F590" i="1" a="1"/>
  <c r="F590" i="1" s="1"/>
  <c r="F591" i="1" a="1"/>
  <c r="F591" i="1" s="1"/>
  <c r="F592" i="1" a="1"/>
  <c r="F592" i="1" s="1"/>
  <c r="F593" i="1" a="1"/>
  <c r="F593" i="1" s="1"/>
  <c r="F594" i="1" a="1"/>
  <c r="F594" i="1" s="1"/>
  <c r="F595" i="1" a="1"/>
  <c r="F595" i="1"/>
  <c r="F596" i="1" a="1"/>
  <c r="F596" i="1" s="1"/>
  <c r="F597" i="1" a="1"/>
  <c r="F597" i="1" s="1"/>
  <c r="F598" i="1" a="1"/>
  <c r="F598" i="1" s="1"/>
  <c r="F599" i="1" a="1"/>
  <c r="F599" i="1"/>
  <c r="F600" i="1" a="1"/>
  <c r="F600" i="1" s="1"/>
  <c r="F601" i="1" a="1"/>
  <c r="F601" i="1" s="1"/>
  <c r="F602" i="1" a="1"/>
  <c r="F602" i="1" s="1"/>
  <c r="F603" i="1" a="1"/>
  <c r="F603" i="1"/>
  <c r="F604" i="1" a="1"/>
  <c r="F604" i="1"/>
  <c r="F605" i="1" a="1"/>
  <c r="F605" i="1" s="1"/>
  <c r="F606" i="1" a="1"/>
  <c r="F606" i="1"/>
  <c r="F607" i="1" a="1"/>
  <c r="F607" i="1" s="1"/>
  <c r="F608" i="1" a="1"/>
  <c r="F608" i="1" s="1"/>
  <c r="F609" i="1" a="1"/>
  <c r="F609" i="1" s="1"/>
  <c r="F610" i="1" a="1"/>
  <c r="F610" i="1" s="1"/>
  <c r="F611" i="1" a="1"/>
  <c r="F611" i="1" s="1"/>
  <c r="F612" i="1" a="1"/>
  <c r="F612" i="1" s="1"/>
  <c r="F613" i="1" a="1"/>
  <c r="F613" i="1" s="1"/>
  <c r="F614" i="1" a="1"/>
  <c r="F614" i="1" s="1"/>
  <c r="F615" i="1" a="1"/>
  <c r="F615" i="1" s="1"/>
  <c r="F616" i="1" a="1"/>
  <c r="F616" i="1"/>
  <c r="F617" i="1" a="1"/>
  <c r="F617" i="1"/>
  <c r="F618" i="1" a="1"/>
  <c r="F618" i="1" s="1"/>
  <c r="F619" i="1" a="1"/>
  <c r="F619" i="1" s="1"/>
  <c r="F620" i="1" a="1"/>
  <c r="F620" i="1" s="1"/>
  <c r="F621" i="1" a="1"/>
  <c r="F621" i="1" s="1"/>
  <c r="F622" i="1" a="1"/>
  <c r="F622" i="1" s="1"/>
  <c r="F623" i="1" a="1"/>
  <c r="F623" i="1" s="1"/>
  <c r="F624" i="1" a="1"/>
  <c r="F624" i="1" s="1"/>
  <c r="F625" i="1" a="1"/>
  <c r="F625" i="1"/>
  <c r="F626" i="1" a="1"/>
  <c r="F626" i="1" s="1"/>
  <c r="F627" i="1" a="1"/>
  <c r="F627" i="1" s="1"/>
  <c r="F628" i="1" a="1"/>
  <c r="F628" i="1" s="1"/>
  <c r="F629" i="1" a="1"/>
  <c r="F629" i="1"/>
  <c r="F630" i="1" a="1"/>
  <c r="F630" i="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c r="F642" i="1" a="1"/>
  <c r="F642" i="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c r="F664" i="1" a="1"/>
  <c r="F664" i="1" s="1"/>
  <c r="F665" i="1" a="1"/>
  <c r="F665" i="1"/>
  <c r="F666" i="1" a="1"/>
  <c r="F666" i="1" s="1"/>
  <c r="F667" i="1" a="1"/>
  <c r="F667" i="1"/>
  <c r="F668" i="1" a="1"/>
  <c r="F668" i="1" s="1"/>
  <c r="F669" i="1" a="1"/>
  <c r="F669" i="1" s="1"/>
  <c r="F670" i="1" a="1"/>
  <c r="F670" i="1" s="1"/>
  <c r="F671" i="1" a="1"/>
  <c r="F671" i="1"/>
  <c r="F672" i="1" a="1"/>
  <c r="F672" i="1" s="1"/>
  <c r="F673" i="1" a="1"/>
  <c r="F673" i="1" s="1"/>
  <c r="F674" i="1" a="1"/>
  <c r="F674" i="1" s="1"/>
  <c r="F675" i="1" a="1"/>
  <c r="F675" i="1"/>
  <c r="F676" i="1" a="1"/>
  <c r="F676" i="1"/>
  <c r="F677" i="1" a="1"/>
  <c r="F677" i="1" s="1"/>
  <c r="F678" i="1" a="1"/>
  <c r="F678" i="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c r="F702" i="1" a="1"/>
  <c r="F702" i="1"/>
  <c r="F703" i="1" a="1"/>
  <c r="F703" i="1" s="1"/>
  <c r="F704" i="1" a="1"/>
  <c r="F704" i="1" s="1"/>
  <c r="F705" i="1" a="1"/>
  <c r="F705" i="1"/>
  <c r="F706" i="1" a="1"/>
  <c r="F706" i="1" s="1"/>
  <c r="F707" i="1" a="1"/>
  <c r="F707" i="1" s="1"/>
  <c r="F708" i="1" a="1"/>
  <c r="F708" i="1" s="1"/>
  <c r="F709" i="1" a="1"/>
  <c r="F709" i="1" s="1"/>
  <c r="F710" i="1" a="1"/>
  <c r="F710" i="1" s="1"/>
  <c r="F711" i="1" a="1"/>
  <c r="F711" i="1"/>
  <c r="F712" i="1" a="1"/>
  <c r="F712" i="1" s="1"/>
  <c r="F713" i="1" a="1"/>
  <c r="F713" i="1" s="1"/>
  <c r="F714" i="1" a="1"/>
  <c r="F714" i="1"/>
  <c r="F715" i="1" a="1"/>
  <c r="F715" i="1"/>
  <c r="F716" i="1" a="1"/>
  <c r="F716" i="1" s="1"/>
  <c r="F717" i="1" a="1"/>
  <c r="F717" i="1" s="1"/>
  <c r="F718" i="1" a="1"/>
  <c r="F718" i="1"/>
  <c r="F719" i="1" a="1"/>
  <c r="F719" i="1" s="1"/>
  <c r="F720" i="1" a="1"/>
  <c r="F720" i="1" s="1"/>
  <c r="F721" i="1" a="1"/>
  <c r="F721" i="1" s="1"/>
  <c r="F722" i="1" a="1"/>
  <c r="F722" i="1" s="1"/>
  <c r="F723" i="1" a="1"/>
  <c r="F723" i="1"/>
  <c r="F724" i="1" a="1"/>
  <c r="F724" i="1" s="1"/>
  <c r="F725" i="1" a="1"/>
  <c r="F725" i="1" s="1"/>
  <c r="F726" i="1" a="1"/>
  <c r="F726" i="1" s="1"/>
  <c r="F727" i="1" a="1"/>
  <c r="F727" i="1"/>
  <c r="F728" i="1" a="1"/>
  <c r="F728" i="1" s="1"/>
  <c r="F729" i="1" a="1"/>
  <c r="F729" i="1" s="1"/>
  <c r="F730" i="1" a="1"/>
  <c r="F730" i="1" s="1"/>
  <c r="F731" i="1" a="1"/>
  <c r="F731" i="1" s="1"/>
  <c r="F732" i="1" a="1"/>
  <c r="F732" i="1" s="1"/>
  <c r="F733" i="1" a="1"/>
  <c r="F733" i="1" s="1"/>
  <c r="F734" i="1" a="1"/>
  <c r="F734" i="1" s="1"/>
  <c r="F735" i="1" a="1"/>
  <c r="F735" i="1" s="1"/>
  <c r="F736" i="1" a="1"/>
  <c r="F736" i="1"/>
  <c r="F737" i="1" a="1"/>
  <c r="F737" i="1" s="1"/>
  <c r="F738" i="1" a="1"/>
  <c r="F738" i="1" s="1"/>
  <c r="F739" i="1" a="1"/>
  <c r="F739" i="1" s="1"/>
  <c r="F740" i="1" a="1"/>
  <c r="F740" i="1" s="1"/>
  <c r="F741" i="1" a="1"/>
  <c r="F741" i="1" s="1"/>
  <c r="F742" i="1" a="1"/>
  <c r="F742" i="1" s="1"/>
  <c r="F743" i="1" a="1"/>
  <c r="F743" i="1" s="1"/>
  <c r="F744" i="1" a="1"/>
  <c r="F744" i="1"/>
  <c r="F745" i="1" a="1"/>
  <c r="F745" i="1" s="1"/>
  <c r="F746" i="1" a="1"/>
  <c r="F746" i="1" s="1"/>
  <c r="F747" i="1" a="1"/>
  <c r="F747" i="1" s="1"/>
  <c r="F748" i="1" a="1"/>
  <c r="F748" i="1"/>
  <c r="F749" i="1" a="1"/>
  <c r="F749" i="1"/>
  <c r="F750" i="1" a="1"/>
  <c r="F750" i="1" s="1"/>
  <c r="F751" i="1" a="1"/>
  <c r="F751" i="1" s="1"/>
  <c r="F752" i="1" a="1"/>
  <c r="F752" i="1" s="1"/>
  <c r="F753" i="1" a="1"/>
  <c r="F753" i="1" s="1"/>
  <c r="F754" i="1" a="1"/>
  <c r="F754" i="1" s="1"/>
  <c r="F755" i="1" a="1"/>
  <c r="F755" i="1" s="1"/>
  <c r="F756" i="1" a="1"/>
  <c r="F756" i="1" s="1"/>
  <c r="F757" i="1" a="1"/>
  <c r="F757" i="1" s="1"/>
  <c r="F758" i="1" a="1"/>
  <c r="F758" i="1" s="1"/>
  <c r="F759" i="1" a="1"/>
  <c r="F759" i="1"/>
  <c r="F760" i="1" a="1"/>
  <c r="F760" i="1" s="1"/>
  <c r="F761" i="1" a="1"/>
  <c r="F761" i="1"/>
  <c r="F762" i="1" a="1"/>
  <c r="F762" i="1"/>
  <c r="F763" i="1" a="1"/>
  <c r="F763" i="1" s="1"/>
  <c r="F764" i="1" a="1"/>
  <c r="F764" i="1" s="1"/>
  <c r="F765" i="1" a="1"/>
  <c r="F765" i="1" s="1"/>
  <c r="F766" i="1" a="1"/>
  <c r="F766" i="1" s="1"/>
  <c r="F767" i="1" a="1"/>
  <c r="F767" i="1" s="1"/>
  <c r="F768" i="1" a="1"/>
  <c r="F768" i="1" s="1"/>
  <c r="F769" i="1" a="1"/>
  <c r="F769" i="1" s="1"/>
  <c r="F770" i="1" a="1"/>
  <c r="F770" i="1" s="1"/>
  <c r="F771" i="1" a="1"/>
  <c r="F771" i="1" s="1"/>
  <c r="F772" i="1" a="1"/>
  <c r="F772" i="1"/>
  <c r="F773" i="1" a="1"/>
  <c r="F773" i="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c r="F786" i="1" a="1"/>
  <c r="F786" i="1" s="1"/>
  <c r="F787" i="1" a="1"/>
  <c r="F787" i="1" s="1"/>
  <c r="F788" i="1" a="1"/>
  <c r="F788" i="1" s="1"/>
  <c r="F789" i="1" a="1"/>
  <c r="F789" i="1" s="1"/>
  <c r="F790" i="1" a="1"/>
  <c r="F790" i="1" s="1"/>
  <c r="F791" i="1" a="1"/>
  <c r="F791" i="1" s="1"/>
  <c r="F792" i="1" a="1"/>
  <c r="F792" i="1" s="1"/>
  <c r="F793" i="1" a="1"/>
  <c r="F793" i="1" s="1"/>
  <c r="F794" i="1" a="1"/>
  <c r="F794" i="1" s="1"/>
  <c r="F795" i="1" a="1"/>
  <c r="F795" i="1"/>
  <c r="F796" i="1" a="1"/>
  <c r="F796" i="1" s="1"/>
  <c r="F797" i="1" a="1"/>
  <c r="F797" i="1" s="1"/>
  <c r="F798" i="1" a="1"/>
  <c r="F798" i="1"/>
  <c r="F799" i="1" a="1"/>
  <c r="F799" i="1"/>
  <c r="F800" i="1" a="1"/>
  <c r="F800" i="1"/>
  <c r="F801" i="1" a="1"/>
  <c r="F801" i="1" s="1"/>
  <c r="F802" i="1" a="1"/>
  <c r="F802" i="1" s="1"/>
  <c r="F803" i="1" a="1"/>
  <c r="F803" i="1" s="1"/>
  <c r="F804" i="1" a="1"/>
  <c r="F804" i="1" s="1"/>
  <c r="F805" i="1" a="1"/>
  <c r="F805" i="1" s="1"/>
  <c r="F806" i="1" a="1"/>
  <c r="F806" i="1"/>
  <c r="F807" i="1" a="1"/>
  <c r="F807" i="1"/>
  <c r="F808" i="1" a="1"/>
  <c r="F808" i="1" s="1"/>
  <c r="F809" i="1" a="1"/>
  <c r="F809" i="1" s="1"/>
  <c r="F810" i="1" a="1"/>
  <c r="F810" i="1"/>
  <c r="F811" i="1" a="1"/>
  <c r="F811" i="1" s="1"/>
  <c r="F812" i="1" a="1"/>
  <c r="F812" i="1"/>
  <c r="F813" i="1" a="1"/>
  <c r="F813" i="1"/>
  <c r="F814" i="1" a="1"/>
  <c r="F814" i="1" s="1"/>
  <c r="F815" i="1" a="1"/>
  <c r="F815" i="1" s="1"/>
  <c r="F816" i="1" a="1"/>
  <c r="F816" i="1"/>
  <c r="F817" i="1" a="1"/>
  <c r="F817" i="1"/>
  <c r="F818" i="1" a="1"/>
  <c r="F818" i="1" s="1"/>
  <c r="F819" i="1" a="1"/>
  <c r="F819" i="1"/>
  <c r="F820" i="1" a="1"/>
  <c r="F820" i="1"/>
  <c r="F821" i="1" a="1"/>
  <c r="F821" i="1" s="1"/>
  <c r="F822" i="1" a="1"/>
  <c r="F822" i="1" s="1"/>
  <c r="F823" i="1" a="1"/>
  <c r="F823" i="1"/>
  <c r="F824" i="1" a="1"/>
  <c r="F824" i="1"/>
  <c r="F825" i="1" a="1"/>
  <c r="F825" i="1"/>
  <c r="F826" i="1" a="1"/>
  <c r="F826" i="1" s="1"/>
  <c r="F827" i="1" a="1"/>
  <c r="F827" i="1" s="1"/>
  <c r="F828" i="1" a="1"/>
  <c r="F828" i="1" s="1"/>
  <c r="F829" i="1" a="1"/>
  <c r="F829" i="1" s="1"/>
  <c r="F830" i="1" a="1"/>
  <c r="F830" i="1"/>
  <c r="F831" i="1" a="1"/>
  <c r="F831" i="1" s="1"/>
  <c r="F832" i="1" a="1"/>
  <c r="F832" i="1" s="1"/>
  <c r="F833" i="1" a="1"/>
  <c r="F833" i="1" s="1"/>
  <c r="F834" i="1" a="1"/>
  <c r="F834" i="1"/>
  <c r="F835" i="1" a="1"/>
  <c r="F835" i="1" s="1"/>
  <c r="F836" i="1" a="1"/>
  <c r="F836" i="1"/>
  <c r="F837" i="1" a="1"/>
  <c r="F837" i="1"/>
  <c r="F838" i="1" a="1"/>
  <c r="F838" i="1" s="1"/>
  <c r="F839" i="1" a="1"/>
  <c r="F839" i="1" s="1"/>
  <c r="F840" i="1" a="1"/>
  <c r="F840" i="1"/>
  <c r="F841" i="1" a="1"/>
  <c r="F841" i="1" s="1"/>
  <c r="F842" i="1" a="1"/>
  <c r="F842" i="1" s="1"/>
  <c r="F843" i="1" a="1"/>
  <c r="F843" i="1" s="1"/>
  <c r="F844" i="1" a="1"/>
  <c r="F844" i="1" s="1"/>
  <c r="F845" i="1" a="1"/>
  <c r="F845" i="1" s="1"/>
  <c r="F846" i="1" a="1"/>
  <c r="F846" i="1"/>
  <c r="F847" i="1" a="1"/>
  <c r="F847" i="1" s="1"/>
  <c r="F848" i="1" a="1"/>
  <c r="F848" i="1"/>
  <c r="F849" i="1" a="1"/>
  <c r="F849" i="1" s="1"/>
  <c r="F850" i="1" a="1"/>
  <c r="F850" i="1" s="1"/>
  <c r="F851" i="1" a="1"/>
  <c r="F851" i="1" s="1"/>
  <c r="F852" i="1" a="1"/>
  <c r="F852" i="1" s="1"/>
  <c r="F853" i="1" a="1"/>
  <c r="F853" i="1" s="1"/>
  <c r="F854" i="1" a="1"/>
  <c r="F854" i="1" s="1"/>
  <c r="F855" i="1" a="1"/>
  <c r="F855" i="1" s="1"/>
  <c r="F856" i="1" a="1"/>
  <c r="F856" i="1" s="1"/>
  <c r="F857" i="1" a="1"/>
  <c r="F857" i="1" s="1"/>
  <c r="F858" i="1" a="1"/>
  <c r="F858" i="1"/>
  <c r="F859" i="1" a="1"/>
  <c r="F859" i="1" s="1"/>
  <c r="F860" i="1" a="1"/>
  <c r="F860" i="1" s="1"/>
  <c r="F861" i="1" a="1"/>
  <c r="F861" i="1" s="1"/>
  <c r="F862" i="1" a="1"/>
  <c r="F862" i="1" s="1"/>
  <c r="F863" i="1" a="1"/>
  <c r="F863" i="1" s="1"/>
  <c r="F864" i="1" a="1"/>
  <c r="F864" i="1"/>
  <c r="F865" i="1" a="1"/>
  <c r="F865" i="1" s="1"/>
  <c r="F866" i="1" a="1"/>
  <c r="F866" i="1" s="1"/>
  <c r="F867" i="1" a="1"/>
  <c r="F867" i="1" s="1"/>
  <c r="F868" i="1" a="1"/>
  <c r="F868" i="1" s="1"/>
  <c r="F869" i="1" a="1"/>
  <c r="F869" i="1" s="1"/>
  <c r="F870" i="1" a="1"/>
  <c r="F870" i="1" s="1"/>
  <c r="F871" i="1" a="1"/>
  <c r="F871" i="1" s="1"/>
  <c r="F872" i="1" a="1"/>
  <c r="F872" i="1" s="1"/>
  <c r="F873" i="1" a="1"/>
  <c r="F873" i="1"/>
  <c r="G16" i="1" a="1"/>
  <c r="G16" i="1" s="1"/>
  <c r="G17" i="1" a="1"/>
  <c r="G17" i="1" s="1"/>
  <c r="G18" i="1" a="1"/>
  <c r="G18" i="1" s="1"/>
  <c r="G19" i="1" a="1"/>
  <c r="G19" i="1" s="1"/>
  <c r="G20" i="1" a="1"/>
  <c r="G20" i="1" s="1"/>
  <c r="G21" i="1" a="1"/>
  <c r="G21" i="1" s="1"/>
  <c r="G22" i="1" a="1"/>
  <c r="G22" i="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c r="G70" i="1" a="1"/>
  <c r="G70" i="1" s="1"/>
  <c r="G71" i="1" a="1"/>
  <c r="G71" i="1" s="1"/>
  <c r="G72" i="1" a="1"/>
  <c r="G72" i="1" s="1"/>
  <c r="G73" i="1" a="1"/>
  <c r="G73" i="1" s="1"/>
  <c r="G74" i="1" a="1"/>
  <c r="G74" i="1" s="1"/>
  <c r="G75" i="1" a="1"/>
  <c r="G75" i="1"/>
  <c r="G76" i="1" a="1"/>
  <c r="G76" i="1" s="1"/>
  <c r="G77" i="1" a="1"/>
  <c r="G77" i="1" s="1"/>
  <c r="G78" i="1" a="1"/>
  <c r="G78" i="1" s="1"/>
  <c r="G79" i="1" a="1"/>
  <c r="G79" i="1" s="1"/>
  <c r="G80" i="1" a="1"/>
  <c r="G80" i="1" s="1"/>
  <c r="G81" i="1" a="1"/>
  <c r="G81" i="1" s="1"/>
  <c r="G82" i="1" a="1"/>
  <c r="G82" i="1" s="1"/>
  <c r="G83" i="1" a="1"/>
  <c r="G83" i="1" s="1"/>
  <c r="G84" i="1" a="1"/>
  <c r="G84" i="1"/>
  <c r="G85" i="1" a="1"/>
  <c r="G85" i="1" s="1"/>
  <c r="G86" i="1" a="1"/>
  <c r="G86" i="1" s="1"/>
  <c r="G87" i="1" a="1"/>
  <c r="G87" i="1" s="1"/>
  <c r="G88" i="1" a="1"/>
  <c r="G88" i="1" s="1"/>
  <c r="G89" i="1" a="1"/>
  <c r="G89" i="1" s="1"/>
  <c r="G90" i="1" a="1"/>
  <c r="G90" i="1"/>
  <c r="G91" i="1" a="1"/>
  <c r="G91" i="1" s="1"/>
  <c r="G92" i="1" a="1"/>
  <c r="G92" i="1" s="1"/>
  <c r="G93" i="1" a="1"/>
  <c r="G93" i="1" s="1"/>
  <c r="G94" i="1" a="1"/>
  <c r="G94" i="1" s="1"/>
  <c r="G95" i="1" a="1"/>
  <c r="G95" i="1" s="1"/>
  <c r="G96" i="1" a="1"/>
  <c r="G96" i="1" s="1"/>
  <c r="G97" i="1" a="1"/>
  <c r="G97" i="1" s="1"/>
  <c r="G98" i="1" a="1"/>
  <c r="G98" i="1"/>
  <c r="G99" i="1" a="1"/>
  <c r="G99" i="1" s="1"/>
  <c r="G100" i="1" a="1"/>
  <c r="G100" i="1" s="1"/>
  <c r="G101" i="1" a="1"/>
  <c r="G101" i="1" s="1"/>
  <c r="G102" i="1" a="1"/>
  <c r="G102" i="1" s="1"/>
  <c r="G103" i="1" a="1"/>
  <c r="G103" i="1" s="1"/>
  <c r="G104" i="1" a="1"/>
  <c r="G104" i="1" s="1"/>
  <c r="G105" i="1" a="1"/>
  <c r="G105" i="1" s="1"/>
  <c r="G106" i="1" a="1"/>
  <c r="G106" i="1" s="1"/>
  <c r="G107" i="1" a="1"/>
  <c r="G107" i="1" s="1"/>
  <c r="G108" i="1" a="1"/>
  <c r="G108" i="1"/>
  <c r="G109" i="1" a="1"/>
  <c r="G109" i="1" s="1"/>
  <c r="G110" i="1" a="1"/>
  <c r="G110" i="1" s="1"/>
  <c r="G111" i="1" a="1"/>
  <c r="G111" i="1" s="1"/>
  <c r="G112" i="1" a="1"/>
  <c r="G112" i="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c r="G129" i="1" a="1"/>
  <c r="G129" i="1" s="1"/>
  <c r="G130" i="1" a="1"/>
  <c r="G130" i="1" s="1"/>
  <c r="G131" i="1" a="1"/>
  <c r="G131" i="1" s="1"/>
  <c r="G132" i="1" a="1"/>
  <c r="G132" i="1" s="1"/>
  <c r="G133" i="1" a="1"/>
  <c r="G133" i="1" s="1"/>
  <c r="G134" i="1" a="1"/>
  <c r="G134" i="1" s="1"/>
  <c r="G135" i="1" a="1"/>
  <c r="G135" i="1"/>
  <c r="G136" i="1" a="1"/>
  <c r="G136" i="1" s="1"/>
  <c r="G137" i="1" a="1"/>
  <c r="G137" i="1" s="1"/>
  <c r="G138" i="1" a="1"/>
  <c r="G138" i="1"/>
  <c r="G139" i="1" a="1"/>
  <c r="G139" i="1" s="1"/>
  <c r="G140" i="1" a="1"/>
  <c r="G140" i="1" s="1"/>
  <c r="G141" i="1" a="1"/>
  <c r="G141" i="1"/>
  <c r="G142" i="1" a="1"/>
  <c r="G142" i="1" s="1"/>
  <c r="G143" i="1" a="1"/>
  <c r="G143" i="1" s="1"/>
  <c r="G144" i="1" a="1"/>
  <c r="G144" i="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c r="G199" i="1" a="1"/>
  <c r="G199" i="1" s="1"/>
  <c r="G200" i="1" a="1"/>
  <c r="G200" i="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c r="G217" i="1" a="1"/>
  <c r="G217" i="1" s="1"/>
  <c r="G218" i="1" a="1"/>
  <c r="G218" i="1" s="1"/>
  <c r="G219" i="1" a="1"/>
  <c r="G219" i="1" s="1"/>
  <c r="G220" i="1" a="1"/>
  <c r="G220" i="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c r="G243" i="1" a="1"/>
  <c r="G243" i="1" s="1"/>
  <c r="G244" i="1" a="1"/>
  <c r="G244" i="1" s="1"/>
  <c r="G245" i="1" a="1"/>
  <c r="G245" i="1" s="1"/>
  <c r="G246" i="1" a="1"/>
  <c r="G246" i="1" s="1"/>
  <c r="G247" i="1" a="1"/>
  <c r="G247" i="1" s="1"/>
  <c r="G248" i="1" a="1"/>
  <c r="G248" i="1" s="1"/>
  <c r="G249" i="1" a="1"/>
  <c r="G249" i="1" s="1"/>
  <c r="G250" i="1" a="1"/>
  <c r="G250" i="1" s="1"/>
  <c r="G251" i="1" a="1"/>
  <c r="G251" i="1" s="1"/>
  <c r="G252" i="1" a="1"/>
  <c r="G252" i="1"/>
  <c r="G253" i="1" a="1"/>
  <c r="G253" i="1" s="1"/>
  <c r="G254" i="1" a="1"/>
  <c r="G254" i="1" s="1"/>
  <c r="G255" i="1" a="1"/>
  <c r="G255" i="1" s="1"/>
  <c r="G256" i="1" a="1"/>
  <c r="G256" i="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c r="G307" i="1" a="1"/>
  <c r="G307" i="1" s="1"/>
  <c r="G308" i="1" a="1"/>
  <c r="G308" i="1" s="1"/>
  <c r="G309" i="1" a="1"/>
  <c r="G309" i="1" s="1"/>
  <c r="G310" i="1" a="1"/>
  <c r="G310" i="1" s="1"/>
  <c r="G311" i="1" a="1"/>
  <c r="G311" i="1" s="1"/>
  <c r="G312" i="1" a="1"/>
  <c r="G312" i="1"/>
  <c r="G313" i="1" a="1"/>
  <c r="G313" i="1" s="1"/>
  <c r="G314" i="1" a="1"/>
  <c r="G314" i="1"/>
  <c r="G315" i="1" a="1"/>
  <c r="G315" i="1" s="1"/>
  <c r="G316" i="1" a="1"/>
  <c r="G316" i="1" s="1"/>
  <c r="G317" i="1" a="1"/>
  <c r="G317" i="1" s="1"/>
  <c r="G318" i="1" a="1"/>
  <c r="G318" i="1"/>
  <c r="G319" i="1" a="1"/>
  <c r="G319" i="1" s="1"/>
  <c r="G320" i="1" a="1"/>
  <c r="G320" i="1" s="1"/>
  <c r="G321" i="1" a="1"/>
  <c r="G321" i="1"/>
  <c r="G322" i="1" a="1"/>
  <c r="G322" i="1" s="1"/>
  <c r="G323" i="1" a="1"/>
  <c r="G323" i="1" s="1"/>
  <c r="G324" i="1" a="1"/>
  <c r="G324" i="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c r="G343" i="1" a="1"/>
  <c r="G343" i="1" s="1"/>
  <c r="G344" i="1" a="1"/>
  <c r="G344" i="1" s="1"/>
  <c r="G345" i="1" a="1"/>
  <c r="G345" i="1" s="1"/>
  <c r="G346" i="1" a="1"/>
  <c r="G346" i="1" s="1"/>
  <c r="G347" i="1" a="1"/>
  <c r="G347" i="1" s="1"/>
  <c r="G348" i="1" a="1"/>
  <c r="G348" i="1"/>
  <c r="G349" i="1" a="1"/>
  <c r="G349" i="1" s="1"/>
  <c r="G350" i="1" a="1"/>
  <c r="G350" i="1" s="1"/>
  <c r="G351" i="1" a="1"/>
  <c r="G351" i="1"/>
  <c r="G352" i="1" a="1"/>
  <c r="G352" i="1" s="1"/>
  <c r="G353" i="1" a="1"/>
  <c r="G353" i="1" s="1"/>
  <c r="G354" i="1" a="1"/>
  <c r="G354" i="1" s="1"/>
  <c r="G355" i="1" a="1"/>
  <c r="G355" i="1" s="1"/>
  <c r="G356" i="1" a="1"/>
  <c r="G356" i="1" s="1"/>
  <c r="G357" i="1" a="1"/>
  <c r="G357" i="1"/>
  <c r="G358" i="1" a="1"/>
  <c r="G358" i="1" s="1"/>
  <c r="G359" i="1" a="1"/>
  <c r="G359" i="1" s="1"/>
  <c r="G360" i="1" a="1"/>
  <c r="G360" i="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c r="G379" i="1" a="1"/>
  <c r="G379" i="1" s="1"/>
  <c r="G380" i="1" a="1"/>
  <c r="G380" i="1" s="1"/>
  <c r="G381" i="1" a="1"/>
  <c r="G381" i="1" s="1"/>
  <c r="G382" i="1" a="1"/>
  <c r="G382" i="1" s="1"/>
  <c r="G383" i="1" a="1"/>
  <c r="G383" i="1" s="1"/>
  <c r="G384" i="1" a="1"/>
  <c r="G384" i="1"/>
  <c r="G385" i="1" a="1"/>
  <c r="G385" i="1" s="1"/>
  <c r="G386" i="1" a="1"/>
  <c r="G386" i="1" s="1"/>
  <c r="G387" i="1" a="1"/>
  <c r="G387" i="1"/>
  <c r="G388" i="1" a="1"/>
  <c r="G388" i="1" s="1"/>
  <c r="G389" i="1" a="1"/>
  <c r="G389" i="1" s="1"/>
  <c r="G390" i="1" a="1"/>
  <c r="G390" i="1"/>
  <c r="G391" i="1" a="1"/>
  <c r="G391" i="1" s="1"/>
  <c r="G392" i="1" a="1"/>
  <c r="G392" i="1" s="1"/>
  <c r="G393" i="1" a="1"/>
  <c r="G393" i="1" s="1"/>
  <c r="G394" i="1" a="1"/>
  <c r="G394" i="1"/>
  <c r="G395" i="1" a="1"/>
  <c r="G395" i="1" s="1"/>
  <c r="G396" i="1" a="1"/>
  <c r="G396" i="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c r="G427" i="1" a="1"/>
  <c r="G427" i="1" s="1"/>
  <c r="G428" i="1" a="1"/>
  <c r="G428" i="1" s="1"/>
  <c r="G429" i="1" a="1"/>
  <c r="G429" i="1" s="1"/>
  <c r="G430" i="1" a="1"/>
  <c r="G430" i="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c r="G453" i="1" a="1"/>
  <c r="G453" i="1" s="1"/>
  <c r="G454" i="1" a="1"/>
  <c r="G454" i="1" s="1"/>
  <c r="G455" i="1" a="1"/>
  <c r="G455" i="1" s="1"/>
  <c r="G456" i="1" a="1"/>
  <c r="G456" i="1"/>
  <c r="G457" i="1" a="1"/>
  <c r="G457" i="1" s="1"/>
  <c r="G458" i="1" a="1"/>
  <c r="G458" i="1" s="1"/>
  <c r="G459" i="1" a="1"/>
  <c r="G459" i="1" s="1"/>
  <c r="G460" i="1" a="1"/>
  <c r="G460" i="1" s="1"/>
  <c r="G461" i="1" a="1"/>
  <c r="G461" i="1" s="1"/>
  <c r="G462" i="1" a="1"/>
  <c r="G462" i="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c r="G494" i="1" a="1"/>
  <c r="G494" i="1" s="1"/>
  <c r="G495" i="1" a="1"/>
  <c r="G495" i="1" s="1"/>
  <c r="G496" i="1" a="1"/>
  <c r="G496" i="1" s="1"/>
  <c r="G497" i="1" a="1"/>
  <c r="G497" i="1" s="1"/>
  <c r="G498" i="1" a="1"/>
  <c r="G498" i="1"/>
  <c r="G499" i="1" a="1"/>
  <c r="G499" i="1"/>
  <c r="G500" i="1" a="1"/>
  <c r="G500" i="1" s="1"/>
  <c r="G501" i="1" a="1"/>
  <c r="G501" i="1"/>
  <c r="G502" i="1" a="1"/>
  <c r="G502" i="1"/>
  <c r="G503" i="1" a="1"/>
  <c r="G503" i="1" s="1"/>
  <c r="G504" i="1" a="1"/>
  <c r="G504" i="1" s="1"/>
  <c r="G505" i="1" a="1"/>
  <c r="G505" i="1"/>
  <c r="G506" i="1" a="1"/>
  <c r="G506" i="1" s="1"/>
  <c r="G507" i="1" a="1"/>
  <c r="G507" i="1" s="1"/>
  <c r="G508" i="1" a="1"/>
  <c r="G508" i="1" s="1"/>
  <c r="G509" i="1" a="1"/>
  <c r="G509" i="1"/>
  <c r="G510" i="1" a="1"/>
  <c r="G510" i="1" s="1"/>
  <c r="G511" i="1" a="1"/>
  <c r="G511" i="1"/>
  <c r="G512" i="1" a="1"/>
  <c r="G512" i="1" s="1"/>
  <c r="G513" i="1" a="1"/>
  <c r="G513" i="1"/>
  <c r="G514" i="1" a="1"/>
  <c r="G514" i="1"/>
  <c r="G515" i="1" a="1"/>
  <c r="G515" i="1"/>
  <c r="G516" i="1" a="1"/>
  <c r="G516" i="1"/>
  <c r="G517" i="1" a="1"/>
  <c r="G517" i="1" s="1"/>
  <c r="G518" i="1" a="1"/>
  <c r="G518" i="1" s="1"/>
  <c r="G519" i="1" a="1"/>
  <c r="G519" i="1" s="1"/>
  <c r="G520" i="1" a="1"/>
  <c r="G520" i="1" s="1"/>
  <c r="G521" i="1" a="1"/>
  <c r="G521" i="1" s="1"/>
  <c r="G522" i="1" a="1"/>
  <c r="G522" i="1"/>
  <c r="G523" i="1" a="1"/>
  <c r="G523" i="1" s="1"/>
  <c r="G524" i="1" a="1"/>
  <c r="G524" i="1" s="1"/>
  <c r="G525" i="1" a="1"/>
  <c r="G525" i="1"/>
  <c r="G526" i="1" a="1"/>
  <c r="G526" i="1"/>
  <c r="G527" i="1" a="1"/>
  <c r="G527" i="1"/>
  <c r="G528" i="1" a="1"/>
  <c r="G528" i="1"/>
  <c r="G529" i="1" a="1"/>
  <c r="G529" i="1"/>
  <c r="G530" i="1" a="1"/>
  <c r="G530" i="1" s="1"/>
  <c r="G531" i="1" a="1"/>
  <c r="G531" i="1"/>
  <c r="G532" i="1" a="1"/>
  <c r="G532" i="1"/>
  <c r="G533" i="1" a="1"/>
  <c r="G533" i="1" s="1"/>
  <c r="G534" i="1" a="1"/>
  <c r="G534" i="1" s="1"/>
  <c r="G535" i="1" a="1"/>
  <c r="G535" i="1" s="1"/>
  <c r="G536" i="1" a="1"/>
  <c r="G536" i="1" s="1"/>
  <c r="G537" i="1" a="1"/>
  <c r="G537" i="1" s="1"/>
  <c r="G538" i="1" a="1"/>
  <c r="G538" i="1"/>
  <c r="G539" i="1" a="1"/>
  <c r="G539" i="1"/>
  <c r="G540" i="1" a="1"/>
  <c r="G540" i="1"/>
  <c r="G541" i="1" a="1"/>
  <c r="G541" i="1"/>
  <c r="G542" i="1" a="1"/>
  <c r="G542" i="1" s="1"/>
  <c r="G543" i="1" a="1"/>
  <c r="G543" i="1" s="1"/>
  <c r="G544" i="1" a="1"/>
  <c r="G544" i="1"/>
  <c r="G545" i="1" a="1"/>
  <c r="G545" i="1"/>
  <c r="G546" i="1" a="1"/>
  <c r="G546" i="1" s="1"/>
  <c r="G547" i="1" a="1"/>
  <c r="G547" i="1"/>
  <c r="G548" i="1" a="1"/>
  <c r="G548" i="1"/>
  <c r="G549" i="1" a="1"/>
  <c r="G549" i="1" s="1"/>
  <c r="G550" i="1" a="1"/>
  <c r="G550" i="1" s="1"/>
  <c r="G551" i="1" a="1"/>
  <c r="G551" i="1"/>
  <c r="G552" i="1" a="1"/>
  <c r="G552" i="1" s="1"/>
  <c r="G553" i="1" a="1"/>
  <c r="G553" i="1" s="1"/>
  <c r="G554" i="1" a="1"/>
  <c r="G554" i="1" s="1"/>
  <c r="G555" i="1" a="1"/>
  <c r="G555" i="1" s="1"/>
  <c r="G556" i="1" a="1"/>
  <c r="G556" i="1"/>
  <c r="G557" i="1" a="1"/>
  <c r="G557" i="1" s="1"/>
  <c r="G558" i="1" a="1"/>
  <c r="G558" i="1" s="1"/>
  <c r="G559" i="1" a="1"/>
  <c r="G559" i="1" s="1"/>
  <c r="G560" i="1" a="1"/>
  <c r="G560" i="1"/>
  <c r="G561" i="1" a="1"/>
  <c r="G561" i="1"/>
  <c r="G562" i="1" a="1"/>
  <c r="G562" i="1"/>
  <c r="G563" i="1" a="1"/>
  <c r="G563" i="1"/>
  <c r="G564" i="1" a="1"/>
  <c r="G564" i="1" s="1"/>
  <c r="G565" i="1" a="1"/>
  <c r="G565" i="1"/>
  <c r="G566" i="1" a="1"/>
  <c r="G566" i="1" s="1"/>
  <c r="G567" i="1" a="1"/>
  <c r="G567" i="1" s="1"/>
  <c r="G568" i="1" a="1"/>
  <c r="G568" i="1" s="1"/>
  <c r="G569" i="1" a="1"/>
  <c r="G569" i="1"/>
  <c r="G570" i="1" a="1"/>
  <c r="G570" i="1" s="1"/>
  <c r="G571" i="1" a="1"/>
  <c r="G571" i="1"/>
  <c r="G572" i="1" a="1"/>
  <c r="G572" i="1" s="1"/>
  <c r="G573" i="1" a="1"/>
  <c r="G573" i="1" s="1"/>
  <c r="G574" i="1" a="1"/>
  <c r="G574" i="1" s="1"/>
  <c r="G575" i="1" a="1"/>
  <c r="G575" i="1"/>
  <c r="G576" i="1" a="1"/>
  <c r="G576" i="1" s="1"/>
  <c r="G577" i="1" a="1"/>
  <c r="G577" i="1" s="1"/>
  <c r="G578" i="1" a="1"/>
  <c r="G578" i="1" s="1"/>
  <c r="G579" i="1" a="1"/>
  <c r="G579" i="1" s="1"/>
  <c r="G580" i="1" a="1"/>
  <c r="G580" i="1" s="1"/>
  <c r="G581" i="1" a="1"/>
  <c r="G581" i="1" s="1"/>
  <c r="G582" i="1" a="1"/>
  <c r="G582" i="1" s="1"/>
  <c r="G583" i="1" a="1"/>
  <c r="G583" i="1"/>
  <c r="G584" i="1" a="1"/>
  <c r="G584" i="1" s="1"/>
  <c r="G585" i="1" a="1"/>
  <c r="G585" i="1" s="1"/>
  <c r="G586" i="1" a="1"/>
  <c r="G586" i="1"/>
  <c r="G587" i="1" a="1"/>
  <c r="G587" i="1"/>
  <c r="G588" i="1" a="1"/>
  <c r="G588" i="1" s="1"/>
  <c r="G589" i="1" a="1"/>
  <c r="G589" i="1" s="1"/>
  <c r="G590" i="1" a="1"/>
  <c r="G590" i="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c r="G602" i="1" a="1"/>
  <c r="G602" i="1" s="1"/>
  <c r="G603" i="1" a="1"/>
  <c r="G603" i="1" s="1"/>
  <c r="G604" i="1" a="1"/>
  <c r="G604" i="1" s="1"/>
  <c r="G605" i="1" a="1"/>
  <c r="G605" i="1" s="1"/>
  <c r="G606" i="1" a="1"/>
  <c r="G606" i="1" s="1"/>
  <c r="G607" i="1" a="1"/>
  <c r="G607" i="1" s="1"/>
  <c r="G608" i="1" a="1"/>
  <c r="G608" i="1"/>
  <c r="G609" i="1" a="1"/>
  <c r="G609" i="1" s="1"/>
  <c r="G610" i="1" a="1"/>
  <c r="G610" i="1" s="1"/>
  <c r="G611" i="1" a="1"/>
  <c r="G611" i="1" s="1"/>
  <c r="G612" i="1" a="1"/>
  <c r="G612" i="1" s="1"/>
  <c r="G613" i="1" a="1"/>
  <c r="G613" i="1"/>
  <c r="G614" i="1" a="1"/>
  <c r="G614" i="1" s="1"/>
  <c r="G615" i="1" a="1"/>
  <c r="G615" i="1" s="1"/>
  <c r="G616" i="1" a="1"/>
  <c r="G616" i="1"/>
  <c r="G617" i="1" a="1"/>
  <c r="G617" i="1" s="1"/>
  <c r="G618" i="1" a="1"/>
  <c r="G618" i="1" s="1"/>
  <c r="G619" i="1" a="1"/>
  <c r="G619" i="1"/>
  <c r="G620" i="1" a="1"/>
  <c r="G620" i="1"/>
  <c r="G621" i="1" a="1"/>
  <c r="G621" i="1"/>
  <c r="G622" i="1" a="1"/>
  <c r="G622" i="1" s="1"/>
  <c r="G623" i="1" a="1"/>
  <c r="G623" i="1"/>
  <c r="G624" i="1" a="1"/>
  <c r="G624" i="1" s="1"/>
  <c r="G625" i="1" a="1"/>
  <c r="G625" i="1"/>
  <c r="G626" i="1" a="1"/>
  <c r="G626" i="1" s="1"/>
  <c r="G627" i="1" a="1"/>
  <c r="G627" i="1" s="1"/>
  <c r="G628" i="1" a="1"/>
  <c r="G628" i="1"/>
  <c r="G629" i="1" a="1"/>
  <c r="G629" i="1"/>
  <c r="G630" i="1" a="1"/>
  <c r="G630" i="1" s="1"/>
  <c r="G631" i="1" a="1"/>
  <c r="G631" i="1"/>
  <c r="G632" i="1" a="1"/>
  <c r="G632" i="1"/>
  <c r="G633" i="1" a="1"/>
  <c r="G633" i="1" s="1"/>
  <c r="G634" i="1" a="1"/>
  <c r="G634" i="1" s="1"/>
  <c r="G635" i="1" a="1"/>
  <c r="G635" i="1" s="1"/>
  <c r="G636" i="1" a="1"/>
  <c r="G636" i="1" s="1"/>
  <c r="G637" i="1" a="1"/>
  <c r="G637" i="1" s="1"/>
  <c r="G638" i="1" a="1"/>
  <c r="G638" i="1" s="1"/>
  <c r="G639" i="1" a="1"/>
  <c r="G639" i="1" s="1"/>
  <c r="G640" i="1" a="1"/>
  <c r="G640" i="1" s="1"/>
  <c r="G641" i="1" a="1"/>
  <c r="G641" i="1"/>
  <c r="G642" i="1" a="1"/>
  <c r="G642" i="1" s="1"/>
  <c r="G643" i="1" a="1"/>
  <c r="G643" i="1" s="1"/>
  <c r="G644" i="1" a="1"/>
  <c r="G644" i="1" s="1"/>
  <c r="G645" i="1" a="1"/>
  <c r="G645" i="1"/>
  <c r="G646" i="1" a="1"/>
  <c r="G646" i="1" s="1"/>
  <c r="G647" i="1" a="1"/>
  <c r="G647" i="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c r="G659" i="1" a="1"/>
  <c r="G659" i="1"/>
  <c r="G660" i="1" a="1"/>
  <c r="G660" i="1" s="1"/>
  <c r="G661" i="1" a="1"/>
  <c r="G661" i="1"/>
  <c r="G662" i="1" a="1"/>
  <c r="G662" i="1" s="1"/>
  <c r="G663" i="1" a="1"/>
  <c r="G663" i="1" s="1"/>
  <c r="G664" i="1" a="1"/>
  <c r="G664" i="1" s="1"/>
  <c r="G665" i="1" a="1"/>
  <c r="G665" i="1" s="1"/>
  <c r="G666" i="1" a="1"/>
  <c r="G666" i="1" s="1"/>
  <c r="G667" i="1" a="1"/>
  <c r="G667" i="1" s="1"/>
  <c r="G668" i="1" a="1"/>
  <c r="G668" i="1" s="1"/>
  <c r="G669" i="1" a="1"/>
  <c r="G669" i="1" s="1"/>
  <c r="G670" i="1" a="1"/>
  <c r="G670" i="1" s="1"/>
  <c r="G671" i="1" a="1"/>
  <c r="G671" i="1"/>
  <c r="G672" i="1" a="1"/>
  <c r="G672" i="1" s="1"/>
  <c r="G673" i="1" a="1"/>
  <c r="G673" i="1"/>
  <c r="G674" i="1" a="1"/>
  <c r="G674" i="1"/>
  <c r="G675" i="1" a="1"/>
  <c r="G675" i="1" s="1"/>
  <c r="G676" i="1" a="1"/>
  <c r="G676" i="1" s="1"/>
  <c r="G677" i="1" a="1"/>
  <c r="G677" i="1" s="1"/>
  <c r="G678" i="1" a="1"/>
  <c r="G678" i="1" s="1"/>
  <c r="G679" i="1" a="1"/>
  <c r="G679" i="1" s="1"/>
  <c r="G680" i="1" a="1"/>
  <c r="G680" i="1" s="1"/>
  <c r="G681" i="1" a="1"/>
  <c r="G681" i="1" s="1"/>
  <c r="G682" i="1" a="1"/>
  <c r="G682" i="1"/>
  <c r="G683" i="1" a="1"/>
  <c r="G683" i="1" s="1"/>
  <c r="G684" i="1" a="1"/>
  <c r="G684" i="1" s="1"/>
  <c r="G685" i="1" a="1"/>
  <c r="G685" i="1" s="1"/>
  <c r="G686" i="1" a="1"/>
  <c r="G686" i="1" s="1"/>
  <c r="G687" i="1" a="1"/>
  <c r="G687" i="1"/>
  <c r="G688" i="1" a="1"/>
  <c r="G688" i="1" s="1"/>
  <c r="G689" i="1" a="1"/>
  <c r="G689" i="1" s="1"/>
  <c r="G690" i="1" a="1"/>
  <c r="G690" i="1" s="1"/>
  <c r="G691" i="1" a="1"/>
  <c r="G691" i="1"/>
  <c r="G692" i="1" a="1"/>
  <c r="G692" i="1"/>
  <c r="G693" i="1" a="1"/>
  <c r="G693" i="1"/>
  <c r="G694" i="1" a="1"/>
  <c r="G694" i="1" s="1"/>
  <c r="G695" i="1" a="1"/>
  <c r="G695" i="1" s="1"/>
  <c r="G696" i="1" a="1"/>
  <c r="G696" i="1" s="1"/>
  <c r="G697" i="1" a="1"/>
  <c r="G697" i="1" s="1"/>
  <c r="G698" i="1" a="1"/>
  <c r="G698" i="1" s="1"/>
  <c r="G699" i="1" a="1"/>
  <c r="G699" i="1" s="1"/>
  <c r="G700" i="1" a="1"/>
  <c r="G700" i="1"/>
  <c r="G701" i="1" a="1"/>
  <c r="G701" i="1"/>
  <c r="G702" i="1" a="1"/>
  <c r="G702" i="1" s="1"/>
  <c r="G703" i="1" a="1"/>
  <c r="G703" i="1" s="1"/>
  <c r="G704" i="1" a="1"/>
  <c r="G704" i="1"/>
  <c r="G705" i="1" a="1"/>
  <c r="G705" i="1" s="1"/>
  <c r="G706" i="1" a="1"/>
  <c r="G706" i="1" s="1"/>
  <c r="G707" i="1" a="1"/>
  <c r="G707" i="1" s="1"/>
  <c r="G708" i="1" a="1"/>
  <c r="G708" i="1" s="1"/>
  <c r="G709" i="1" a="1"/>
  <c r="G709" i="1" s="1"/>
  <c r="G710" i="1" a="1"/>
  <c r="G710" i="1" s="1"/>
  <c r="G711" i="1" a="1"/>
  <c r="G711" i="1" s="1"/>
  <c r="G712" i="1" a="1"/>
  <c r="G712" i="1" s="1"/>
  <c r="G713" i="1" a="1"/>
  <c r="G713" i="1"/>
  <c r="G714" i="1" a="1"/>
  <c r="G714" i="1" s="1"/>
  <c r="G715" i="1" a="1"/>
  <c r="G715" i="1" s="1"/>
  <c r="G716" i="1" a="1"/>
  <c r="G716" i="1" s="1"/>
  <c r="G717" i="1" a="1"/>
  <c r="G717" i="1" s="1"/>
  <c r="G718" i="1" a="1"/>
  <c r="G718" i="1"/>
  <c r="G719" i="1" a="1"/>
  <c r="G719" i="1" s="1"/>
  <c r="G720" i="1" a="1"/>
  <c r="G720" i="1" s="1"/>
  <c r="G721" i="1" a="1"/>
  <c r="G721" i="1"/>
  <c r="G722" i="1" a="1"/>
  <c r="G722" i="1" s="1"/>
  <c r="G723" i="1" a="1"/>
  <c r="G723" i="1" s="1"/>
  <c r="G724" i="1" a="1"/>
  <c r="G724" i="1" s="1"/>
  <c r="G725" i="1" a="1"/>
  <c r="G725" i="1" s="1"/>
  <c r="G726" i="1" a="1"/>
  <c r="G726" i="1" s="1"/>
  <c r="G727" i="1" a="1"/>
  <c r="G727" i="1" s="1"/>
  <c r="G728" i="1" a="1"/>
  <c r="G728" i="1"/>
  <c r="G729" i="1" a="1"/>
  <c r="G729" i="1" s="1"/>
  <c r="G730" i="1" a="1"/>
  <c r="G730" i="1"/>
  <c r="G731" i="1" a="1"/>
  <c r="G731" i="1"/>
  <c r="G732" i="1" a="1"/>
  <c r="G732" i="1" s="1"/>
  <c r="G733" i="1" a="1"/>
  <c r="G733" i="1"/>
  <c r="G734" i="1" a="1"/>
  <c r="G734" i="1"/>
  <c r="G735" i="1" a="1"/>
  <c r="G735" i="1"/>
  <c r="G736" i="1" a="1"/>
  <c r="G736" i="1" s="1"/>
  <c r="G737" i="1" a="1"/>
  <c r="G737" i="1" s="1"/>
  <c r="G738" i="1" a="1"/>
  <c r="G738" i="1" s="1"/>
  <c r="G739" i="1" a="1"/>
  <c r="G739" i="1"/>
  <c r="G740" i="1" a="1"/>
  <c r="G740" i="1" s="1"/>
  <c r="G741" i="1" a="1"/>
  <c r="G741" i="1"/>
  <c r="G742" i="1" a="1"/>
  <c r="G742" i="1" s="1"/>
  <c r="G743" i="1" a="1"/>
  <c r="G743" i="1"/>
  <c r="G744" i="1" a="1"/>
  <c r="G744" i="1" s="1"/>
  <c r="G745" i="1" a="1"/>
  <c r="G745" i="1" s="1"/>
  <c r="G746" i="1" a="1"/>
  <c r="G746" i="1"/>
  <c r="G747" i="1" a="1"/>
  <c r="G747" i="1"/>
  <c r="G748" i="1" a="1"/>
  <c r="G748" i="1" s="1"/>
  <c r="G749" i="1" a="1"/>
  <c r="G749" i="1" s="1"/>
  <c r="G750" i="1" a="1"/>
  <c r="G750" i="1" s="1"/>
  <c r="G751" i="1" a="1"/>
  <c r="G751" i="1"/>
  <c r="G752" i="1" a="1"/>
  <c r="G752" i="1"/>
  <c r="G753" i="1" a="1"/>
  <c r="G753" i="1" s="1"/>
  <c r="G754" i="1" a="1"/>
  <c r="G754" i="1" s="1"/>
  <c r="G755" i="1" a="1"/>
  <c r="G755" i="1" s="1"/>
  <c r="G756" i="1" a="1"/>
  <c r="G756" i="1" s="1"/>
  <c r="G757" i="1" a="1"/>
  <c r="G757" i="1" s="1"/>
  <c r="G758" i="1" a="1"/>
  <c r="G758" i="1" s="1"/>
  <c r="G759" i="1" a="1"/>
  <c r="G759" i="1"/>
  <c r="G760" i="1" a="1"/>
  <c r="G760" i="1"/>
  <c r="G761" i="1" a="1"/>
  <c r="G761" i="1"/>
  <c r="G762" i="1" a="1"/>
  <c r="G762" i="1" s="1"/>
  <c r="G763" i="1" a="1"/>
  <c r="G763" i="1"/>
  <c r="G764" i="1" a="1"/>
  <c r="G764" i="1"/>
  <c r="G765" i="1" a="1"/>
  <c r="G765" i="1" s="1"/>
  <c r="G766" i="1" a="1"/>
  <c r="G766" i="1" s="1"/>
  <c r="G767" i="1" a="1"/>
  <c r="G767" i="1"/>
  <c r="G768" i="1" a="1"/>
  <c r="G768" i="1" s="1"/>
  <c r="G769" i="1" a="1"/>
  <c r="G769" i="1" s="1"/>
  <c r="G770" i="1" a="1"/>
  <c r="G770" i="1" s="1"/>
  <c r="G771" i="1" a="1"/>
  <c r="G771" i="1" s="1"/>
  <c r="G772" i="1" a="1"/>
  <c r="G772" i="1"/>
  <c r="G773" i="1" a="1"/>
  <c r="G773" i="1"/>
  <c r="G774" i="1" a="1"/>
  <c r="G774" i="1" s="1"/>
  <c r="G775" i="1" a="1"/>
  <c r="G775" i="1" s="1"/>
  <c r="G776" i="1" a="1"/>
  <c r="G776" i="1"/>
  <c r="G777" i="1" a="1"/>
  <c r="G777" i="1"/>
  <c r="G778" i="1" a="1"/>
  <c r="G778" i="1" s="1"/>
  <c r="G779" i="1" a="1"/>
  <c r="G779" i="1" s="1"/>
  <c r="G780" i="1" a="1"/>
  <c r="G780" i="1" s="1"/>
  <c r="G781" i="1" a="1"/>
  <c r="G781" i="1"/>
  <c r="G782" i="1" a="1"/>
  <c r="G782" i="1" s="1"/>
  <c r="G783" i="1" a="1"/>
  <c r="G783" i="1" s="1"/>
  <c r="G784" i="1" a="1"/>
  <c r="G784" i="1" s="1"/>
  <c r="G785" i="1" a="1"/>
  <c r="G785" i="1"/>
  <c r="G786" i="1" a="1"/>
  <c r="G786" i="1" s="1"/>
  <c r="G787" i="1" a="1"/>
  <c r="G787" i="1" s="1"/>
  <c r="G788" i="1" a="1"/>
  <c r="G788" i="1" s="1"/>
  <c r="G789" i="1" a="1"/>
  <c r="G789" i="1"/>
  <c r="G790" i="1" a="1"/>
  <c r="G790" i="1"/>
  <c r="G791" i="1" a="1"/>
  <c r="G791" i="1"/>
  <c r="G792" i="1" a="1"/>
  <c r="G792" i="1" s="1"/>
  <c r="G793" i="1" a="1"/>
  <c r="G793" i="1"/>
  <c r="G794" i="1" a="1"/>
  <c r="G794" i="1" s="1"/>
  <c r="G795" i="1" a="1"/>
  <c r="G795" i="1" s="1"/>
  <c r="G796" i="1" a="1"/>
  <c r="G796" i="1"/>
  <c r="G797" i="1" a="1"/>
  <c r="G797" i="1" s="1"/>
  <c r="G798" i="1" a="1"/>
  <c r="G798" i="1" s="1"/>
  <c r="G799" i="1" a="1"/>
  <c r="G799" i="1" s="1"/>
  <c r="G800" i="1" a="1"/>
  <c r="G800" i="1"/>
  <c r="G801" i="1" a="1"/>
  <c r="G801" i="1" s="1"/>
  <c r="G802" i="1" a="1"/>
  <c r="G802" i="1"/>
  <c r="G803" i="1" a="1"/>
  <c r="G803" i="1" s="1"/>
  <c r="G804" i="1" a="1"/>
  <c r="G804" i="1" s="1"/>
  <c r="G805" i="1" a="1"/>
  <c r="G805" i="1" s="1"/>
  <c r="G806" i="1" a="1"/>
  <c r="G806" i="1"/>
  <c r="G807" i="1" a="1"/>
  <c r="G807" i="1"/>
  <c r="G808" i="1" a="1"/>
  <c r="G808" i="1" s="1"/>
  <c r="G809" i="1" a="1"/>
  <c r="G809" i="1" s="1"/>
  <c r="G810" i="1" a="1"/>
  <c r="G810" i="1" s="1"/>
  <c r="G811" i="1" a="1"/>
  <c r="G811" i="1" s="1"/>
  <c r="G812" i="1" a="1"/>
  <c r="G812" i="1" s="1"/>
  <c r="G813" i="1" a="1"/>
  <c r="G813" i="1"/>
  <c r="G814" i="1" a="1"/>
  <c r="G814" i="1" s="1"/>
  <c r="G815" i="1" a="1"/>
  <c r="G815" i="1" s="1"/>
  <c r="G816" i="1" a="1"/>
  <c r="G816" i="1" s="1"/>
  <c r="G817" i="1" a="1"/>
  <c r="G817" i="1" s="1"/>
  <c r="G818" i="1" a="1"/>
  <c r="G818" i="1"/>
  <c r="G819" i="1" a="1"/>
  <c r="G819" i="1" s="1"/>
  <c r="G820" i="1" a="1"/>
  <c r="G820" i="1" s="1"/>
  <c r="G821" i="1" a="1"/>
  <c r="G821" i="1" s="1"/>
  <c r="G822" i="1" a="1"/>
  <c r="G822" i="1" s="1"/>
  <c r="G823" i="1" a="1"/>
  <c r="G823" i="1"/>
  <c r="G824" i="1" a="1"/>
  <c r="G824" i="1"/>
  <c r="G825" i="1" a="1"/>
  <c r="G825" i="1" s="1"/>
  <c r="G826" i="1" a="1"/>
  <c r="G826" i="1" s="1"/>
  <c r="G827" i="1" a="1"/>
  <c r="G827" i="1" s="1"/>
  <c r="G828" i="1" a="1"/>
  <c r="G828" i="1" s="1"/>
  <c r="G829" i="1" a="1"/>
  <c r="G829" i="1" s="1"/>
  <c r="G830" i="1" a="1"/>
  <c r="G830" i="1" s="1"/>
  <c r="G831" i="1" a="1"/>
  <c r="G831" i="1"/>
  <c r="G832" i="1" a="1"/>
  <c r="G832" i="1"/>
  <c r="G833" i="1" a="1"/>
  <c r="G833" i="1"/>
  <c r="G834" i="1" a="1"/>
  <c r="G834" i="1" s="1"/>
  <c r="G835" i="1" a="1"/>
  <c r="G835" i="1"/>
  <c r="G836" i="1" a="1"/>
  <c r="G836" i="1" s="1"/>
  <c r="G837" i="1" a="1"/>
  <c r="G837" i="1"/>
  <c r="G838" i="1" a="1"/>
  <c r="G838" i="1" s="1"/>
  <c r="G839" i="1" a="1"/>
  <c r="G839" i="1"/>
  <c r="G840" i="1" a="1"/>
  <c r="G840" i="1" s="1"/>
  <c r="G841" i="1" a="1"/>
  <c r="G841" i="1" s="1"/>
  <c r="G842" i="1" a="1"/>
  <c r="G842" i="1" s="1"/>
  <c r="G843" i="1" a="1"/>
  <c r="G843" i="1" s="1"/>
  <c r="G844" i="1" a="1"/>
  <c r="G844" i="1"/>
  <c r="G845" i="1" a="1"/>
  <c r="G845" i="1" s="1"/>
  <c r="G846" i="1" a="1"/>
  <c r="G846" i="1" s="1"/>
  <c r="G847" i="1" a="1"/>
  <c r="G847" i="1" s="1"/>
  <c r="G848" i="1" a="1"/>
  <c r="G848" i="1"/>
  <c r="G849" i="1" a="1"/>
  <c r="G849" i="1"/>
  <c r="G850" i="1" a="1"/>
  <c r="G850" i="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c r="G862" i="1" a="1"/>
  <c r="G862" i="1" s="1"/>
  <c r="G863" i="1" a="1"/>
  <c r="G863" i="1"/>
  <c r="G864" i="1" a="1"/>
  <c r="G864" i="1" s="1"/>
  <c r="G865" i="1" a="1"/>
  <c r="G865" i="1" s="1"/>
  <c r="G866" i="1" a="1"/>
  <c r="G866" i="1" s="1"/>
  <c r="G867" i="1" a="1"/>
  <c r="G867" i="1" s="1"/>
  <c r="G868" i="1" a="1"/>
  <c r="G868" i="1"/>
  <c r="G869" i="1" a="1"/>
  <c r="G869" i="1" s="1"/>
  <c r="G870" i="1" a="1"/>
  <c r="G870" i="1" s="1"/>
  <c r="G871" i="1" a="1"/>
  <c r="G871" i="1" s="1"/>
  <c r="G872" i="1" a="1"/>
  <c r="G872" i="1"/>
  <c r="G873" i="1" a="1"/>
  <c r="G873" i="1" s="1"/>
  <c r="H16" i="1" a="1"/>
  <c r="H16" i="1" s="1"/>
  <c r="H17" i="1" a="1"/>
  <c r="H17" i="1" s="1"/>
  <c r="H18" i="1" a="1"/>
  <c r="H18" i="1" s="1"/>
  <c r="H19" i="1" a="1"/>
  <c r="H19" i="1"/>
  <c r="H20" i="1" a="1"/>
  <c r="H20" i="1" s="1"/>
  <c r="H21" i="1" a="1"/>
  <c r="H21" i="1" s="1"/>
  <c r="H22" i="1" a="1"/>
  <c r="H22" i="1" s="1"/>
  <c r="H23" i="1" a="1"/>
  <c r="H23" i="1" s="1"/>
  <c r="H24" i="1" a="1"/>
  <c r="H24" i="1" s="1"/>
  <c r="H25" i="1" a="1"/>
  <c r="H25" i="1"/>
  <c r="H26" i="1" a="1"/>
  <c r="H26" i="1" s="1"/>
  <c r="H27" i="1" a="1"/>
  <c r="H27" i="1" s="1"/>
  <c r="H28" i="1" a="1"/>
  <c r="H28" i="1" s="1"/>
  <c r="H29" i="1" a="1"/>
  <c r="H29" i="1"/>
  <c r="H30" i="1" a="1"/>
  <c r="H30" i="1" s="1"/>
  <c r="H31" i="1" a="1"/>
  <c r="H31" i="1" s="1"/>
  <c r="H32" i="1" a="1"/>
  <c r="H32" i="1" s="1"/>
  <c r="H33" i="1" a="1"/>
  <c r="H33" i="1" s="1"/>
  <c r="H34" i="1" a="1"/>
  <c r="H34" i="1"/>
  <c r="H35" i="1" a="1"/>
  <c r="H35" i="1" s="1"/>
  <c r="H36" i="1" a="1"/>
  <c r="H36" i="1" s="1"/>
  <c r="H37" i="1" a="1"/>
  <c r="H37" i="1"/>
  <c r="H38" i="1" a="1"/>
  <c r="H38" i="1"/>
  <c r="H39" i="1" a="1"/>
  <c r="H39" i="1" s="1"/>
  <c r="H40" i="1" a="1"/>
  <c r="H40" i="1" s="1"/>
  <c r="H41" i="1" a="1"/>
  <c r="H41" i="1" s="1"/>
  <c r="H42" i="1" a="1"/>
  <c r="H42" i="1" s="1"/>
  <c r="H43" i="1" a="1"/>
  <c r="H43" i="1"/>
  <c r="H44" i="1" a="1"/>
  <c r="H44" i="1" s="1"/>
  <c r="H45" i="1" a="1"/>
  <c r="H45" i="1" s="1"/>
  <c r="H46" i="1" a="1"/>
  <c r="H46" i="1"/>
  <c r="H47" i="1" a="1"/>
  <c r="H47" i="1" s="1"/>
  <c r="H48" i="1" a="1"/>
  <c r="H48" i="1" s="1"/>
  <c r="H49" i="1" a="1"/>
  <c r="H49" i="1"/>
  <c r="H50" i="1" a="1"/>
  <c r="H50" i="1"/>
  <c r="H51" i="1" a="1"/>
  <c r="H51" i="1"/>
  <c r="H52" i="1" a="1"/>
  <c r="H52" i="1" s="1"/>
  <c r="H53" i="1" a="1"/>
  <c r="H53" i="1" s="1"/>
  <c r="H54" i="1" a="1"/>
  <c r="H54" i="1" s="1"/>
  <c r="H55" i="1" a="1"/>
  <c r="H55" i="1" s="1"/>
  <c r="H56" i="1" a="1"/>
  <c r="H56" i="1" s="1"/>
  <c r="H57" i="1" a="1"/>
  <c r="H57" i="1" s="1"/>
  <c r="H58" i="1" a="1"/>
  <c r="H58" i="1"/>
  <c r="H59" i="1" a="1"/>
  <c r="H59" i="1"/>
  <c r="H60" i="1" a="1"/>
  <c r="H60" i="1" s="1"/>
  <c r="H61" i="1" a="1"/>
  <c r="H61" i="1" s="1"/>
  <c r="H62" i="1" a="1"/>
  <c r="H62" i="1" s="1"/>
  <c r="H63" i="1" a="1"/>
  <c r="H63" i="1"/>
  <c r="H64" i="1" a="1"/>
  <c r="H64" i="1"/>
  <c r="H65" i="1" a="1"/>
  <c r="H65" i="1" s="1"/>
  <c r="H66" i="1" a="1"/>
  <c r="H66" i="1" s="1"/>
  <c r="H67" i="1" a="1"/>
  <c r="H67" i="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c r="H80" i="1" a="1"/>
  <c r="H80" i="1" s="1"/>
  <c r="H81" i="1" a="1"/>
  <c r="H81" i="1" s="1"/>
  <c r="H82" i="1" a="1"/>
  <c r="H82" i="1" s="1"/>
  <c r="H83" i="1" a="1"/>
  <c r="H83" i="1" s="1"/>
  <c r="H84" i="1" a="1"/>
  <c r="H84" i="1" s="1"/>
  <c r="H85" i="1" a="1"/>
  <c r="H85" i="1" s="1"/>
  <c r="H86" i="1" a="1"/>
  <c r="H86" i="1" s="1"/>
  <c r="H87" i="1" a="1"/>
  <c r="H87" i="1" s="1"/>
  <c r="H88" i="1" a="1"/>
  <c r="H88" i="1" s="1"/>
  <c r="H89" i="1" a="1"/>
  <c r="H89" i="1"/>
  <c r="H90" i="1" a="1"/>
  <c r="H90" i="1" s="1"/>
  <c r="H91" i="1" a="1"/>
  <c r="H91" i="1" s="1"/>
  <c r="H92" i="1" a="1"/>
  <c r="H92" i="1" s="1"/>
  <c r="H93" i="1" a="1"/>
  <c r="H93" i="1" s="1"/>
  <c r="H94" i="1" a="1"/>
  <c r="H94" i="1" s="1"/>
  <c r="H95" i="1" a="1"/>
  <c r="H95" i="1"/>
  <c r="H96" i="1" a="1"/>
  <c r="H96" i="1" s="1"/>
  <c r="H97" i="1" a="1"/>
  <c r="H97" i="1"/>
  <c r="H98" i="1" a="1"/>
  <c r="H98" i="1" s="1"/>
  <c r="H99" i="1" a="1"/>
  <c r="H99" i="1" s="1"/>
  <c r="H100" i="1" a="1"/>
  <c r="H100" i="1" s="1"/>
  <c r="H101" i="1" a="1"/>
  <c r="H101" i="1"/>
  <c r="H102" i="1" a="1"/>
  <c r="H102" i="1" s="1"/>
  <c r="H103" i="1" a="1"/>
  <c r="H103" i="1" s="1"/>
  <c r="H104" i="1" a="1"/>
  <c r="H104" i="1" s="1"/>
  <c r="H105" i="1" a="1"/>
  <c r="H105" i="1"/>
  <c r="H106" i="1" a="1"/>
  <c r="H106" i="1"/>
  <c r="H107" i="1" a="1"/>
  <c r="H107" i="1" s="1"/>
  <c r="H108" i="1" a="1"/>
  <c r="H108" i="1" s="1"/>
  <c r="H109" i="1" a="1"/>
  <c r="H109" i="1"/>
  <c r="H110" i="1" a="1"/>
  <c r="H110" i="1"/>
  <c r="H111" i="1" a="1"/>
  <c r="H111" i="1" s="1"/>
  <c r="H112" i="1" a="1"/>
  <c r="H112" i="1" s="1"/>
  <c r="H113" i="1" a="1"/>
  <c r="H113" i="1" s="1"/>
  <c r="H114" i="1" a="1"/>
  <c r="H114" i="1" s="1"/>
  <c r="H115" i="1" a="1"/>
  <c r="H115" i="1"/>
  <c r="H116" i="1" a="1"/>
  <c r="H116" i="1" s="1"/>
  <c r="H117" i="1" a="1"/>
  <c r="H117" i="1" s="1"/>
  <c r="H118" i="1" a="1"/>
  <c r="H118" i="1"/>
  <c r="H119" i="1" a="1"/>
  <c r="H119" i="1"/>
  <c r="H120" i="1" a="1"/>
  <c r="H120" i="1" s="1"/>
  <c r="H121" i="1" a="1"/>
  <c r="H121" i="1"/>
  <c r="H122" i="1" a="1"/>
  <c r="H122" i="1" s="1"/>
  <c r="H123" i="1" a="1"/>
  <c r="H123" i="1"/>
  <c r="H124" i="1" a="1"/>
  <c r="H124" i="1" s="1"/>
  <c r="H125" i="1" a="1"/>
  <c r="H125" i="1" s="1"/>
  <c r="H126" i="1" a="1"/>
  <c r="H126" i="1" s="1"/>
  <c r="H127" i="1" a="1"/>
  <c r="H127" i="1"/>
  <c r="H128" i="1" a="1"/>
  <c r="H128" i="1"/>
  <c r="H129" i="1" a="1"/>
  <c r="H129" i="1"/>
  <c r="H130" i="1" a="1"/>
  <c r="H130" i="1" s="1"/>
  <c r="H131" i="1" a="1"/>
  <c r="H131" i="1" s="1"/>
  <c r="H132" i="1" a="1"/>
  <c r="H132" i="1" s="1"/>
  <c r="H133" i="1" a="1"/>
  <c r="H133" i="1"/>
  <c r="H134" i="1" a="1"/>
  <c r="H134" i="1" s="1"/>
  <c r="H135" i="1" a="1"/>
  <c r="H135" i="1"/>
  <c r="H136" i="1" a="1"/>
  <c r="H136" i="1" s="1"/>
  <c r="H137" i="1" a="1"/>
  <c r="H137" i="1"/>
  <c r="H138" i="1" a="1"/>
  <c r="H138" i="1" s="1"/>
  <c r="H139" i="1" a="1"/>
  <c r="H139" i="1"/>
  <c r="H140" i="1" a="1"/>
  <c r="H140" i="1"/>
  <c r="H141" i="1" a="1"/>
  <c r="H141" i="1" s="1"/>
  <c r="H142" i="1" a="1"/>
  <c r="H142" i="1" s="1"/>
  <c r="H143" i="1" a="1"/>
  <c r="H143" i="1"/>
  <c r="H144" i="1" a="1"/>
  <c r="H144" i="1" s="1"/>
  <c r="H145" i="1" a="1"/>
  <c r="H145" i="1" s="1"/>
  <c r="H146" i="1" a="1"/>
  <c r="H146" i="1"/>
  <c r="H147" i="1" a="1"/>
  <c r="H147" i="1"/>
  <c r="H148" i="1" a="1"/>
  <c r="H148" i="1" s="1"/>
  <c r="H149" i="1" a="1"/>
  <c r="H149" i="1"/>
  <c r="H150" i="1" a="1"/>
  <c r="H150" i="1" s="1"/>
  <c r="H151" i="1" a="1"/>
  <c r="H151" i="1"/>
  <c r="H152" i="1" a="1"/>
  <c r="H152" i="1" s="1"/>
  <c r="H153" i="1" a="1"/>
  <c r="H153" i="1"/>
  <c r="H154" i="1" a="1"/>
  <c r="H154" i="1" s="1"/>
  <c r="H155" i="1" a="1"/>
  <c r="H155" i="1"/>
  <c r="H156" i="1" a="1"/>
  <c r="H156" i="1" s="1"/>
  <c r="H157" i="1" a="1"/>
  <c r="H157" i="1"/>
  <c r="H158" i="1" a="1"/>
  <c r="H158" i="1" s="1"/>
  <c r="H159" i="1" a="1"/>
  <c r="H159" i="1"/>
  <c r="H160" i="1" a="1"/>
  <c r="H160" i="1" s="1"/>
  <c r="H161" i="1" a="1"/>
  <c r="H161" i="1"/>
  <c r="H162" i="1" a="1"/>
  <c r="H162" i="1" s="1"/>
  <c r="H163" i="1" a="1"/>
  <c r="H163" i="1"/>
  <c r="H164" i="1" a="1"/>
  <c r="H164" i="1" s="1"/>
  <c r="H165" i="1" a="1"/>
  <c r="H165" i="1"/>
  <c r="H166" i="1" a="1"/>
  <c r="H166" i="1" s="1"/>
  <c r="H167" i="1" a="1"/>
  <c r="H167" i="1"/>
  <c r="H168" i="1" a="1"/>
  <c r="H168" i="1" s="1"/>
  <c r="H169" i="1" a="1"/>
  <c r="H169" i="1"/>
  <c r="H170" i="1" a="1"/>
  <c r="H170" i="1" s="1"/>
  <c r="H171" i="1" a="1"/>
  <c r="H171" i="1"/>
  <c r="H172" i="1" a="1"/>
  <c r="H172" i="1" s="1"/>
  <c r="H173" i="1" a="1"/>
  <c r="H173" i="1" s="1"/>
  <c r="H174" i="1" a="1"/>
  <c r="H174" i="1" s="1"/>
  <c r="H175" i="1" a="1"/>
  <c r="H175" i="1"/>
  <c r="H176" i="1" a="1"/>
  <c r="H176" i="1" s="1"/>
  <c r="H177" i="1" a="1"/>
  <c r="H177" i="1" s="1"/>
  <c r="H178" i="1" a="1"/>
  <c r="H178" i="1" s="1"/>
  <c r="H179" i="1" a="1"/>
  <c r="H179" i="1"/>
  <c r="H180" i="1" a="1"/>
  <c r="H180" i="1" s="1"/>
  <c r="H181" i="1" a="1"/>
  <c r="H181" i="1" s="1"/>
  <c r="H182" i="1" a="1"/>
  <c r="H182" i="1" s="1"/>
  <c r="H183" i="1" a="1"/>
  <c r="H183" i="1"/>
  <c r="H184" i="1" a="1"/>
  <c r="H184" i="1" s="1"/>
  <c r="H185" i="1" a="1"/>
  <c r="H185" i="1" s="1"/>
  <c r="H186" i="1" a="1"/>
  <c r="H186" i="1" s="1"/>
  <c r="H187" i="1" a="1"/>
  <c r="H187" i="1"/>
  <c r="H188" i="1" a="1"/>
  <c r="H188" i="1" s="1"/>
  <c r="H189" i="1" a="1"/>
  <c r="H189" i="1"/>
  <c r="H190" i="1" a="1"/>
  <c r="H190" i="1" s="1"/>
  <c r="H191" i="1" a="1"/>
  <c r="H191" i="1"/>
  <c r="H192" i="1" a="1"/>
  <c r="H192" i="1" s="1"/>
  <c r="H193" i="1" a="1"/>
  <c r="H193" i="1" s="1"/>
  <c r="H194" i="1" a="1"/>
  <c r="H194" i="1" s="1"/>
  <c r="H195" i="1" a="1"/>
  <c r="H195" i="1"/>
  <c r="H196" i="1" a="1"/>
  <c r="H196" i="1" s="1"/>
  <c r="H197" i="1" a="1"/>
  <c r="H197" i="1" s="1"/>
  <c r="H198" i="1" a="1"/>
  <c r="H198" i="1" s="1"/>
  <c r="H199" i="1" a="1"/>
  <c r="H199" i="1" s="1"/>
  <c r="H200" i="1" a="1"/>
  <c r="H200" i="1" s="1"/>
  <c r="H201" i="1" a="1"/>
  <c r="H201" i="1"/>
  <c r="H202" i="1" a="1"/>
  <c r="H202" i="1" s="1"/>
  <c r="H203" i="1" a="1"/>
  <c r="H203" i="1" s="1"/>
  <c r="H204" i="1" a="1"/>
  <c r="H204" i="1" s="1"/>
  <c r="H205" i="1" a="1"/>
  <c r="H205" i="1"/>
  <c r="H206" i="1" a="1"/>
  <c r="H206" i="1" s="1"/>
  <c r="H207" i="1" a="1"/>
  <c r="H207" i="1"/>
  <c r="H208" i="1" a="1"/>
  <c r="H208" i="1" s="1"/>
  <c r="H209" i="1" a="1"/>
  <c r="H209" i="1"/>
  <c r="H210" i="1" a="1"/>
  <c r="H210" i="1" s="1"/>
  <c r="H211" i="1" a="1"/>
  <c r="H211" i="1" s="1"/>
  <c r="H212" i="1" a="1"/>
  <c r="H212" i="1" s="1"/>
  <c r="H213" i="1" a="1"/>
  <c r="H213" i="1"/>
  <c r="H214" i="1" a="1"/>
  <c r="H214" i="1" s="1"/>
  <c r="H215" i="1" a="1"/>
  <c r="H215" i="1"/>
  <c r="H216" i="1" a="1"/>
  <c r="H216" i="1" s="1"/>
  <c r="H217" i="1" a="1"/>
  <c r="H217" i="1"/>
  <c r="H218" i="1" a="1"/>
  <c r="H218" i="1" s="1"/>
  <c r="H219" i="1" a="1"/>
  <c r="H219" i="1" s="1"/>
  <c r="H220" i="1" a="1"/>
  <c r="H220" i="1" s="1"/>
  <c r="H221" i="1" a="1"/>
  <c r="H221" i="1" s="1"/>
  <c r="H222" i="1" a="1"/>
  <c r="H222" i="1" s="1"/>
  <c r="H223" i="1" a="1"/>
  <c r="H223" i="1"/>
  <c r="H224" i="1" a="1"/>
  <c r="H224" i="1" s="1"/>
  <c r="H225" i="1" a="1"/>
  <c r="H225" i="1"/>
  <c r="H226" i="1" a="1"/>
  <c r="H226" i="1" s="1"/>
  <c r="H227" i="1" a="1"/>
  <c r="H227" i="1"/>
  <c r="H228" i="1" a="1"/>
  <c r="H228" i="1" s="1"/>
  <c r="H229" i="1" a="1"/>
  <c r="H229" i="1" s="1"/>
  <c r="H230" i="1" a="1"/>
  <c r="H230" i="1" s="1"/>
  <c r="H231" i="1" a="1"/>
  <c r="H231" i="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c r="H294" i="1" a="1"/>
  <c r="H294" i="1" s="1"/>
  <c r="H295" i="1" a="1"/>
  <c r="H295" i="1" s="1"/>
  <c r="H296" i="1" a="1"/>
  <c r="H296" i="1" s="1"/>
  <c r="H297" i="1" a="1"/>
  <c r="H297" i="1" s="1"/>
  <c r="H298" i="1" a="1"/>
  <c r="H298" i="1" s="1"/>
  <c r="H299" i="1" a="1"/>
  <c r="H299" i="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c r="H324" i="1" a="1"/>
  <c r="H324" i="1" s="1"/>
  <c r="H325" i="1" a="1"/>
  <c r="H325" i="1" s="1"/>
  <c r="H326" i="1" a="1"/>
  <c r="H326" i="1" s="1"/>
  <c r="H327" i="1" a="1"/>
  <c r="H327" i="1" s="1"/>
  <c r="H328" i="1" a="1"/>
  <c r="H328" i="1" s="1"/>
  <c r="H329" i="1" a="1"/>
  <c r="H329" i="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c r="H366" i="1" a="1"/>
  <c r="H366" i="1" s="1"/>
  <c r="H367" i="1" a="1"/>
  <c r="H367" i="1" s="1"/>
  <c r="H368" i="1" a="1"/>
  <c r="H368" i="1" s="1"/>
  <c r="H369" i="1" a="1"/>
  <c r="H369" i="1" s="1"/>
  <c r="H370" i="1" a="1"/>
  <c r="H370" i="1" s="1"/>
  <c r="H371" i="1" a="1"/>
  <c r="H371" i="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c r="H414" i="1" a="1"/>
  <c r="H414" i="1" s="1"/>
  <c r="H415" i="1" a="1"/>
  <c r="H415" i="1" s="1"/>
  <c r="H416" i="1" a="1"/>
  <c r="H416" i="1" s="1"/>
  <c r="H417" i="1" a="1"/>
  <c r="H417" i="1" s="1"/>
  <c r="H418" i="1" a="1"/>
  <c r="H418" i="1" s="1"/>
  <c r="H419" i="1" a="1"/>
  <c r="H419" i="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c r="H432" i="1" a="1"/>
  <c r="H432" i="1" s="1"/>
  <c r="H433" i="1" a="1"/>
  <c r="H433" i="1" s="1"/>
  <c r="H434" i="1" a="1"/>
  <c r="H434" i="1" s="1"/>
  <c r="H435" i="1" a="1"/>
  <c r="H435" i="1" s="1"/>
  <c r="H436" i="1" a="1"/>
  <c r="H436" i="1" s="1"/>
  <c r="H437" i="1" a="1"/>
  <c r="H437" i="1"/>
  <c r="H438" i="1" a="1"/>
  <c r="H438" i="1" s="1"/>
  <c r="H439" i="1" a="1"/>
  <c r="H439" i="1" s="1"/>
  <c r="H440" i="1" a="1"/>
  <c r="H440" i="1" s="1"/>
  <c r="H441" i="1" a="1"/>
  <c r="H441" i="1" s="1"/>
  <c r="H442" i="1" a="1"/>
  <c r="H442" i="1" s="1"/>
  <c r="H443" i="1" a="1"/>
  <c r="H443" i="1"/>
  <c r="H444" i="1" a="1"/>
  <c r="H444" i="1" s="1"/>
  <c r="H445" i="1" a="1"/>
  <c r="H445" i="1" s="1"/>
  <c r="H446" i="1" a="1"/>
  <c r="H446" i="1" s="1"/>
  <c r="H447" i="1" a="1"/>
  <c r="H447" i="1" s="1"/>
  <c r="H448" i="1" a="1"/>
  <c r="H448" i="1" s="1"/>
  <c r="H449" i="1" a="1"/>
  <c r="H449" i="1"/>
  <c r="H450" i="1" a="1"/>
  <c r="H450" i="1" s="1"/>
  <c r="H451" i="1" a="1"/>
  <c r="H451" i="1" s="1"/>
  <c r="H452" i="1" a="1"/>
  <c r="H452" i="1" s="1"/>
  <c r="H453" i="1" a="1"/>
  <c r="H453" i="1" s="1"/>
  <c r="H454" i="1" a="1"/>
  <c r="H454" i="1" s="1"/>
  <c r="H455" i="1" a="1"/>
  <c r="H455" i="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c r="H468" i="1" a="1"/>
  <c r="H468" i="1" s="1"/>
  <c r="H469" i="1" a="1"/>
  <c r="H469" i="1" s="1"/>
  <c r="H470" i="1" a="1"/>
  <c r="H470" i="1" s="1"/>
  <c r="H471" i="1" a="1"/>
  <c r="H471" i="1" s="1"/>
  <c r="H472" i="1" a="1"/>
  <c r="H472" i="1" s="1"/>
  <c r="H473" i="1" a="1"/>
  <c r="H473" i="1"/>
  <c r="H474" i="1" a="1"/>
  <c r="H474" i="1" s="1"/>
  <c r="H475" i="1" a="1"/>
  <c r="H475" i="1" s="1"/>
  <c r="H476" i="1" a="1"/>
  <c r="H476" i="1" s="1"/>
  <c r="H477" i="1" a="1"/>
  <c r="H477" i="1" s="1"/>
  <c r="H478" i="1" a="1"/>
  <c r="H478" i="1" s="1"/>
  <c r="H479" i="1" a="1"/>
  <c r="H479" i="1"/>
  <c r="H480" i="1" a="1"/>
  <c r="H480" i="1" s="1"/>
  <c r="H481" i="1" a="1"/>
  <c r="H481" i="1" s="1"/>
  <c r="H482" i="1" a="1"/>
  <c r="H482" i="1" s="1"/>
  <c r="H483" i="1" a="1"/>
  <c r="H483" i="1" s="1"/>
  <c r="H484" i="1" a="1"/>
  <c r="H484" i="1" s="1"/>
  <c r="H485" i="1" a="1"/>
  <c r="H485" i="1"/>
  <c r="H486" i="1" a="1"/>
  <c r="H486" i="1" s="1"/>
  <c r="H487" i="1" a="1"/>
  <c r="H487" i="1" s="1"/>
  <c r="H488" i="1" a="1"/>
  <c r="H488" i="1" s="1"/>
  <c r="H489" i="1" a="1"/>
  <c r="H489" i="1" s="1"/>
  <c r="H490" i="1" a="1"/>
  <c r="H490" i="1" s="1"/>
  <c r="H491" i="1" a="1"/>
  <c r="H491" i="1"/>
  <c r="H492" i="1" a="1"/>
  <c r="H492" i="1" s="1"/>
  <c r="H493" i="1" a="1"/>
  <c r="H493" i="1" s="1"/>
  <c r="H494" i="1" a="1"/>
  <c r="H494" i="1" s="1"/>
  <c r="H495" i="1" a="1"/>
  <c r="H495" i="1" s="1"/>
  <c r="H496" i="1" a="1"/>
  <c r="H496" i="1" s="1"/>
  <c r="H497" i="1" a="1"/>
  <c r="H497" i="1" s="1"/>
  <c r="H498" i="1" a="1"/>
  <c r="H498" i="1" s="1"/>
  <c r="H499" i="1" a="1"/>
  <c r="H499" i="1" s="1"/>
  <c r="H500" i="1" a="1"/>
  <c r="H500" i="1"/>
  <c r="H501" i="1" a="1"/>
  <c r="H501" i="1" s="1"/>
  <c r="H502" i="1" a="1"/>
  <c r="H502" i="1"/>
  <c r="H503" i="1" a="1"/>
  <c r="H503" i="1"/>
  <c r="H504" i="1" a="1"/>
  <c r="H504" i="1" s="1"/>
  <c r="H505" i="1" a="1"/>
  <c r="H505" i="1" s="1"/>
  <c r="H506" i="1" a="1"/>
  <c r="H506" i="1"/>
  <c r="H507" i="1" a="1"/>
  <c r="H507" i="1" s="1"/>
  <c r="H508" i="1" a="1"/>
  <c r="H508" i="1"/>
  <c r="H509" i="1" a="1"/>
  <c r="H509" i="1" s="1"/>
  <c r="H510" i="1" a="1"/>
  <c r="H510" i="1" s="1"/>
  <c r="H511" i="1" a="1"/>
  <c r="H511" i="1" s="1"/>
  <c r="H512" i="1" a="1"/>
  <c r="H512" i="1" s="1"/>
  <c r="H513" i="1" a="1"/>
  <c r="H513" i="1" s="1"/>
  <c r="H514" i="1" a="1"/>
  <c r="H514" i="1"/>
  <c r="H515" i="1" a="1"/>
  <c r="H515" i="1"/>
  <c r="H516" i="1" a="1"/>
  <c r="H516" i="1" s="1"/>
  <c r="H517" i="1" a="1"/>
  <c r="H517" i="1" s="1"/>
  <c r="H518" i="1" a="1"/>
  <c r="H518" i="1"/>
  <c r="H519" i="1" a="1"/>
  <c r="H519" i="1" s="1"/>
  <c r="H520" i="1" a="1"/>
  <c r="H520" i="1" s="1"/>
  <c r="H521" i="1" a="1"/>
  <c r="H521" i="1"/>
  <c r="H522" i="1" a="1"/>
  <c r="H522" i="1" s="1"/>
  <c r="H523" i="1" a="1"/>
  <c r="H523" i="1" s="1"/>
  <c r="H524" i="1" a="1"/>
  <c r="H524" i="1"/>
  <c r="H525" i="1" a="1"/>
  <c r="H525" i="1" s="1"/>
  <c r="H526" i="1" a="1"/>
  <c r="H526" i="1"/>
  <c r="H527" i="1" a="1"/>
  <c r="H527" i="1" s="1"/>
  <c r="H528" i="1" a="1"/>
  <c r="H528" i="1" s="1"/>
  <c r="H529" i="1" a="1"/>
  <c r="H529" i="1" s="1"/>
  <c r="H530" i="1" a="1"/>
  <c r="H530" i="1"/>
  <c r="H531" i="1" a="1"/>
  <c r="H531" i="1" s="1"/>
  <c r="H532" i="1" a="1"/>
  <c r="H532" i="1" s="1"/>
  <c r="H533" i="1" a="1"/>
  <c r="H533" i="1" s="1"/>
  <c r="H534" i="1" a="1"/>
  <c r="H534" i="1" s="1"/>
  <c r="H535" i="1" a="1"/>
  <c r="H535" i="1" s="1"/>
  <c r="H536" i="1" a="1"/>
  <c r="H536" i="1" s="1"/>
  <c r="H537" i="1" a="1"/>
  <c r="H537" i="1" s="1"/>
  <c r="H538" i="1" a="1"/>
  <c r="H538" i="1"/>
  <c r="H539" i="1" a="1"/>
  <c r="H539" i="1"/>
  <c r="H540" i="1" a="1"/>
  <c r="H540" i="1" s="1"/>
  <c r="H541" i="1" a="1"/>
  <c r="H541" i="1" s="1"/>
  <c r="H542" i="1" a="1"/>
  <c r="H542" i="1"/>
  <c r="H543" i="1" a="1"/>
  <c r="H543" i="1" s="1"/>
  <c r="H544" i="1" a="1"/>
  <c r="H544" i="1" s="1"/>
  <c r="H545" i="1" a="1"/>
  <c r="H545" i="1" s="1"/>
  <c r="H546" i="1" a="1"/>
  <c r="H546" i="1" s="1"/>
  <c r="H547" i="1" a="1"/>
  <c r="H547" i="1" s="1"/>
  <c r="H548" i="1" a="1"/>
  <c r="H548" i="1"/>
  <c r="H549" i="1" a="1"/>
  <c r="H549" i="1" s="1"/>
  <c r="H550" i="1" a="1"/>
  <c r="H550" i="1" s="1"/>
  <c r="H551" i="1" a="1"/>
  <c r="H551" i="1"/>
  <c r="H552" i="1" a="1"/>
  <c r="H552" i="1" s="1"/>
  <c r="H553" i="1" a="1"/>
  <c r="H553" i="1" s="1"/>
  <c r="H554" i="1" a="1"/>
  <c r="H554" i="1" s="1"/>
  <c r="H555" i="1" a="1"/>
  <c r="H555" i="1" s="1"/>
  <c r="H556" i="1" a="1"/>
  <c r="H556" i="1"/>
  <c r="H557" i="1" a="1"/>
  <c r="H557" i="1" s="1"/>
  <c r="H558" i="1" a="1"/>
  <c r="H558" i="1" s="1"/>
  <c r="H559" i="1" a="1"/>
  <c r="H559" i="1" s="1"/>
  <c r="H560" i="1" a="1"/>
  <c r="H560" i="1" s="1"/>
  <c r="H561" i="1" a="1"/>
  <c r="H561" i="1" s="1"/>
  <c r="H562" i="1" a="1"/>
  <c r="H562" i="1"/>
  <c r="H563" i="1" a="1"/>
  <c r="H563" i="1" s="1"/>
  <c r="H564" i="1" a="1"/>
  <c r="H564" i="1" s="1"/>
  <c r="H565" i="1" a="1"/>
  <c r="H565" i="1" s="1"/>
  <c r="H566" i="1" a="1"/>
  <c r="H566" i="1" s="1"/>
  <c r="H567" i="1" a="1"/>
  <c r="H567" i="1" s="1"/>
  <c r="H568" i="1" a="1"/>
  <c r="H568" i="1" s="1"/>
  <c r="H569" i="1" a="1"/>
  <c r="H569" i="1" s="1"/>
  <c r="H570" i="1" a="1"/>
  <c r="H570" i="1" s="1"/>
  <c r="H571" i="1" a="1"/>
  <c r="H571" i="1" s="1"/>
  <c r="H572" i="1" a="1"/>
  <c r="H572" i="1"/>
  <c r="H573" i="1" a="1"/>
  <c r="H573" i="1" s="1"/>
  <c r="H574" i="1" a="1"/>
  <c r="H574" i="1" s="1"/>
  <c r="H575" i="1" a="1"/>
  <c r="H575" i="1"/>
  <c r="H576" i="1" a="1"/>
  <c r="H576" i="1" s="1"/>
  <c r="H577" i="1" a="1"/>
  <c r="H577" i="1" s="1"/>
  <c r="H578" i="1" a="1"/>
  <c r="H578" i="1" s="1"/>
  <c r="H579" i="1" a="1"/>
  <c r="H579" i="1" s="1"/>
  <c r="H580" i="1" a="1"/>
  <c r="H580" i="1"/>
  <c r="H581" i="1" a="1"/>
  <c r="H581" i="1" s="1"/>
  <c r="H582" i="1" a="1"/>
  <c r="H582" i="1" s="1"/>
  <c r="H583" i="1" a="1"/>
  <c r="H583" i="1" s="1"/>
  <c r="H584" i="1" a="1"/>
  <c r="H584" i="1"/>
  <c r="H585" i="1" a="1"/>
  <c r="H585" i="1" s="1"/>
  <c r="H586" i="1" a="1"/>
  <c r="H586" i="1" s="1"/>
  <c r="H587" i="1" a="1"/>
  <c r="H587" i="1"/>
  <c r="H588" i="1" a="1"/>
  <c r="H588" i="1" s="1"/>
  <c r="H589" i="1" a="1"/>
  <c r="H589" i="1"/>
  <c r="H590" i="1" a="1"/>
  <c r="H590" i="1" s="1"/>
  <c r="H591" i="1" a="1"/>
  <c r="H591" i="1" s="1"/>
  <c r="H592" i="1" a="1"/>
  <c r="H592" i="1"/>
  <c r="H593" i="1" a="1"/>
  <c r="H593" i="1" s="1"/>
  <c r="H594" i="1" a="1"/>
  <c r="H594" i="1" s="1"/>
  <c r="H595" i="1" a="1"/>
  <c r="H595" i="1" s="1"/>
  <c r="H596" i="1" a="1"/>
  <c r="H596" i="1"/>
  <c r="H597" i="1" a="1"/>
  <c r="H597" i="1" s="1"/>
  <c r="H598" i="1" a="1"/>
  <c r="H598" i="1"/>
  <c r="H599" i="1" a="1"/>
  <c r="H599" i="1"/>
  <c r="H600" i="1" a="1"/>
  <c r="H600" i="1" s="1"/>
  <c r="H601" i="1" a="1"/>
  <c r="H601" i="1"/>
  <c r="H602" i="1" a="1"/>
  <c r="H602" i="1" s="1"/>
  <c r="H603" i="1" a="1"/>
  <c r="H603" i="1" s="1"/>
  <c r="H604" i="1" a="1"/>
  <c r="H604" i="1"/>
  <c r="H605" i="1" a="1"/>
  <c r="H605" i="1"/>
  <c r="H606" i="1" a="1"/>
  <c r="H606" i="1" s="1"/>
  <c r="H607" i="1" a="1"/>
  <c r="H607" i="1" s="1"/>
  <c r="H608" i="1" a="1"/>
  <c r="H608" i="1"/>
  <c r="H609" i="1" a="1"/>
  <c r="H609" i="1" s="1"/>
  <c r="H610" i="1" a="1"/>
  <c r="H610" i="1" s="1"/>
  <c r="H611" i="1" a="1"/>
  <c r="H611" i="1" s="1"/>
  <c r="H612" i="1" a="1"/>
  <c r="H612" i="1" s="1"/>
  <c r="H613" i="1" a="1"/>
  <c r="H613" i="1"/>
  <c r="H614" i="1" a="1"/>
  <c r="H614" i="1" s="1"/>
  <c r="H615" i="1" a="1"/>
  <c r="H615" i="1" s="1"/>
  <c r="H616" i="1" a="1"/>
  <c r="H616" i="1"/>
  <c r="H617" i="1" a="1"/>
  <c r="H617" i="1" s="1"/>
  <c r="H618" i="1" a="1"/>
  <c r="H618" i="1" s="1"/>
  <c r="H619" i="1" a="1"/>
  <c r="H619" i="1" s="1"/>
  <c r="H620" i="1" a="1"/>
  <c r="H620" i="1" s="1"/>
  <c r="H621" i="1" a="1"/>
  <c r="H621" i="1" s="1"/>
  <c r="H622" i="1" a="1"/>
  <c r="H622" i="1"/>
  <c r="H623" i="1" a="1"/>
  <c r="H623" i="1"/>
  <c r="H624" i="1" a="1"/>
  <c r="H624" i="1" s="1"/>
  <c r="H625" i="1" a="1"/>
  <c r="H625" i="1"/>
  <c r="H626" i="1" a="1"/>
  <c r="H626" i="1" s="1"/>
  <c r="H627" i="1" a="1"/>
  <c r="H627" i="1" s="1"/>
  <c r="H628" i="1" a="1"/>
  <c r="H628" i="1" s="1"/>
  <c r="H629" i="1" a="1"/>
  <c r="H629" i="1" s="1"/>
  <c r="H630" i="1" a="1"/>
  <c r="H630" i="1" s="1"/>
  <c r="H631" i="1" a="1"/>
  <c r="H631" i="1" s="1"/>
  <c r="H632" i="1" a="1"/>
  <c r="H632" i="1"/>
  <c r="H633" i="1" a="1"/>
  <c r="H633" i="1" s="1"/>
  <c r="H634" i="1" a="1"/>
  <c r="H634" i="1"/>
  <c r="H635" i="1" a="1"/>
  <c r="H635" i="1"/>
  <c r="H636" i="1" a="1"/>
  <c r="H636" i="1" s="1"/>
  <c r="H637" i="1" a="1"/>
  <c r="H637" i="1"/>
  <c r="H638" i="1" a="1"/>
  <c r="H638" i="1" s="1"/>
  <c r="H639" i="1" a="1"/>
  <c r="H639" i="1" s="1"/>
  <c r="H640" i="1" a="1"/>
  <c r="H640" i="1"/>
  <c r="H641" i="1" a="1"/>
  <c r="H641" i="1"/>
  <c r="H642" i="1" a="1"/>
  <c r="H642" i="1" s="1"/>
  <c r="H643" i="1" a="1"/>
  <c r="H643" i="1" s="1"/>
  <c r="H644" i="1" a="1"/>
  <c r="H644" i="1"/>
  <c r="H645" i="1" a="1"/>
  <c r="H645" i="1" s="1"/>
  <c r="H646" i="1" a="1"/>
  <c r="H646" i="1" s="1"/>
  <c r="H647" i="1" a="1"/>
  <c r="H647" i="1"/>
  <c r="H648" i="1" a="1"/>
  <c r="H648" i="1" s="1"/>
  <c r="H649" i="1" a="1"/>
  <c r="H649" i="1" s="1"/>
  <c r="H650" i="1" a="1"/>
  <c r="H650" i="1" s="1"/>
  <c r="H651" i="1" a="1"/>
  <c r="H651" i="1" s="1"/>
  <c r="H652" i="1" a="1"/>
  <c r="H652" i="1"/>
  <c r="H653" i="1" a="1"/>
  <c r="H653" i="1" s="1"/>
  <c r="H654" i="1" a="1"/>
  <c r="H654" i="1" s="1"/>
  <c r="H655" i="1" a="1"/>
  <c r="H655" i="1" s="1"/>
  <c r="H656" i="1" a="1"/>
  <c r="H656" i="1"/>
  <c r="H657" i="1" a="1"/>
  <c r="H657" i="1" s="1"/>
  <c r="H658" i="1" a="1"/>
  <c r="H658" i="1" s="1"/>
  <c r="H659" i="1" a="1"/>
  <c r="H659" i="1"/>
  <c r="H660" i="1" a="1"/>
  <c r="H660" i="1" s="1"/>
  <c r="H661" i="1" a="1"/>
  <c r="H661" i="1"/>
  <c r="H662" i="1" a="1"/>
  <c r="H662" i="1" s="1"/>
  <c r="H663" i="1" a="1"/>
  <c r="H663" i="1" s="1"/>
  <c r="H664" i="1" a="1"/>
  <c r="H664" i="1"/>
  <c r="H665" i="1" a="1"/>
  <c r="H665" i="1" s="1"/>
  <c r="H666" i="1" a="1"/>
  <c r="H666" i="1" s="1"/>
  <c r="H667" i="1" a="1"/>
  <c r="H667" i="1" s="1"/>
  <c r="H668" i="1" a="1"/>
  <c r="H668" i="1"/>
  <c r="H669" i="1" a="1"/>
  <c r="H669" i="1" s="1"/>
  <c r="H670" i="1" a="1"/>
  <c r="H670" i="1"/>
  <c r="H671" i="1" a="1"/>
  <c r="H671" i="1"/>
  <c r="H672" i="1" a="1"/>
  <c r="H672" i="1" s="1"/>
  <c r="H673" i="1" a="1"/>
  <c r="H673" i="1"/>
  <c r="H674" i="1" a="1"/>
  <c r="H674" i="1" s="1"/>
  <c r="H675" i="1" a="1"/>
  <c r="H675" i="1" s="1"/>
  <c r="H676" i="1" a="1"/>
  <c r="H676" i="1"/>
  <c r="H677" i="1" a="1"/>
  <c r="H677" i="1"/>
  <c r="H678" i="1" a="1"/>
  <c r="H678" i="1" s="1"/>
  <c r="H679" i="1" a="1"/>
  <c r="H679" i="1" s="1"/>
  <c r="H680" i="1" a="1"/>
  <c r="H680" i="1"/>
  <c r="H681" i="1" a="1"/>
  <c r="H681" i="1" s="1"/>
  <c r="H682" i="1" a="1"/>
  <c r="H682" i="1" s="1"/>
  <c r="H683" i="1" a="1"/>
  <c r="H683" i="1" s="1"/>
  <c r="H684" i="1" a="1"/>
  <c r="H684" i="1" s="1"/>
  <c r="H685" i="1" a="1"/>
  <c r="H685" i="1"/>
  <c r="H686" i="1" a="1"/>
  <c r="H686" i="1" s="1"/>
  <c r="H687" i="1" a="1"/>
  <c r="H687" i="1" s="1"/>
  <c r="H688" i="1" a="1"/>
  <c r="H688" i="1"/>
  <c r="H689" i="1" a="1"/>
  <c r="H689" i="1" s="1"/>
  <c r="H690" i="1" a="1"/>
  <c r="H690" i="1" s="1"/>
  <c r="H691" i="1" a="1"/>
  <c r="H691" i="1" s="1"/>
  <c r="H692" i="1" a="1"/>
  <c r="H692" i="1" s="1"/>
  <c r="H693" i="1" a="1"/>
  <c r="H693" i="1" s="1"/>
  <c r="H694" i="1" a="1"/>
  <c r="H694" i="1"/>
  <c r="H695" i="1" a="1"/>
  <c r="H695" i="1"/>
  <c r="H696" i="1" a="1"/>
  <c r="H696" i="1" s="1"/>
  <c r="H697" i="1" a="1"/>
  <c r="H697" i="1"/>
  <c r="H698" i="1" a="1"/>
  <c r="H698" i="1" s="1"/>
  <c r="H699" i="1" a="1"/>
  <c r="H699" i="1" s="1"/>
  <c r="H700" i="1" a="1"/>
  <c r="H700" i="1" s="1"/>
  <c r="H701" i="1" a="1"/>
  <c r="H701" i="1"/>
  <c r="H702" i="1" a="1"/>
  <c r="H702" i="1" s="1"/>
  <c r="H703" i="1" a="1"/>
  <c r="H703" i="1" s="1"/>
  <c r="H704" i="1" a="1"/>
  <c r="H704" i="1" s="1"/>
  <c r="H705" i="1" a="1"/>
  <c r="H705" i="1" s="1"/>
  <c r="H706" i="1" a="1"/>
  <c r="H706" i="1"/>
  <c r="H707" i="1" a="1"/>
  <c r="H707" i="1"/>
  <c r="H708" i="1" a="1"/>
  <c r="H708" i="1" s="1"/>
  <c r="H709" i="1" a="1"/>
  <c r="H709" i="1"/>
  <c r="H710" i="1" a="1"/>
  <c r="H710" i="1" s="1"/>
  <c r="H711" i="1" a="1"/>
  <c r="H711" i="1" s="1"/>
  <c r="H712" i="1" a="1"/>
  <c r="H712" i="1" s="1"/>
  <c r="H713" i="1" a="1"/>
  <c r="H713" i="1"/>
  <c r="H714" i="1" a="1"/>
  <c r="H714" i="1" s="1"/>
  <c r="H715" i="1" a="1"/>
  <c r="H715" i="1" s="1"/>
  <c r="H716" i="1" a="1"/>
  <c r="H716" i="1" s="1"/>
  <c r="H717" i="1" a="1"/>
  <c r="H717" i="1" s="1"/>
  <c r="H718" i="1" a="1"/>
  <c r="H718" i="1" s="1"/>
  <c r="H719" i="1" a="1"/>
  <c r="H719" i="1"/>
  <c r="H720" i="1" a="1"/>
  <c r="H720" i="1" s="1"/>
  <c r="H721" i="1" a="1"/>
  <c r="H721" i="1"/>
  <c r="H722" i="1" a="1"/>
  <c r="H722" i="1" s="1"/>
  <c r="H723" i="1" a="1"/>
  <c r="H723" i="1" s="1"/>
  <c r="H724" i="1" a="1"/>
  <c r="H724" i="1"/>
  <c r="H725" i="1" a="1"/>
  <c r="H725" i="1" s="1"/>
  <c r="H726" i="1" a="1"/>
  <c r="H726" i="1" s="1"/>
  <c r="H727" i="1" a="1"/>
  <c r="H727" i="1" s="1"/>
  <c r="H728" i="1" a="1"/>
  <c r="H728" i="1"/>
  <c r="H729" i="1" a="1"/>
  <c r="H729" i="1" s="1"/>
  <c r="H730" i="1" a="1"/>
  <c r="H730" i="1"/>
  <c r="H731" i="1" a="1"/>
  <c r="H731" i="1"/>
  <c r="H732" i="1" a="1"/>
  <c r="H732" i="1" s="1"/>
  <c r="H733" i="1" a="1"/>
  <c r="H733" i="1" s="1"/>
  <c r="H734" i="1" a="1"/>
  <c r="H734" i="1" s="1"/>
  <c r="H735" i="1" a="1"/>
  <c r="H735" i="1" s="1"/>
  <c r="H736" i="1" a="1"/>
  <c r="H736" i="1"/>
  <c r="H737" i="1" a="1"/>
  <c r="H737" i="1" s="1"/>
  <c r="H738" i="1" a="1"/>
  <c r="H738" i="1" s="1"/>
  <c r="H739" i="1" a="1"/>
  <c r="H739" i="1"/>
  <c r="H740" i="1" a="1"/>
  <c r="H740" i="1"/>
  <c r="H741" i="1" a="1"/>
  <c r="H741" i="1" s="1"/>
  <c r="H742" i="1" a="1"/>
  <c r="H742" i="1"/>
  <c r="H743" i="1" a="1"/>
  <c r="H743" i="1"/>
  <c r="H744" i="1" a="1"/>
  <c r="H744" i="1" s="1"/>
  <c r="H745" i="1" a="1"/>
  <c r="H745" i="1"/>
  <c r="H746" i="1" a="1"/>
  <c r="H746" i="1"/>
  <c r="H747" i="1" a="1"/>
  <c r="H747" i="1" s="1"/>
  <c r="H748" i="1" a="1"/>
  <c r="H748" i="1" s="1"/>
  <c r="H749" i="1" a="1"/>
  <c r="H749" i="1"/>
  <c r="H750" i="1" a="1"/>
  <c r="H750" i="1" s="1"/>
  <c r="H751" i="1" a="1"/>
  <c r="H751" i="1" s="1"/>
  <c r="H752" i="1" a="1"/>
  <c r="H752" i="1" s="1"/>
  <c r="H753" i="1" a="1"/>
  <c r="H753" i="1" s="1"/>
  <c r="H754" i="1" a="1"/>
  <c r="H754" i="1" s="1"/>
  <c r="H755" i="1" a="1"/>
  <c r="H755" i="1"/>
  <c r="H756" i="1" a="1"/>
  <c r="H756" i="1" s="1"/>
  <c r="H757" i="1" a="1"/>
  <c r="H757" i="1"/>
  <c r="H758" i="1" a="1"/>
  <c r="H758" i="1" s="1"/>
  <c r="H759" i="1" a="1"/>
  <c r="H759" i="1" s="1"/>
  <c r="H760" i="1" a="1"/>
  <c r="H760" i="1"/>
  <c r="H761" i="1" a="1"/>
  <c r="H761" i="1" s="1"/>
  <c r="H762" i="1" a="1"/>
  <c r="H762" i="1" s="1"/>
  <c r="H763" i="1" a="1"/>
  <c r="H763" i="1" s="1"/>
  <c r="H764" i="1" a="1"/>
  <c r="H764" i="1"/>
  <c r="H765" i="1" a="1"/>
  <c r="H765" i="1" s="1"/>
  <c r="H766" i="1" a="1"/>
  <c r="H766" i="1"/>
  <c r="H767" i="1" a="1"/>
  <c r="H767" i="1"/>
  <c r="H768" i="1" a="1"/>
  <c r="H768" i="1" s="1"/>
  <c r="H769" i="1" a="1"/>
  <c r="H769" i="1" s="1"/>
  <c r="H770" i="1" a="1"/>
  <c r="H770" i="1" s="1"/>
  <c r="H771" i="1" a="1"/>
  <c r="H771" i="1" s="1"/>
  <c r="H772" i="1" a="1"/>
  <c r="H772" i="1"/>
  <c r="H773" i="1" a="1"/>
  <c r="H773" i="1" s="1"/>
  <c r="H774" i="1" a="1"/>
  <c r="H774" i="1" s="1"/>
  <c r="H775" i="1" a="1"/>
  <c r="H775" i="1"/>
  <c r="H776" i="1" a="1"/>
  <c r="H776" i="1"/>
  <c r="H777" i="1" a="1"/>
  <c r="H777" i="1" s="1"/>
  <c r="H778" i="1" a="1"/>
  <c r="H778" i="1"/>
  <c r="H779" i="1" a="1"/>
  <c r="H779" i="1"/>
  <c r="H780" i="1" a="1"/>
  <c r="H780" i="1" s="1"/>
  <c r="H781" i="1" a="1"/>
  <c r="H781" i="1"/>
  <c r="H782" i="1" a="1"/>
  <c r="H782" i="1"/>
  <c r="H783" i="1" a="1"/>
  <c r="H783" i="1" s="1"/>
  <c r="H784" i="1" a="1"/>
  <c r="H784" i="1" s="1"/>
  <c r="H785" i="1" a="1"/>
  <c r="H785" i="1"/>
  <c r="H786" i="1" a="1"/>
  <c r="H786" i="1" s="1"/>
  <c r="H787" i="1" a="1"/>
  <c r="H787" i="1" s="1"/>
  <c r="H788" i="1" a="1"/>
  <c r="H788" i="1" s="1"/>
  <c r="H789" i="1" a="1"/>
  <c r="H789" i="1" s="1"/>
  <c r="H790" i="1" a="1"/>
  <c r="H790" i="1" s="1"/>
  <c r="H791" i="1" a="1"/>
  <c r="H791" i="1"/>
  <c r="H792" i="1" a="1"/>
  <c r="H792" i="1" s="1"/>
  <c r="H793" i="1" a="1"/>
  <c r="H793" i="1"/>
  <c r="H794" i="1" a="1"/>
  <c r="H794" i="1" s="1"/>
  <c r="H795" i="1" a="1"/>
  <c r="H795" i="1" s="1"/>
  <c r="H796" i="1" a="1"/>
  <c r="H796" i="1"/>
  <c r="H797" i="1" a="1"/>
  <c r="H797" i="1" s="1"/>
  <c r="H798" i="1" a="1"/>
  <c r="H798" i="1" s="1"/>
  <c r="H799" i="1" a="1"/>
  <c r="H799" i="1" s="1"/>
  <c r="H800" i="1" a="1"/>
  <c r="H800" i="1"/>
  <c r="H801" i="1" a="1"/>
  <c r="H801" i="1" s="1"/>
  <c r="H802" i="1" a="1"/>
  <c r="H802" i="1"/>
  <c r="H803" i="1" a="1"/>
  <c r="H803" i="1"/>
  <c r="H804" i="1" a="1"/>
  <c r="H804" i="1" s="1"/>
  <c r="H805" i="1" a="1"/>
  <c r="H805" i="1" s="1"/>
  <c r="H806" i="1" a="1"/>
  <c r="H806" i="1" s="1"/>
  <c r="H807" i="1" a="1"/>
  <c r="H807" i="1" s="1"/>
  <c r="H808" i="1" a="1"/>
  <c r="H808" i="1"/>
  <c r="H809" i="1" a="1"/>
  <c r="H809" i="1" s="1"/>
  <c r="H810" i="1" a="1"/>
  <c r="H810" i="1" s="1"/>
  <c r="H811" i="1" a="1"/>
  <c r="H811" i="1"/>
  <c r="H812" i="1" a="1"/>
  <c r="H812" i="1"/>
  <c r="H813" i="1" a="1"/>
  <c r="H813" i="1" s="1"/>
  <c r="H814" i="1" a="1"/>
  <c r="H814" i="1"/>
  <c r="H815" i="1" a="1"/>
  <c r="H815" i="1"/>
  <c r="H816" i="1" a="1"/>
  <c r="H816" i="1" s="1"/>
  <c r="H817" i="1" a="1"/>
  <c r="H817" i="1"/>
  <c r="H818" i="1" a="1"/>
  <c r="H818" i="1"/>
  <c r="H819" i="1" a="1"/>
  <c r="H819" i="1" s="1"/>
  <c r="H820" i="1" a="1"/>
  <c r="H820" i="1" s="1"/>
  <c r="H821" i="1" a="1"/>
  <c r="H821" i="1"/>
  <c r="H822" i="1" a="1"/>
  <c r="H822" i="1" s="1"/>
  <c r="H823" i="1" a="1"/>
  <c r="H823" i="1" s="1"/>
  <c r="H824" i="1" a="1"/>
  <c r="H824" i="1" s="1"/>
  <c r="H825" i="1" a="1"/>
  <c r="H825" i="1" s="1"/>
  <c r="H826" i="1" a="1"/>
  <c r="H826" i="1" s="1"/>
  <c r="H827" i="1" a="1"/>
  <c r="H827" i="1"/>
  <c r="H828" i="1" a="1"/>
  <c r="H828" i="1" s="1"/>
  <c r="H829" i="1" a="1"/>
  <c r="H829" i="1"/>
  <c r="H830" i="1" a="1"/>
  <c r="H830" i="1" s="1"/>
  <c r="H831" i="1" a="1"/>
  <c r="H831" i="1" s="1"/>
  <c r="H832" i="1" a="1"/>
  <c r="H832" i="1"/>
  <c r="H833" i="1" a="1"/>
  <c r="H833" i="1" s="1"/>
  <c r="H834" i="1" a="1"/>
  <c r="H834" i="1" s="1"/>
  <c r="H835" i="1" a="1"/>
  <c r="H835" i="1" s="1"/>
  <c r="H836" i="1" a="1"/>
  <c r="H836" i="1"/>
  <c r="H837" i="1" a="1"/>
  <c r="H837" i="1" s="1"/>
  <c r="H838" i="1" a="1"/>
  <c r="H838" i="1"/>
  <c r="H839" i="1" a="1"/>
  <c r="H839" i="1"/>
  <c r="H840" i="1" a="1"/>
  <c r="H840" i="1" s="1"/>
  <c r="H841" i="1" a="1"/>
  <c r="H841" i="1" s="1"/>
  <c r="H842" i="1" a="1"/>
  <c r="H842" i="1" s="1"/>
  <c r="H843" i="1" a="1"/>
  <c r="H843" i="1" s="1"/>
  <c r="H844" i="1" a="1"/>
  <c r="H844" i="1"/>
  <c r="H845" i="1" a="1"/>
  <c r="H845" i="1" s="1"/>
  <c r="H846" i="1" a="1"/>
  <c r="H846" i="1" s="1"/>
  <c r="H847" i="1" a="1"/>
  <c r="H847" i="1"/>
  <c r="H848" i="1" a="1"/>
  <c r="H848" i="1"/>
  <c r="H849" i="1" a="1"/>
  <c r="H849" i="1" s="1"/>
  <c r="H850" i="1" a="1"/>
  <c r="H850" i="1"/>
  <c r="H851" i="1" a="1"/>
  <c r="H851" i="1"/>
  <c r="H852" i="1" a="1"/>
  <c r="H852" i="1" s="1"/>
  <c r="H853" i="1" a="1"/>
  <c r="H853" i="1"/>
  <c r="H854" i="1" a="1"/>
  <c r="H854" i="1"/>
  <c r="H855" i="1" a="1"/>
  <c r="H855" i="1" s="1"/>
  <c r="H856" i="1" a="1"/>
  <c r="H856" i="1" s="1"/>
  <c r="H857" i="1" a="1"/>
  <c r="H857" i="1"/>
  <c r="H858" i="1" a="1"/>
  <c r="H858" i="1" s="1"/>
  <c r="H859" i="1" a="1"/>
  <c r="H859" i="1" s="1"/>
  <c r="H860" i="1" a="1"/>
  <c r="H860" i="1" s="1"/>
  <c r="H861" i="1" a="1"/>
  <c r="H861" i="1" s="1"/>
  <c r="H862" i="1" a="1"/>
  <c r="H862" i="1" s="1"/>
  <c r="H863" i="1" a="1"/>
  <c r="H863" i="1"/>
  <c r="H864" i="1" a="1"/>
  <c r="H864" i="1" s="1"/>
  <c r="H865" i="1" a="1"/>
  <c r="H865" i="1"/>
  <c r="H866" i="1" a="1"/>
  <c r="H866" i="1" s="1"/>
  <c r="H867" i="1" a="1"/>
  <c r="H867" i="1" s="1"/>
  <c r="H868" i="1" a="1"/>
  <c r="H868" i="1"/>
  <c r="H869" i="1" a="1"/>
  <c r="H869" i="1" s="1"/>
  <c r="H870" i="1" a="1"/>
  <c r="H870" i="1" s="1"/>
  <c r="H871" i="1" a="1"/>
  <c r="H871" i="1" s="1"/>
  <c r="H872" i="1" a="1"/>
  <c r="H872" i="1"/>
  <c r="H873" i="1" a="1"/>
  <c r="H873" i="1" s="1"/>
  <c r="S18" i="1"/>
  <c r="V18" i="1"/>
  <c r="U18" i="1"/>
  <c r="T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E5701F-AE75-44CB-AAF4-53D96F5A4BFC}" keepAlive="1" name="Query - fsales" description="Connection to the 'fsales' query in the workbook." type="5" refreshedVersion="8" background="1" saveData="1">
    <dbPr connection="Provider=Microsoft.Mashup.OleDb.1;Data Source=$Workbook$;Location=fsales;Extended Properties=&quot;&quot;" command="SELECT * FROM [f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<sst xmlns="http://schemas.openxmlformats.org/spreadsheetml/2006/main" count="164" uniqueCount="72">
  <si>
    <t>Date</t>
  </si>
  <si>
    <t>ProductID</t>
  </si>
  <si>
    <t>SalesRepID</t>
  </si>
  <si>
    <t>Units</t>
  </si>
  <si>
    <t>Sales</t>
  </si>
  <si>
    <t>Data Analysis Step #1: Get Data. Power Query.</t>
  </si>
  <si>
    <t>Data Analysis Step #3: Reports. PivotTable.</t>
  </si>
  <si>
    <t>Data Analysis Step #4: Create Visualizations: Excel Line Chart.</t>
  </si>
  <si>
    <t>Data Analysis Step #5: Get New Data and Refresh Power Query.</t>
  </si>
  <si>
    <t>Goals:</t>
  </si>
  <si>
    <t>Use Power Query to import data</t>
  </si>
  <si>
    <t>Year / Month Sales Trends Visualization</t>
  </si>
  <si>
    <t>Use Formulas to create Data Model</t>
  </si>
  <si>
    <t>Region Sales Totals by Year and % Change</t>
  </si>
  <si>
    <t>Use Standard PivotTable to create reports</t>
  </si>
  <si>
    <t>Average Month Sales by Product</t>
  </si>
  <si>
    <t>Use Excel Line Chart</t>
  </si>
  <si>
    <t>Year by Supplier Sales Cross Tab</t>
  </si>
  <si>
    <t>fSales</t>
  </si>
  <si>
    <t>Lookup or Dimension Table</t>
  </si>
  <si>
    <t>Product</t>
  </si>
  <si>
    <t>Supplier</t>
  </si>
  <si>
    <t>Cost</t>
  </si>
  <si>
    <t>Price</t>
  </si>
  <si>
    <t>SalesRep</t>
  </si>
  <si>
    <t>Region</t>
  </si>
  <si>
    <t>Quad</t>
  </si>
  <si>
    <t>Gel Booms</t>
  </si>
  <si>
    <t>Siox</t>
  </si>
  <si>
    <t>CA</t>
  </si>
  <si>
    <t>Carlota</t>
  </si>
  <si>
    <t>Chantel</t>
  </si>
  <si>
    <t>Aspen</t>
  </si>
  <si>
    <t>Colorado Booms</t>
  </si>
  <si>
    <t>Gigi</t>
  </si>
  <si>
    <t>WA</t>
  </si>
  <si>
    <t>Yanaki</t>
  </si>
  <si>
    <t>Mo</t>
  </si>
  <si>
    <r>
      <rPr>
        <sz val="12"/>
        <color rgb="FFFF0000"/>
        <rFont val="Calibri"/>
        <family val="2"/>
        <scheme val="minor"/>
      </rPr>
      <t>Fact Table</t>
    </r>
    <r>
      <rPr>
        <sz val="11"/>
        <color theme="1"/>
        <rFont val="Calibri"/>
        <family val="2"/>
        <scheme val="minor"/>
      </rPr>
      <t xml:space="preserve"> = table with data we need to summarize (make calculations)</t>
    </r>
  </si>
  <si>
    <r>
      <t xml:space="preserve">Lookup or </t>
    </r>
    <r>
      <rPr>
        <sz val="11"/>
        <rFont val="Calibri"/>
        <family val="2"/>
        <scheme val="minor"/>
      </rPr>
      <t>Dimension Table</t>
    </r>
  </si>
  <si>
    <t>dProduct Table</t>
  </si>
  <si>
    <t>dSalesRep Table</t>
  </si>
  <si>
    <t xml:space="preserve">Data Analysis Step #2: Create Data Model. Worksheet Formulas. </t>
  </si>
  <si>
    <t>Grand Total</t>
  </si>
  <si>
    <t>2021</t>
  </si>
  <si>
    <t>2022</t>
  </si>
  <si>
    <t>2023</t>
  </si>
  <si>
    <t>Jan</t>
  </si>
  <si>
    <t>Feb</t>
  </si>
  <si>
    <t>Mar</t>
  </si>
  <si>
    <t>Apr</t>
  </si>
  <si>
    <t>May</t>
  </si>
  <si>
    <t>Jun</t>
  </si>
  <si>
    <t>Jul</t>
  </si>
  <si>
    <t>Aug</t>
  </si>
  <si>
    <t>Sep</t>
  </si>
  <si>
    <t>Oct</t>
  </si>
  <si>
    <t>Nov</t>
  </si>
  <si>
    <t>Dec</t>
  </si>
  <si>
    <t>2024</t>
  </si>
  <si>
    <t>Sum of Sales</t>
  </si>
  <si>
    <t>2021 Total</t>
  </si>
  <si>
    <t>2022 Total</t>
  </si>
  <si>
    <t>2023 Total</t>
  </si>
  <si>
    <t>2024 Total</t>
  </si>
  <si>
    <t>Sum of Sales ($)</t>
  </si>
  <si>
    <t>Month</t>
  </si>
  <si>
    <t>Years</t>
  </si>
  <si>
    <t>CA Total</t>
  </si>
  <si>
    <t>WA Total</t>
  </si>
  <si>
    <t>Number of transaction</t>
  </si>
  <si>
    <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</si>
</sst>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2"/>
      <color rgb="FFFF0000"/>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3" fillId="2" borderId="0" xfId="0" applyFont="1" applyFill="1"/>
    <xf numFmtId="0" fontId="0" fillId="2" borderId="0" xfId="0" applyFill="1"/>
    <xf numFmtId="0" fontId="2" fillId="2" borderId="0" xfId="0" applyFont="1" applyFill="1"/>
    <xf numFmtId="0" fontId="1" fillId="0" borderId="0" xfId="0" applyFont="1"/>
    <xf numFmtId="0" fontId="4" fillId="2" borderId="0" xfId="0" applyFont="1" applyFill="1"/>
    <xf numFmtId="0" fontId="5" fillId="2" borderId="0" xfId="0" applyFont="1" applyFill="1"/>
    <xf numFmtId="0" fontId="0" fillId="3" borderId="0" xfId="0" applyFill="1"/>
    <xf numFmtId="0" fontId="4" fillId="3" borderId="0" xfId="0" applyFont="1" applyFill="1"/>
    <xf numFmtId="0" fontId="6" fillId="3" borderId="0" xfId="0" applyFont="1" applyFill="1"/>
    <xf numFmtId="0" fontId="0" fillId="0" borderId="0" xfId="0" applyNumberFormat="1"/>
    <xf numFmtId="0" fontId="0" fillId="0" borderId="0" xfId="0" pivotButton="1"/>
    <xf numFmtId="4" fontId="0" fillId="0" borderId="0" xfId="0" applyNumberFormat="1"/>
    <xf numFmtId="1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[fsales_txtToxls.xlsx]analysis-report!PivotTable1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'analysis-report'!$C$3</c:f>
              <c:strCache>
                <c:ptCount val="1"/>
                <c:pt idx="0">
                  <c:v>Total</c:v>
                </c:pt>
              </c:strCache>
            </c:strRef>
          </c:tx>
          <c:spPr>
            <a:ln w="28575" cap="rnd">
              <a:solidFill>
                <a:schemeClr val="accent1"/>
              </a:solidFill>
              <a:round/>
            </a:ln>
            <a:effectLst/>
          </c:spPr>
          <c:marker>
            <c:symbol val="none"/>
          </c:marker>
          <c:cat>
            <c:multiLvlStrRef>
              <c:f>'analysis-report'!$A$4:$B$56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2021</c:v>
                  </c:pt>
                  <c:pt idx="12">
                    <c:v>2022</c:v>
                  </c:pt>
                  <c:pt idx="24">
                    <c:v>2023</c:v>
                  </c:pt>
                  <c:pt idx="36">
                    <c:v>2024</c:v>
                  </c:pt>
                </c:lvl>
              </c:multiLvlStrCache>
            </c:multiLvlStrRef>
          </c:cat>
          <c:val>
            <c:numRef>
              <c:f>'analysis-report'!$C$4:$C$56</c:f>
              <c:numCache>
                <c:formatCode>#,##0.00</c:formatCode>
                <c:ptCount val="48"/>
                <c:pt idx="0">
                  <c:v>12245.45</c:v>
                </c:pt>
                <c:pt idx="1">
                  <c:v>29.95</c:v>
                </c:pt>
                <c:pt idx="2">
                  <c:v>11553.05</c:v>
                </c:pt>
                <c:pt idx="3">
                  <c:v>24500</c:v>
                </c:pt>
                <c:pt idx="4">
                  <c:v>16458.3</c:v>
                </c:pt>
                <c:pt idx="5">
                  <c:v>16939.699999999997</c:v>
                </c:pt>
                <c:pt idx="6">
                  <c:v>24588.850000000006</c:v>
                </c:pt>
                <c:pt idx="7">
                  <c:v>27298.25</c:v>
                </c:pt>
                <c:pt idx="8">
                  <c:v>23846.2</c:v>
                </c:pt>
                <c:pt idx="9">
                  <c:v>34787.5</c:v>
                </c:pt>
                <c:pt idx="10">
                  <c:v>92606.45</c:v>
                </c:pt>
                <c:pt idx="11">
                  <c:v>119661.50000000001</c:v>
                </c:pt>
                <c:pt idx="12">
                  <c:v>25847.200000000001</c:v>
                </c:pt>
                <c:pt idx="13">
                  <c:v>16595.8</c:v>
                </c:pt>
                <c:pt idx="14">
                  <c:v>13423.6</c:v>
                </c:pt>
                <c:pt idx="15">
                  <c:v>15105.699999999997</c:v>
                </c:pt>
                <c:pt idx="16">
                  <c:v>44968.950000000004</c:v>
                </c:pt>
                <c:pt idx="17">
                  <c:v>41624.450000000004</c:v>
                </c:pt>
                <c:pt idx="18">
                  <c:v>29849.7</c:v>
                </c:pt>
                <c:pt idx="19">
                  <c:v>36166.999999999993</c:v>
                </c:pt>
                <c:pt idx="20">
                  <c:v>35967.5</c:v>
                </c:pt>
                <c:pt idx="21">
                  <c:v>12572.55</c:v>
                </c:pt>
                <c:pt idx="22">
                  <c:v>106143.84999999998</c:v>
                </c:pt>
                <c:pt idx="23">
                  <c:v>107911</c:v>
                </c:pt>
                <c:pt idx="24">
                  <c:v>19871.099999999999</c:v>
                </c:pt>
                <c:pt idx="25">
                  <c:v>32969.699999999997</c:v>
                </c:pt>
                <c:pt idx="26">
                  <c:v>14772.95</c:v>
                </c:pt>
                <c:pt idx="27">
                  <c:v>47650.500000000007</c:v>
                </c:pt>
                <c:pt idx="28">
                  <c:v>19585</c:v>
                </c:pt>
                <c:pt idx="29">
                  <c:v>5914.3499999999995</c:v>
                </c:pt>
                <c:pt idx="30">
                  <c:v>31612.799999999999</c:v>
                </c:pt>
                <c:pt idx="31">
                  <c:v>36882.9</c:v>
                </c:pt>
                <c:pt idx="32">
                  <c:v>49449.299999999996</c:v>
                </c:pt>
                <c:pt idx="33">
                  <c:v>80379.850000000006</c:v>
                </c:pt>
                <c:pt idx="34">
                  <c:v>124052.69999999998</c:v>
                </c:pt>
                <c:pt idx="35">
                  <c:v>117306.14999999998</c:v>
                </c:pt>
                <c:pt idx="36">
                  <c:v>24940.149999999998</c:v>
                </c:pt>
                <c:pt idx="37">
                  <c:v>15607.100000000002</c:v>
                </c:pt>
                <c:pt idx="38">
                  <c:v>8091.7499999999991</c:v>
                </c:pt>
                <c:pt idx="39">
                  <c:v>46408.899999999994</c:v>
                </c:pt>
                <c:pt idx="40">
                  <c:v>37400.6</c:v>
                </c:pt>
                <c:pt idx="41">
                  <c:v>48865.2</c:v>
                </c:pt>
                <c:pt idx="42">
                  <c:v>61946.2</c:v>
                </c:pt>
                <c:pt idx="43">
                  <c:v>32765.8</c:v>
                </c:pt>
                <c:pt idx="44">
                  <c:v>33820.100000000006</c:v>
                </c:pt>
                <c:pt idx="45">
                  <c:v>64287.799999999988</c:v>
                </c:pt>
                <c:pt idx="46">
                  <c:v>141946.54999999999</c:v>
                </c:pt>
                <c:pt idx="47">
                  <c:v>89602.099999999991</c:v>
                </c:pt>
              </c:numCache>
            </c:numRef>
          </c:val>
          <c:smooth val="0"/>
          <c:extLst>
            <c:ext xmlns:c16="http://schemas.microsoft.com/office/drawing/2014/chart" uri="{C3380CC4-5D6E-409C-BE32-E72D297353CC}">
              <c16:uniqueId val="{00000000-64BD-46E1-B5A4-AE047747A69D}"/>
            </c:ext>
          </c:extLst>
        </c:ser>
        <c:dLbls>
          <c:showLegendKey val="0"/>
          <c:showVal val="0"/>
          <c:showCatName val="0"/>
          <c:showSerName val="0"/>
          <c:showPercent val="0"/>
          <c:showBubbleSize val="0"/>
        </c:dLbls>
        <c:smooth val="0"/>
        <c:axId val="209299391"/>
        <c:axId val="209299871"/>
      </c:lineChart>
      <c:catAx>
        <c:axId val="20929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9871"/>
        <c:crosses val="autoZero"/>
        <c:auto val="1"/>
        <c:lblAlgn val="ctr"/>
        <c:lblOffset val="100"/>
        <c:noMultiLvlLbl val="0"/>
      </c:catAx>
      <c:valAx>
        <c:axId val="20929987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9</xdr:col>
      <xdr:colOff>593480</xdr:colOff>
      <xdr:row>2</xdr:row>
      <xdr:rowOff>7327</xdr:rowOff>
    </xdr:from>
    <xdr:to>
      <xdr:col>18</xdr:col>
      <xdr:colOff>0</xdr:colOff>
      <xdr:row>12</xdr:row>
      <xdr:rowOff>124558</xdr:rowOff>
    </xdr:to>
    <xdr:sp macro="" textlink="">
      <xdr:nvSpPr>
        <xdr:cNvPr id="2" name="TextBox 1">
          <a:extLst>
            <a:ext uri="{FF2B5EF4-FFF2-40B4-BE49-F238E27FC236}">
              <a16:creationId xmlns:a16="http://schemas.microsoft.com/office/drawing/2014/main" id="{492DF900-7501-446A-27F7-BD99D2E1C27D}"/>
            </a:ext>
          </a:extLst>
        </xdr:cNvPr>
        <xdr:cNvSpPr txBox="1"/>
      </xdr:nvSpPr>
      <xdr:spPr>
        <a:xfrm>
          <a:off x="6066692" y="461596"/>
          <a:ext cx="4879731" cy="2388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u="sng"/>
            <a:t>What "Grain of the Table" Means in Excel (or any data model)?</a:t>
          </a:r>
        </a:p>
        <a:p>
          <a:endParaRPr lang="en-IN" b="1"/>
        </a:p>
        <a:p>
          <a:r>
            <a:rPr lang="en-IN"/>
            <a:t>The </a:t>
          </a:r>
          <a:r>
            <a:rPr lang="en-IN" b="1"/>
            <a:t>grain</a:t>
          </a:r>
          <a:r>
            <a:rPr lang="en-IN"/>
            <a:t> (also called </a:t>
          </a:r>
          <a:r>
            <a:rPr lang="en-IN" b="1">
              <a:solidFill>
                <a:srgbClr val="FF0000"/>
              </a:solidFill>
            </a:rPr>
            <a:t>granularity</a:t>
          </a:r>
          <a:r>
            <a:rPr lang="en-IN"/>
            <a:t>) of a table refers to the </a:t>
          </a:r>
          <a:r>
            <a:rPr lang="en-IN" b="1"/>
            <a:t>level of detail</a:t>
          </a:r>
          <a:r>
            <a:rPr lang="en-IN"/>
            <a:t> that each row represents.</a:t>
          </a:r>
        </a:p>
        <a:p>
          <a:r>
            <a:rPr lang="en-IN"/>
            <a:t>In other words, it answers the question:</a:t>
          </a:r>
          <a:br>
            <a:rPr lang="en-IN"/>
          </a:br>
          <a:r>
            <a:rPr lang="en-IN"/>
            <a:t>👉 “</a:t>
          </a:r>
          <a:r>
            <a:rPr lang="en-IN" b="1"/>
            <a:t>What does each row in this table represent?</a:t>
          </a:r>
          <a:r>
            <a:rPr lang="en-IN"/>
            <a:t>”</a:t>
          </a:r>
        </a:p>
        <a:p>
          <a:endParaRPr lang="en-IN" sz="1100"/>
        </a:p>
        <a:p>
          <a:r>
            <a:rPr lang="en-IN"/>
            <a:t>🔹 </a:t>
          </a:r>
          <a:r>
            <a:rPr lang="en-IN" b="1"/>
            <a:t>Sales Data Table</a:t>
          </a:r>
          <a:endParaRPr lang="en-IN"/>
        </a:p>
        <a:p>
          <a:pPr marL="171450" indent="-171450">
            <a:buFont typeface="Arial" panose="020B0604020202020204" pitchFamily="34" charset="0"/>
            <a:buChar char="•"/>
          </a:pPr>
          <a:r>
            <a:rPr lang="en-IN"/>
            <a:t>If the grain is </a:t>
          </a:r>
          <a:r>
            <a:rPr lang="en-IN" b="1"/>
            <a:t>one row per sale</a:t>
          </a:r>
          <a:r>
            <a:rPr lang="en-IN"/>
            <a:t>, each row might represent </a:t>
          </a:r>
          <a:r>
            <a:rPr lang="en-IN" b="1"/>
            <a:t>a single transaction</a:t>
          </a:r>
          <a:r>
            <a:rPr lang="en-IN"/>
            <a:t>.</a:t>
          </a:r>
        </a:p>
        <a:p>
          <a:pPr marL="171450" indent="-171450">
            <a:buFont typeface="Arial" panose="020B0604020202020204" pitchFamily="34" charset="0"/>
            <a:buChar char="•"/>
          </a:pPr>
          <a:r>
            <a:rPr lang="en-IN"/>
            <a:t>Columns could include: Date, Product, Quantity, Price, etc.</a:t>
          </a:r>
        </a:p>
        <a:p>
          <a:pPr marL="171450" indent="-171450">
            <a:buFont typeface="Arial" panose="020B0604020202020204" pitchFamily="34" charset="0"/>
            <a:buChar char="•"/>
          </a:pPr>
          <a:endParaRPr lang="en-IN"/>
        </a:p>
        <a:p>
          <a:pPr marL="0" indent="0">
            <a:buFont typeface="Arial" panose="020B0604020202020204" pitchFamily="34" charset="0"/>
            <a:buNone/>
          </a:pPr>
          <a:r>
            <a:rPr lang="en-IN">
              <a:solidFill>
                <a:srgbClr val="FF0000"/>
              </a:solidFill>
            </a:rPr>
            <a:t>When</a:t>
          </a:r>
          <a:r>
            <a:rPr lang="en-IN" baseline="0">
              <a:solidFill>
                <a:srgbClr val="FF0000"/>
              </a:solidFill>
            </a:rPr>
            <a:t> we have this problem we use </a:t>
          </a:r>
          <a:r>
            <a:rPr lang="en-IN" u="sng" baseline="0">
              <a:solidFill>
                <a:srgbClr val="FF0000"/>
              </a:solidFill>
            </a:rPr>
            <a:t>Power Pivot </a:t>
          </a:r>
          <a:r>
            <a:rPr lang="en-IN" baseline="0">
              <a:solidFill>
                <a:srgbClr val="FF0000"/>
              </a:solidFill>
            </a:rPr>
            <a:t>to solve the problem</a:t>
          </a:r>
          <a:r>
            <a:rPr lang="en-IN" baseline="0"/>
            <a:t>.</a:t>
          </a:r>
          <a:endParaRPr lang="en-IN"/>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556756</xdr:colOff>
      <xdr:row>32</xdr:row>
      <xdr:rowOff>8780</xdr:rowOff>
    </xdr:from>
    <xdr:to>
      <xdr:col>12</xdr:col>
      <xdr:colOff>409434</xdr:colOff>
      <xdr:row>47</xdr:row>
      <xdr:rowOff>8779</xdr:rowOff>
    </xdr:to>
    <xdr:graphicFrame macro="">
      <xdr:nvGraphicFramePr>
        <xdr:cNvPr id="2" name="Chart 1">
          <a:extLst>
            <a:ext uri="{FF2B5EF4-FFF2-40B4-BE49-F238E27FC236}">
              <a16:creationId xmlns:a16="http://schemas.microsoft.com/office/drawing/2014/main" id="{3ADB3468-F4A6-E6D6-3F90-AAB624A1A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519854</xdr:colOff>
      <xdr:row>2</xdr:row>
      <xdr:rowOff>172480</xdr:rowOff>
    </xdr:from>
    <xdr:to>
      <xdr:col>5</xdr:col>
      <xdr:colOff>359833</xdr:colOff>
      <xdr:row>11</xdr:row>
      <xdr:rowOff>21530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3C645CF6-AD97-283B-553A-54F46599FB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56866" y="548998"/>
              <a:ext cx="1444661" cy="1462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428625</xdr:colOff>
      <xdr:row>1</xdr:row>
      <xdr:rowOff>152400</xdr:rowOff>
    </xdr:from>
    <xdr:to>
      <xdr:col>3</xdr:col>
      <xdr:colOff>222053</xdr:colOff>
      <xdr:row>4</xdr:row>
      <xdr:rowOff>144780</xdr:rowOff>
    </xdr:to>
    <xdr:pic>
      <xdr:nvPicPr>
        <xdr:cNvPr id="2" name="Picture 1">
          <a:extLst>
            <a:ext uri="{FF2B5EF4-FFF2-40B4-BE49-F238E27FC236}">
              <a16:creationId xmlns:a16="http://schemas.microsoft.com/office/drawing/2014/main" id="{6BE1BD5F-3389-4E45-84D8-4A4A342E90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335280"/>
          <a:ext cx="2310289" cy="5867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09.109851620371" createdVersion="8" refreshedVersion="8" minRefreshableVersion="3" recordCount="858" xr:uid="{F1E05F01-3719-4E2F-880B-18020696F899}">
  <cacheSource type="worksheet">
    <worksheetSource name="fsales"/>
  </cacheSource>
  <cacheFields count="11">
    <cacheField name="Date" numFmtId="14">
      <sharedItems containsSemiMixedTypes="0" containsNonDate="0" containsDate="1" containsString="0" minDate="2021-01-17T00:00:00" maxDate="2025-01-01T00:00:00" count="590">
        <d v="2022-08-22T00:00:00"/>
        <d v="2023-05-03T00:00:00"/>
        <d v="2023-11-08T00:00:00"/>
        <d v="2021-11-29T00:00:00"/>
        <d v="2021-08-27T00:00:00"/>
        <d v="2022-12-01T00:00:00"/>
        <d v="2022-08-16T00:00:00"/>
        <d v="2023-08-23T00:00:00"/>
        <d v="2022-01-06T00:00:00"/>
        <d v="2023-06-06T00:00:00"/>
        <d v="2021-03-19T00:00:00"/>
        <d v="2023-02-13T00:00:00"/>
        <d v="2021-11-11T00:00:00"/>
        <d v="2021-12-06T00:00:00"/>
        <d v="2021-10-14T00:00:00"/>
        <d v="2022-11-21T00:00:00"/>
        <d v="2022-04-12T00:00:00"/>
        <d v="2022-01-27T00:00:00"/>
        <d v="2021-08-20T00:00:00"/>
        <d v="2023-11-03T00:00:00"/>
        <d v="2021-12-24T00:00:00"/>
        <d v="2023-11-23T00:00:00"/>
        <d v="2022-05-26T00:00:00"/>
        <d v="2021-11-18T00:00:00"/>
        <d v="2022-06-07T00:00:00"/>
        <d v="2023-09-07T00:00:00"/>
        <d v="2023-02-01T00:00:00"/>
        <d v="2021-05-10T00:00:00"/>
        <d v="2021-04-12T00:00:00"/>
        <d v="2022-11-22T00:00:00"/>
        <d v="2022-11-06T00:00:00"/>
        <d v="2021-12-29T00:00:00"/>
        <d v="2022-12-31T00:00:00"/>
        <d v="2023-12-15T00:00:00"/>
        <d v="2021-06-17T00:00:00"/>
        <d v="2022-08-24T00:00:00"/>
        <d v="2022-08-26T00:00:00"/>
        <d v="2021-08-19T00:00:00"/>
        <d v="2021-08-18T00:00:00"/>
        <d v="2021-10-08T00:00:00"/>
        <d v="2023-12-11T00:00:00"/>
        <d v="2023-04-13T00:00:00"/>
        <d v="2023-11-10T00:00:00"/>
        <d v="2023-07-08T00:00:00"/>
        <d v="2021-12-05T00:00:00"/>
        <d v="2021-12-20T00:00:00"/>
        <d v="2022-05-08T00:00:00"/>
        <d v="2021-11-01T00:00:00"/>
        <d v="2021-12-13T00:00:00"/>
        <d v="2021-08-07T00:00:00"/>
        <d v="2023-12-17T00:00:00"/>
        <d v="2022-06-10T00:00:00"/>
        <d v="2021-07-20T00:00:00"/>
        <d v="2021-09-04T00:00:00"/>
        <d v="2023-01-26T00:00:00"/>
        <d v="2022-11-18T00:00:00"/>
        <d v="2023-12-13T00:00:00"/>
        <d v="2022-12-08T00:00:00"/>
        <d v="2021-12-03T00:00:00"/>
        <d v="2023-10-09T00:00:00"/>
        <d v="2023-09-23T00:00:00"/>
        <d v="2023-12-19T00:00:00"/>
        <d v="2023-06-26T00:00:00"/>
        <d v="2023-10-25T00:00:00"/>
        <d v="2021-09-06T00:00:00"/>
        <d v="2023-10-24T00:00:00"/>
        <d v="2023-10-29T00:00:00"/>
        <d v="2022-12-19T00:00:00"/>
        <d v="2021-10-07T00:00:00"/>
        <d v="2021-08-23T00:00:00"/>
        <d v="2022-12-27T00:00:00"/>
        <d v="2023-07-02T00:00:00"/>
        <d v="2021-09-07T00:00:00"/>
        <d v="2021-12-18T00:00:00"/>
        <d v="2023-09-05T00:00:00"/>
        <d v="2021-11-21T00:00:00"/>
        <d v="2021-11-30T00:00:00"/>
        <d v="2023-09-21T00:00:00"/>
        <d v="2022-01-03T00:00:00"/>
        <d v="2022-07-29T00:00:00"/>
        <d v="2022-12-24T00:00:00"/>
        <d v="2023-10-30T00:00:00"/>
        <d v="2022-09-02T00:00:00"/>
        <d v="2022-07-08T00:00:00"/>
        <d v="2023-05-17T00:00:00"/>
        <d v="2022-12-02T00:00:00"/>
        <d v="2023-08-06T00:00:00"/>
        <d v="2022-03-16T00:00:00"/>
        <d v="2022-04-25T00:00:00"/>
        <d v="2023-01-25T00:00:00"/>
        <d v="2021-10-25T00:00:00"/>
        <d v="2023-10-22T00:00:00"/>
        <d v="2021-10-18T00:00:00"/>
        <d v="2022-05-06T00:00:00"/>
        <d v="2023-12-27T00:00:00"/>
        <d v="2022-02-03T00:00:00"/>
        <d v="2023-06-19T00:00:00"/>
        <d v="2022-03-22T00:00:00"/>
        <d v="2022-10-19T00:00:00"/>
        <d v="2021-05-24T00:00:00"/>
        <d v="2022-05-12T00:00:00"/>
        <d v="2022-12-23T00:00:00"/>
        <d v="2023-01-18T00:00:00"/>
        <d v="2021-12-01T00:00:00"/>
        <d v="2022-05-24T00:00:00"/>
        <d v="2021-02-04T00:00:00"/>
        <d v="2023-08-13T00:00:00"/>
        <d v="2022-11-27T00:00:00"/>
        <d v="2022-11-13T00:00:00"/>
        <d v="2023-11-17T00:00:00"/>
        <d v="2022-04-02T00:00:00"/>
        <d v="2022-09-07T00:00:00"/>
        <d v="2021-06-15T00:00:00"/>
        <d v="2023-07-24T00:00:00"/>
        <d v="2022-03-25T00:00:00"/>
        <d v="2021-08-14T00:00:00"/>
        <d v="2021-12-14T00:00:00"/>
        <d v="2021-12-21T00:00:00"/>
        <d v="2022-12-09T00:00:00"/>
        <d v="2021-12-10T00:00:00"/>
        <d v="2021-11-19T00:00:00"/>
        <d v="2021-07-08T00:00:00"/>
        <d v="2022-09-25T00:00:00"/>
        <d v="2022-10-09T00:00:00"/>
        <d v="2022-12-04T00:00:00"/>
        <d v="2021-11-22T00:00:00"/>
        <d v="2021-11-26T00:00:00"/>
        <d v="2021-12-19T00:00:00"/>
        <d v="2022-09-05T00:00:00"/>
        <d v="2023-02-20T00:00:00"/>
        <d v="2023-11-26T00:00:00"/>
        <d v="2022-07-12T00:00:00"/>
        <d v="2023-10-21T00:00:00"/>
        <d v="2023-10-26T00:00:00"/>
        <d v="2022-11-07T00:00:00"/>
        <d v="2021-10-19T00:00:00"/>
        <d v="2021-08-03T00:00:00"/>
        <d v="2022-10-14T00:00:00"/>
        <d v="2023-10-28T00:00:00"/>
        <d v="2022-12-15T00:00:00"/>
        <d v="2023-11-27T00:00:00"/>
        <d v="2022-08-05T00:00:00"/>
        <d v="2022-12-13T00:00:00"/>
        <d v="2023-12-10T00:00:00"/>
        <d v="2022-12-29T00:00:00"/>
        <d v="2021-07-24T00:00:00"/>
        <d v="2023-12-04T00:00:00"/>
        <d v="2022-09-30T00:00:00"/>
        <d v="2021-07-05T00:00:00"/>
        <d v="2022-02-25T00:00:00"/>
        <d v="2022-07-09T00:00:00"/>
        <d v="2022-09-04T00:00:00"/>
        <d v="2022-11-19T00:00:00"/>
        <d v="2021-12-04T00:00:00"/>
        <d v="2021-11-06T00:00:00"/>
        <d v="2023-10-04T00:00:00"/>
        <d v="2021-06-06T00:00:00"/>
        <d v="2023-06-15T00:00:00"/>
        <d v="2023-02-25T00:00:00"/>
        <d v="2022-11-15T00:00:00"/>
        <d v="2022-03-10T00:00:00"/>
        <d v="2021-11-15T00:00:00"/>
        <d v="2022-05-16T00:00:00"/>
        <d v="2021-11-27T00:00:00"/>
        <d v="2023-11-28T00:00:00"/>
        <d v="2023-12-30T00:00:00"/>
        <d v="2023-11-22T00:00:00"/>
        <d v="2022-11-11T00:00:00"/>
        <d v="2023-08-08T00:00:00"/>
        <d v="2021-10-27T00:00:00"/>
        <d v="2022-03-11T00:00:00"/>
        <d v="2023-12-22T00:00:00"/>
        <d v="2021-09-10T00:00:00"/>
        <d v="2021-11-12T00:00:00"/>
        <d v="2021-07-15T00:00:00"/>
        <d v="2021-06-11T00:00:00"/>
        <d v="2023-04-09T00:00:00"/>
        <d v="2023-11-24T00:00:00"/>
        <d v="2022-05-28T00:00:00"/>
        <d v="2023-04-01T00:00:00"/>
        <d v="2022-06-03T00:00:00"/>
        <d v="2022-12-26T00:00:00"/>
        <d v="2022-11-25T00:00:00"/>
        <d v="2021-01-29T00:00:00"/>
        <d v="2022-10-07T00:00:00"/>
        <d v="2022-12-12T00:00:00"/>
        <d v="2021-11-03T00:00:00"/>
        <d v="2022-11-28T00:00:00"/>
        <d v="2022-06-22T00:00:00"/>
        <d v="2021-11-28T00:00:00"/>
        <d v="2022-11-16T00:00:00"/>
        <d v="2022-06-14T00:00:00"/>
        <d v="2022-11-29T00:00:00"/>
        <d v="2021-12-16T00:00:00"/>
        <d v="2023-09-30T00:00:00"/>
        <d v="2023-10-13T00:00:00"/>
        <d v="2023-04-30T00:00:00"/>
        <d v="2023-05-08T00:00:00"/>
        <d v="2023-07-19T00:00:00"/>
        <d v="2022-03-04T00:00:00"/>
        <d v="2023-05-25T00:00:00"/>
        <d v="2022-08-01T00:00:00"/>
        <d v="2022-04-05T00:00:00"/>
        <d v="2021-04-28T00:00:00"/>
        <d v="2022-11-10T00:00:00"/>
        <d v="2023-12-14T00:00:00"/>
        <d v="2023-09-12T00:00:00"/>
        <d v="2021-09-28T00:00:00"/>
        <d v="2022-02-16T00:00:00"/>
        <d v="2022-03-30T00:00:00"/>
        <d v="2021-03-22T00:00:00"/>
        <d v="2023-11-06T00:00:00"/>
        <d v="2022-11-14T00:00:00"/>
        <d v="2023-04-20T00:00:00"/>
        <d v="2023-11-14T00:00:00"/>
        <d v="2023-02-14T00:00:00"/>
        <d v="2023-10-20T00:00:00"/>
        <d v="2022-08-25T00:00:00"/>
        <d v="2021-10-02T00:00:00"/>
        <d v="2022-05-30T00:00:00"/>
        <d v="2023-05-11T00:00:00"/>
        <d v="2022-11-23T00:00:00"/>
        <d v="2022-07-06T00:00:00"/>
        <d v="2022-06-17T00:00:00"/>
        <d v="2022-05-15T00:00:00"/>
        <d v="2022-04-13T00:00:00"/>
        <d v="2022-09-06T00:00:00"/>
        <d v="2021-11-13T00:00:00"/>
        <d v="2021-12-08T00:00:00"/>
        <d v="2022-07-16T00:00:00"/>
        <d v="2023-12-23T00:00:00"/>
        <d v="2021-07-12T00:00:00"/>
        <d v="2021-10-13T00:00:00"/>
        <d v="2022-05-21T00:00:00"/>
        <d v="2022-09-23T00:00:00"/>
        <d v="2022-06-02T00:00:00"/>
        <d v="2022-10-20T00:00:00"/>
        <d v="2023-11-25T00:00:00"/>
        <d v="2023-08-15T00:00:00"/>
        <d v="2021-06-21T00:00:00"/>
        <d v="2023-12-12T00:00:00"/>
        <d v="2023-07-25T00:00:00"/>
        <d v="2023-11-18T00:00:00"/>
        <d v="2021-12-12T00:00:00"/>
        <d v="2023-05-16T00:00:00"/>
        <d v="2022-12-07T00:00:00"/>
        <d v="2023-12-06T00:00:00"/>
        <d v="2023-11-11T00:00:00"/>
        <d v="2023-12-09T00:00:00"/>
        <d v="2023-04-16T00:00:00"/>
        <d v="2023-10-11T00:00:00"/>
        <d v="2023-07-28T00:00:00"/>
        <d v="2021-11-17T00:00:00"/>
        <d v="2022-12-20T00:00:00"/>
        <d v="2022-11-05T00:00:00"/>
        <d v="2021-05-11T00:00:00"/>
        <d v="2023-08-14T00:00:00"/>
        <d v="2023-05-06T00:00:00"/>
        <d v="2022-05-03T00:00:00"/>
        <d v="2022-06-01T00:00:00"/>
        <d v="2021-10-21T00:00:00"/>
        <d v="2022-04-18T00:00:00"/>
        <d v="2021-08-31T00:00:00"/>
        <d v="2021-07-03T00:00:00"/>
        <d v="2023-08-25T00:00:00"/>
        <d v="2021-11-02T00:00:00"/>
        <d v="2022-06-24T00:00:00"/>
        <d v="2022-12-03T00:00:00"/>
        <d v="2023-12-02T00:00:00"/>
        <d v="2023-03-30T00:00:00"/>
        <d v="2021-04-13T00:00:00"/>
        <d v="2022-11-03T00:00:00"/>
        <d v="2021-04-08T00:00:00"/>
        <d v="2023-07-03T00:00:00"/>
        <d v="2023-12-03T00:00:00"/>
        <d v="2022-08-06T00:00:00"/>
        <d v="2021-07-31T00:00:00"/>
        <d v="2022-02-19T00:00:00"/>
        <d v="2023-07-16T00:00:00"/>
        <d v="2022-09-24T00:00:00"/>
        <d v="2021-12-15T00:00:00"/>
        <d v="2022-12-16T00:00:00"/>
        <d v="2021-12-28T00:00:00"/>
        <d v="2023-12-01T00:00:00"/>
        <d v="2023-11-13T00:00:00"/>
        <d v="2022-12-28T00:00:00"/>
        <d v="2022-07-13T00:00:00"/>
        <d v="2023-10-05T00:00:00"/>
        <d v="2023-12-24T00:00:00"/>
        <d v="2023-11-21T00:00:00"/>
        <d v="2023-05-28T00:00:00"/>
        <d v="2023-04-26T00:00:00"/>
        <d v="2023-01-14T00:00:00"/>
        <d v="2021-11-20T00:00:00"/>
        <d v="2021-12-27T00:00:00"/>
        <d v="2021-08-06T00:00:00"/>
        <d v="2022-12-30T00:00:00"/>
        <d v="2021-07-10T00:00:00"/>
        <d v="2023-09-16T00:00:00"/>
        <d v="2023-10-31T00:00:00"/>
        <d v="2022-05-13T00:00:00"/>
        <d v="2022-11-02T00:00:00"/>
        <d v="2023-07-20T00:00:00"/>
        <d v="2021-03-17T00:00:00"/>
        <d v="2022-05-01T00:00:00"/>
        <d v="2022-11-04T00:00:00"/>
        <d v="2022-12-18T00:00:00"/>
        <d v="2022-02-21T00:00:00"/>
        <d v="2023-04-23T00:00:00"/>
        <d v="2022-07-18T00:00:00"/>
        <d v="2021-12-23T00:00:00"/>
        <d v="2022-06-18T00:00:00"/>
        <d v="2023-04-22T00:00:00"/>
        <d v="2021-04-05T00:00:00"/>
        <d v="2021-10-16T00:00:00"/>
        <d v="2021-07-18T00:00:00"/>
        <d v="2023-08-04T00:00:00"/>
        <d v="2023-06-17T00:00:00"/>
        <d v="2023-12-28T00:00:00"/>
        <d v="2022-11-09T00:00:00"/>
        <d v="2022-09-03T00:00:00"/>
        <d v="2022-11-30T00:00:00"/>
        <d v="2021-10-11T00:00:00"/>
        <d v="2023-11-12T00:00:00"/>
        <d v="2023-08-10T00:00:00"/>
        <d v="2022-05-02T00:00:00"/>
        <d v="2021-04-07T00:00:00"/>
        <d v="2023-09-03T00:00:00"/>
        <d v="2022-08-31T00:00:00"/>
        <d v="2022-07-11T00:00:00"/>
        <d v="2021-07-27T00:00:00"/>
        <d v="2022-12-22T00:00:00"/>
        <d v="2022-03-26T00:00:00"/>
        <d v="2023-02-15T00:00:00"/>
        <d v="2023-09-15T00:00:00"/>
        <d v="2023-08-22T00:00:00"/>
        <d v="2023-11-20T00:00:00"/>
        <d v="2021-09-01T00:00:00"/>
        <d v="2023-12-31T00:00:00"/>
        <d v="2023-09-29T00:00:00"/>
        <d v="2022-04-07T00:00:00"/>
        <d v="2021-11-25T00:00:00"/>
        <d v="2022-05-22T00:00:00"/>
        <d v="2022-11-17T00:00:00"/>
        <d v="2021-05-20T00:00:00"/>
        <d v="2023-08-18T00:00:00"/>
        <d v="2023-03-10T00:00:00"/>
        <d v="2021-12-02T00:00:00"/>
        <d v="2023-01-21T00:00:00"/>
        <d v="2023-02-16T00:00:00"/>
        <d v="2021-12-31T00:00:00"/>
        <d v="2021-11-24T00:00:00"/>
        <d v="2022-12-11T00:00:00"/>
        <d v="2023-10-06T00:00:00"/>
        <d v="2023-09-01T00:00:00"/>
        <d v="2021-12-09T00:00:00"/>
        <d v="2021-10-26T00:00:00"/>
        <d v="2021-11-14T00:00:00"/>
        <d v="2021-10-10T00:00:00"/>
        <d v="2022-08-30T00:00:00"/>
        <d v="2023-12-05T00:00:00"/>
        <d v="2023-12-25T00:00:00"/>
        <d v="2023-05-02T00:00:00"/>
        <d v="2021-12-22T00:00:00"/>
        <d v="2021-04-06T00:00:00"/>
        <d v="2022-11-08T00:00:00"/>
        <d v="2022-05-31T00:00:00"/>
        <d v="2023-04-17T00:00:00"/>
        <d v="2021-10-22T00:00:00"/>
        <d v="2021-05-12T00:00:00"/>
        <d v="2021-09-03T00:00:00"/>
        <d v="2021-05-05T00:00:00"/>
        <d v="2022-06-20T00:00:00"/>
        <d v="2023-12-20T00:00:00"/>
        <d v="2021-08-17T00:00:00"/>
        <d v="2022-04-06T00:00:00"/>
        <d v="2022-08-28T00:00:00"/>
        <d v="2022-08-29T00:00:00"/>
        <d v="2021-03-30T00:00:00"/>
        <d v="2021-12-26T00:00:00"/>
        <d v="2023-03-01T00:00:00"/>
        <d v="2022-12-05T00:00:00"/>
        <d v="2021-08-26T00:00:00"/>
        <d v="2021-05-27T00:00:00"/>
        <d v="2021-10-09T00:00:00"/>
        <d v="2022-01-11T00:00:00"/>
        <d v="2023-10-19T00:00:00"/>
        <d v="2021-01-17T00:00:00"/>
        <d v="2023-03-09T00:00:00"/>
        <d v="2021-04-22T00:00:00"/>
        <d v="2023-07-23T00:00:00"/>
        <d v="2023-11-09T00:00:00"/>
        <d v="2022-11-24T00:00:00"/>
        <d v="2023-02-11T00:00:00"/>
        <d v="2022-01-16T00:00:00"/>
        <d v="2021-01-31T00:00:00"/>
        <d v="2021-04-30T00:00:00"/>
        <d v="2023-04-29T00:00:00"/>
        <d v="2023-11-04T00:00:00"/>
        <d v="2022-12-06T00:00:00"/>
        <d v="2021-04-16T00:00:00"/>
        <d v="2021-11-10T00:00:00"/>
        <d v="2023-07-27T00:00:00"/>
        <d v="2021-04-15T00:00:00"/>
        <d v="2022-10-21T00:00:00"/>
        <d v="2021-12-30T00:00:00"/>
        <d v="2022-12-21T00:00:00"/>
        <d v="2021-06-22T00:00:00"/>
        <d v="2022-07-26T00:00:00"/>
        <d v="2023-11-02T00:00:00"/>
        <d v="2022-07-01T00:00:00"/>
        <d v="2023-04-08T00:00:00"/>
        <d v="2022-07-30T00:00:00"/>
        <d v="2022-10-01T00:00:00"/>
        <d v="2021-09-27T00:00:00"/>
        <d v="2023-04-04T00:00:00"/>
        <d v="2021-11-09T00:00:00"/>
        <d v="2022-10-02T00:00:00"/>
        <d v="2021-08-11T00:00:00"/>
        <d v="2022-09-01T00:00:00"/>
        <d v="2023-07-01T00:00:00"/>
        <d v="2023-05-10T00:00:00"/>
        <d v="2022-07-31T00:00:00"/>
        <d v="2023-07-21T00:00:00"/>
        <d v="2023-09-24T00:00:00"/>
        <d v="2023-07-07T00:00:00"/>
        <d v="2024-10-04T00:00:00"/>
        <d v="2024-04-19T00:00:00"/>
        <d v="2024-11-10T00:00:00"/>
        <d v="2024-12-12T00:00:00"/>
        <d v="2024-12-22T00:00:00"/>
        <d v="2024-09-29T00:00:00"/>
        <d v="2024-10-14T00:00:00"/>
        <d v="2024-10-30T00:00:00"/>
        <d v="2024-11-28T00:00:00"/>
        <d v="2024-05-31T00:00:00"/>
        <d v="2024-06-15T00:00:00"/>
        <d v="2024-08-13T00:00:00"/>
        <d v="2024-03-16T00:00:00"/>
        <d v="2024-06-16T00:00:00"/>
        <d v="2024-08-23T00:00:00"/>
        <d v="2024-11-19T00:00:00"/>
        <d v="2024-09-27T00:00:00"/>
        <d v="2024-07-14T00:00:00"/>
        <d v="2024-11-14T00:00:00"/>
        <d v="2024-11-08T00:00:00"/>
        <d v="2024-08-27T00:00:00"/>
        <d v="2024-10-12T00:00:00"/>
        <d v="2024-09-02T00:00:00"/>
        <d v="2024-11-12T00:00:00"/>
        <d v="2024-06-18T00:00:00"/>
        <d v="2024-09-07T00:00:00"/>
        <d v="2024-10-08T00:00:00"/>
        <d v="2024-10-28T00:00:00"/>
        <d v="2024-05-24T00:00:00"/>
        <d v="2024-04-28T00:00:00"/>
        <d v="2024-12-26T00:00:00"/>
        <d v="2024-12-19T00:00:00"/>
        <d v="2024-10-06T00:00:00"/>
        <d v="2024-07-15T00:00:00"/>
        <d v="2024-10-19T00:00:00"/>
        <d v="2024-08-02T00:00:00"/>
        <d v="2024-10-20T00:00:00"/>
        <d v="2024-06-14T00:00:00"/>
        <d v="2024-07-20T00:00:00"/>
        <d v="2024-11-22T00:00:00"/>
        <d v="2024-11-02T00:00:00"/>
        <d v="2024-09-05T00:00:00"/>
        <d v="2024-12-31T00:00:00"/>
        <d v="2024-02-10T00:00:00"/>
        <d v="2024-11-06T00:00:00"/>
        <d v="2024-10-26T00:00:00"/>
        <d v="2024-02-19T00:00:00"/>
        <d v="2024-08-12T00:00:00"/>
        <d v="2024-04-15T00:00:00"/>
        <d v="2024-12-03T00:00:00"/>
        <d v="2024-07-22T00:00:00"/>
        <d v="2024-08-22T00:00:00"/>
        <d v="2024-06-29T00:00:00"/>
        <d v="2024-10-17T00:00:00"/>
        <d v="2024-02-07T00:00:00"/>
        <d v="2024-12-01T00:00:00"/>
        <d v="2024-07-21T00:00:00"/>
        <d v="2024-08-29T00:00:00"/>
        <d v="2024-06-13T00:00:00"/>
        <d v="2024-10-25T00:00:00"/>
        <d v="2024-11-01T00:00:00"/>
        <d v="2024-07-23T00:00:00"/>
        <d v="2024-07-07T00:00:00"/>
        <d v="2024-06-23T00:00:00"/>
        <d v="2024-12-09T00:00:00"/>
        <d v="2024-08-15T00:00:00"/>
        <d v="2024-10-13T00:00:00"/>
        <d v="2024-12-24T00:00:00"/>
        <d v="2024-12-25T00:00:00"/>
        <d v="2024-09-26T00:00:00"/>
        <d v="2024-12-13T00:00:00"/>
        <d v="2024-10-27T00:00:00"/>
        <d v="2024-09-16T00:00:00"/>
        <d v="2024-09-18T00:00:00"/>
        <d v="2024-11-29T00:00:00"/>
        <d v="2024-01-11T00:00:00"/>
        <d v="2024-04-07T00:00:00"/>
        <d v="2024-12-18T00:00:00"/>
        <d v="2024-10-03T00:00:00"/>
        <d v="2024-12-29T00:00:00"/>
        <d v="2024-04-16T00:00:00"/>
        <d v="2024-05-13T00:00:00"/>
        <d v="2024-11-21T00:00:00"/>
        <d v="2024-01-08T00:00:00"/>
        <d v="2024-10-10T00:00:00"/>
        <d v="2024-12-28T00:00:00"/>
        <d v="2024-04-21T00:00:00"/>
        <d v="2024-08-16T00:00:00"/>
        <d v="2024-05-12T00:00:00"/>
        <d v="2024-04-29T00:00:00"/>
        <d v="2024-11-13T00:00:00"/>
        <d v="2024-11-16T00:00:00"/>
        <d v="2024-12-04T00:00:00"/>
        <d v="2024-11-04T00:00:00"/>
        <d v="2024-10-24T00:00:00"/>
        <d v="2024-07-29T00:00:00"/>
        <d v="2024-05-22T00:00:00"/>
        <d v="2024-09-01T00:00:00"/>
        <d v="2024-03-28T00:00:00"/>
        <d v="2024-08-08T00:00:00"/>
        <d v="2024-11-11T00:00:00"/>
        <d v="2024-11-15T00:00:00"/>
        <d v="2024-12-06T00:00:00"/>
        <d v="2024-08-28T00:00:00"/>
        <d v="2024-04-17T00:00:00"/>
        <d v="2024-10-01T00:00:00"/>
        <d v="2024-10-31T00:00:00"/>
        <d v="2024-10-29T00:00:00"/>
        <d v="2024-01-16T00:00:00"/>
        <d v="2024-06-08T00:00:00"/>
        <d v="2024-12-23T00:00:00"/>
        <d v="2024-12-30T00:00:00"/>
        <d v="2024-07-25T00:00:00"/>
        <d v="2024-11-20T00:00:00"/>
        <d v="2024-04-23T00:00:00"/>
        <d v="2024-07-11T00:00:00"/>
        <d v="2024-04-05T00:00:00"/>
        <d v="2024-11-18T00:00:00"/>
        <d v="2024-02-08T00:00:00"/>
        <d v="2024-03-02T00:00:00"/>
        <d v="2024-10-22T00:00:00"/>
        <d v="2024-08-09T00:00:00"/>
        <d v="2024-11-30T00:00:00"/>
        <d v="2024-11-07T00:00:00"/>
        <d v="2024-02-26T00:00:00"/>
        <d v="2024-10-09T00:00:00"/>
        <d v="2024-08-04T00:00:00"/>
        <d v="2024-07-05T00:00:00"/>
        <d v="2024-12-15T00:00:00"/>
        <d v="2024-06-30T00:00:00"/>
        <d v="2024-07-12T00:00:00"/>
        <d v="2024-04-20T00:00:00"/>
        <d v="2024-06-02T00:00:00"/>
        <d v="2024-12-14T00:00:00"/>
        <d v="2024-12-16T00:00:00"/>
        <d v="2024-04-30T00:00:00"/>
        <d v="2024-09-28T00:00:00"/>
        <d v="2024-12-27T00:00:00"/>
        <d v="2024-08-07T00:00:00"/>
        <d v="2024-09-08T00:00:00"/>
        <d v="2024-02-14T00:00:00"/>
        <d v="2024-06-20T00:00:00"/>
        <d v="2024-11-17T00:00:00"/>
        <d v="2024-01-19T00:00:00"/>
        <d v="2024-09-19T00:00:00"/>
        <d v="2024-12-02T00:00:00"/>
        <d v="2024-11-24T00:00:00"/>
        <d v="2024-09-13T00:00:00"/>
        <d v="2024-02-18T00:00:00"/>
        <d v="2024-07-19T00:00:00"/>
        <d v="2024-03-14T00:00:00"/>
        <d v="2024-08-06T00:00:00"/>
        <d v="2024-05-26T00:00:00"/>
        <d v="2024-04-04T00:00:00"/>
        <d v="2024-07-04T00:00:00"/>
        <d v="2024-11-25T00:00:00"/>
        <d v="2024-06-28T00:00:00"/>
        <d v="2024-09-17T00:00:00"/>
        <d v="2024-11-03T00:00:00"/>
        <d v="2024-10-11T00:00:00"/>
        <d v="2024-05-03T00:00:00"/>
        <d v="2024-05-02T00:00:00"/>
        <d v="2024-06-01T00:00:00"/>
        <d v="2024-01-18T00:00:00"/>
      </sharedItems>
      <fieldGroup par="10"/>
    </cacheField>
    <cacheField name="ProductID" numFmtId="0">
      <sharedItems containsSemiMixedTypes="0" containsString="0" containsNumber="1" containsInteger="1" minValue="1" maxValue="4"/>
    </cacheField>
    <cacheField name="SalesRepID" numFmtId="0">
      <sharedItems containsSemiMixedTypes="0" containsString="0" containsNumber="1" containsInteger="1" minValue="1" maxValue="4"/>
    </cacheField>
    <cacheField name="Units" numFmtId="0">
      <sharedItems containsSemiMixedTypes="0" containsString="0" containsNumber="1" containsInteger="1" minValue="1" maxValue="300"/>
    </cacheField>
    <cacheField name="Sales" numFmtId="0">
      <sharedItems containsSemiMixedTypes="0" containsString="0" containsNumber="1" minValue="23.95" maxValue="13185"/>
    </cacheField>
    <cacheField name="Product" numFmtId="0">
      <sharedItems count="4">
        <s v="Carlota"/>
        <s v="Yanaki"/>
        <s v="Quad"/>
        <s v="Aspen"/>
      </sharedItems>
    </cacheField>
    <cacheField name="Supplier" numFmtId="0">
      <sharedItems count="2">
        <s v="Gel Booms"/>
        <s v="Colorado Booms"/>
      </sharedItems>
    </cacheField>
    <cacheField name="Region" numFmtId="0">
      <sharedItems count="2">
        <s v="WA"/>
        <s v="CA"/>
      </sharedItems>
    </cacheField>
    <cacheField name="Months (Date)" numFmtId="0" databaseField="0">
      <fieldGroup base="0">
        <rangePr groupBy="months" startDate="2021-01-17T00:00:00" endDate="2025-01-01T00:00:00"/>
        <groupItems count="14">
          <s v="&lt;17-01-2021"/>
          <s v="Jan"/>
          <s v="Feb"/>
          <s v="Mar"/>
          <s v="Apr"/>
          <s v="May"/>
          <s v="Jun"/>
          <s v="Jul"/>
          <s v="Aug"/>
          <s v="Sep"/>
          <s v="Oct"/>
          <s v="Nov"/>
          <s v="Dec"/>
          <s v="&gt;01-01-2025"/>
        </groupItems>
      </fieldGroup>
    </cacheField>
    <cacheField name="Quarters (Date)" numFmtId="0" databaseField="0">
      <fieldGroup base="0">
        <rangePr groupBy="quarters" startDate="2021-01-17T00:00:00" endDate="2025-01-01T00:00:00"/>
        <groupItems count="6">
          <s v="&lt;17-01-2021"/>
          <s v="Qtr1"/>
          <s v="Qtr2"/>
          <s v="Qtr3"/>
          <s v="Qtr4"/>
          <s v="&gt;01-01-2025"/>
        </groupItems>
      </fieldGroup>
    </cacheField>
    <cacheField name="Years (Date)" numFmtId="0" databaseField="0">
      <fieldGroup base="0">
        <rangePr groupBy="years" startDate="2021-01-17T00:00:00" endDate="2025-01-01T00:00:00"/>
        <groupItems count="7">
          <s v="&lt;17-01-2021"/>
          <s v="2021"/>
          <s v="2022"/>
          <s v="2023"/>
          <s v="2024"/>
          <s v="2025"/>
          <s v="&gt;01-01-2025"/>
        </groupItems>
      </fieldGroup>
    </cacheField>
  </cacheFields>
  <extLst>
    <ext xmlns:x14="http://schemas.microsoft.com/office/spreadsheetml/2009/9/main" uri="{725AE2AE-9491-48be-B2B4-4EB974FC3084}">
      <x14:pivotCacheDefinition pivotCacheId="712252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n v="2"/>
    <n v="4"/>
    <n v="144"/>
    <n v="4312.8"/>
    <x v="0"/>
    <x v="0"/>
    <x v="0"/>
  </r>
  <r>
    <x v="1"/>
    <n v="4"/>
    <n v="4"/>
    <n v="6"/>
    <n v="143.69999999999999"/>
    <x v="1"/>
    <x v="1"/>
    <x v="0"/>
  </r>
  <r>
    <x v="2"/>
    <n v="1"/>
    <n v="2"/>
    <n v="73"/>
    <n v="3208.3500000000004"/>
    <x v="2"/>
    <x v="0"/>
    <x v="1"/>
  </r>
  <r>
    <x v="3"/>
    <n v="2"/>
    <n v="4"/>
    <n v="95"/>
    <n v="2845.25"/>
    <x v="0"/>
    <x v="0"/>
    <x v="0"/>
  </r>
  <r>
    <x v="4"/>
    <n v="2"/>
    <n v="2"/>
    <n v="5"/>
    <n v="149.75"/>
    <x v="0"/>
    <x v="0"/>
    <x v="1"/>
  </r>
  <r>
    <x v="5"/>
    <n v="2"/>
    <n v="2"/>
    <n v="4"/>
    <n v="119.8"/>
    <x v="0"/>
    <x v="0"/>
    <x v="1"/>
  </r>
  <r>
    <x v="6"/>
    <n v="2"/>
    <n v="1"/>
    <n v="91"/>
    <n v="2725.45"/>
    <x v="0"/>
    <x v="0"/>
    <x v="1"/>
  </r>
  <r>
    <x v="7"/>
    <n v="2"/>
    <n v="4"/>
    <n v="1"/>
    <n v="29.95"/>
    <x v="0"/>
    <x v="0"/>
    <x v="0"/>
  </r>
  <r>
    <x v="8"/>
    <n v="1"/>
    <n v="2"/>
    <n v="187"/>
    <n v="8218.65"/>
    <x v="2"/>
    <x v="0"/>
    <x v="1"/>
  </r>
  <r>
    <x v="9"/>
    <n v="2"/>
    <n v="2"/>
    <n v="81"/>
    <n v="2425.9499999999998"/>
    <x v="0"/>
    <x v="0"/>
    <x v="1"/>
  </r>
  <r>
    <x v="10"/>
    <n v="2"/>
    <n v="4"/>
    <n v="80"/>
    <n v="2396"/>
    <x v="0"/>
    <x v="0"/>
    <x v="0"/>
  </r>
  <r>
    <x v="11"/>
    <n v="3"/>
    <n v="2"/>
    <n v="125"/>
    <n v="3243.75"/>
    <x v="3"/>
    <x v="1"/>
    <x v="1"/>
  </r>
  <r>
    <x v="12"/>
    <n v="4"/>
    <n v="2"/>
    <n v="3"/>
    <n v="71.849999999999994"/>
    <x v="1"/>
    <x v="1"/>
    <x v="1"/>
  </r>
  <r>
    <x v="13"/>
    <n v="2"/>
    <n v="1"/>
    <n v="57"/>
    <n v="1707.1499999999999"/>
    <x v="0"/>
    <x v="0"/>
    <x v="1"/>
  </r>
  <r>
    <x v="14"/>
    <n v="1"/>
    <n v="2"/>
    <n v="1"/>
    <n v="43.95"/>
    <x v="2"/>
    <x v="0"/>
    <x v="1"/>
  </r>
  <r>
    <x v="15"/>
    <n v="2"/>
    <n v="4"/>
    <n v="4"/>
    <n v="119.8"/>
    <x v="0"/>
    <x v="0"/>
    <x v="0"/>
  </r>
  <r>
    <x v="16"/>
    <n v="2"/>
    <n v="3"/>
    <n v="2"/>
    <n v="59.9"/>
    <x v="0"/>
    <x v="0"/>
    <x v="0"/>
  </r>
  <r>
    <x v="17"/>
    <n v="2"/>
    <n v="2"/>
    <n v="238"/>
    <n v="7128.0999999999995"/>
    <x v="0"/>
    <x v="0"/>
    <x v="1"/>
  </r>
  <r>
    <x v="18"/>
    <n v="3"/>
    <n v="3"/>
    <n v="102"/>
    <n v="2646.9"/>
    <x v="3"/>
    <x v="1"/>
    <x v="0"/>
  </r>
  <r>
    <x v="19"/>
    <n v="2"/>
    <n v="2"/>
    <n v="242"/>
    <n v="7247.9"/>
    <x v="0"/>
    <x v="0"/>
    <x v="1"/>
  </r>
  <r>
    <x v="20"/>
    <n v="2"/>
    <n v="4"/>
    <n v="150"/>
    <n v="4492.5"/>
    <x v="0"/>
    <x v="0"/>
    <x v="0"/>
  </r>
  <r>
    <x v="21"/>
    <n v="1"/>
    <n v="2"/>
    <n v="6"/>
    <n v="263.70000000000005"/>
    <x v="2"/>
    <x v="0"/>
    <x v="1"/>
  </r>
  <r>
    <x v="22"/>
    <n v="1"/>
    <n v="4"/>
    <n v="78"/>
    <n v="3428.1000000000004"/>
    <x v="2"/>
    <x v="0"/>
    <x v="0"/>
  </r>
  <r>
    <x v="23"/>
    <n v="2"/>
    <n v="4"/>
    <n v="75"/>
    <n v="2246.25"/>
    <x v="0"/>
    <x v="0"/>
    <x v="0"/>
  </r>
  <r>
    <x v="24"/>
    <n v="1"/>
    <n v="1"/>
    <n v="6"/>
    <n v="263.70000000000005"/>
    <x v="2"/>
    <x v="0"/>
    <x v="1"/>
  </r>
  <r>
    <x v="25"/>
    <n v="2"/>
    <n v="4"/>
    <n v="2"/>
    <n v="59.9"/>
    <x v="0"/>
    <x v="0"/>
    <x v="0"/>
  </r>
  <r>
    <x v="26"/>
    <n v="2"/>
    <n v="4"/>
    <n v="71"/>
    <n v="2126.4499999999998"/>
    <x v="0"/>
    <x v="0"/>
    <x v="0"/>
  </r>
  <r>
    <x v="27"/>
    <n v="2"/>
    <n v="1"/>
    <n v="251"/>
    <n v="7517.45"/>
    <x v="0"/>
    <x v="0"/>
    <x v="1"/>
  </r>
  <r>
    <x v="28"/>
    <n v="2"/>
    <n v="4"/>
    <n v="88"/>
    <n v="2635.6"/>
    <x v="0"/>
    <x v="0"/>
    <x v="0"/>
  </r>
  <r>
    <x v="29"/>
    <n v="2"/>
    <n v="2"/>
    <n v="6"/>
    <n v="179.7"/>
    <x v="0"/>
    <x v="0"/>
    <x v="1"/>
  </r>
  <r>
    <x v="30"/>
    <n v="2"/>
    <n v="4"/>
    <n v="230"/>
    <n v="6888.5"/>
    <x v="0"/>
    <x v="0"/>
    <x v="0"/>
  </r>
  <r>
    <x v="31"/>
    <n v="4"/>
    <n v="4"/>
    <n v="185"/>
    <n v="4430.75"/>
    <x v="1"/>
    <x v="1"/>
    <x v="0"/>
  </r>
  <r>
    <x v="32"/>
    <n v="2"/>
    <n v="4"/>
    <n v="75"/>
    <n v="2246.25"/>
    <x v="0"/>
    <x v="0"/>
    <x v="0"/>
  </r>
  <r>
    <x v="33"/>
    <n v="2"/>
    <n v="4"/>
    <n v="3"/>
    <n v="89.85"/>
    <x v="0"/>
    <x v="0"/>
    <x v="0"/>
  </r>
  <r>
    <x v="34"/>
    <n v="2"/>
    <n v="4"/>
    <n v="209"/>
    <n v="6259.55"/>
    <x v="0"/>
    <x v="0"/>
    <x v="0"/>
  </r>
  <r>
    <x v="35"/>
    <n v="4"/>
    <n v="4"/>
    <n v="4"/>
    <n v="95.8"/>
    <x v="1"/>
    <x v="1"/>
    <x v="0"/>
  </r>
  <r>
    <x v="36"/>
    <n v="4"/>
    <n v="1"/>
    <n v="280"/>
    <n v="6706"/>
    <x v="1"/>
    <x v="1"/>
    <x v="1"/>
  </r>
  <r>
    <x v="37"/>
    <n v="4"/>
    <n v="2"/>
    <n v="52"/>
    <n v="1245.3999999999999"/>
    <x v="1"/>
    <x v="1"/>
    <x v="1"/>
  </r>
  <r>
    <x v="38"/>
    <n v="4"/>
    <n v="3"/>
    <n v="101"/>
    <n v="2418.9499999999998"/>
    <x v="1"/>
    <x v="1"/>
    <x v="0"/>
  </r>
  <r>
    <x v="39"/>
    <n v="4"/>
    <n v="4"/>
    <n v="89"/>
    <n v="2131.5499999999997"/>
    <x v="1"/>
    <x v="1"/>
    <x v="0"/>
  </r>
  <r>
    <x v="40"/>
    <n v="2"/>
    <n v="1"/>
    <n v="1"/>
    <n v="29.95"/>
    <x v="0"/>
    <x v="0"/>
    <x v="1"/>
  </r>
  <r>
    <x v="41"/>
    <n v="2"/>
    <n v="4"/>
    <n v="4"/>
    <n v="119.8"/>
    <x v="0"/>
    <x v="0"/>
    <x v="0"/>
  </r>
  <r>
    <x v="42"/>
    <n v="2"/>
    <n v="4"/>
    <n v="6"/>
    <n v="179.7"/>
    <x v="0"/>
    <x v="0"/>
    <x v="0"/>
  </r>
  <r>
    <x v="43"/>
    <n v="2"/>
    <n v="2"/>
    <n v="159"/>
    <n v="4762.05"/>
    <x v="0"/>
    <x v="0"/>
    <x v="1"/>
  </r>
  <r>
    <x v="44"/>
    <n v="3"/>
    <n v="3"/>
    <n v="6"/>
    <n v="155.69999999999999"/>
    <x v="3"/>
    <x v="1"/>
    <x v="0"/>
  </r>
  <r>
    <x v="45"/>
    <n v="1"/>
    <n v="2"/>
    <n v="3"/>
    <n v="131.85000000000002"/>
    <x v="2"/>
    <x v="0"/>
    <x v="1"/>
  </r>
  <r>
    <x v="46"/>
    <n v="3"/>
    <n v="1"/>
    <n v="1"/>
    <n v="25.95"/>
    <x v="3"/>
    <x v="1"/>
    <x v="1"/>
  </r>
  <r>
    <x v="47"/>
    <n v="3"/>
    <n v="4"/>
    <n v="6"/>
    <n v="155.69999999999999"/>
    <x v="3"/>
    <x v="1"/>
    <x v="0"/>
  </r>
  <r>
    <x v="48"/>
    <n v="1"/>
    <n v="2"/>
    <n v="14"/>
    <n v="615.30000000000007"/>
    <x v="2"/>
    <x v="0"/>
    <x v="1"/>
  </r>
  <r>
    <x v="49"/>
    <n v="2"/>
    <n v="3"/>
    <n v="71"/>
    <n v="2126.4499999999998"/>
    <x v="0"/>
    <x v="0"/>
    <x v="0"/>
  </r>
  <r>
    <x v="50"/>
    <n v="3"/>
    <n v="2"/>
    <n v="101"/>
    <n v="2620.9499999999998"/>
    <x v="3"/>
    <x v="1"/>
    <x v="1"/>
  </r>
  <r>
    <x v="51"/>
    <n v="2"/>
    <n v="2"/>
    <n v="27"/>
    <n v="808.65"/>
    <x v="0"/>
    <x v="0"/>
    <x v="1"/>
  </r>
  <r>
    <x v="52"/>
    <n v="2"/>
    <n v="2"/>
    <n v="1"/>
    <n v="29.95"/>
    <x v="0"/>
    <x v="0"/>
    <x v="1"/>
  </r>
  <r>
    <x v="53"/>
    <n v="2"/>
    <n v="2"/>
    <n v="36"/>
    <n v="1078.2"/>
    <x v="0"/>
    <x v="0"/>
    <x v="1"/>
  </r>
  <r>
    <x v="21"/>
    <n v="2"/>
    <n v="4"/>
    <n v="31"/>
    <n v="928.44999999999993"/>
    <x v="0"/>
    <x v="0"/>
    <x v="0"/>
  </r>
  <r>
    <x v="54"/>
    <n v="2"/>
    <n v="1"/>
    <n v="196"/>
    <n v="5870.2"/>
    <x v="0"/>
    <x v="0"/>
    <x v="1"/>
  </r>
  <r>
    <x v="55"/>
    <n v="2"/>
    <n v="1"/>
    <n v="6"/>
    <n v="179.7"/>
    <x v="0"/>
    <x v="0"/>
    <x v="1"/>
  </r>
  <r>
    <x v="56"/>
    <n v="2"/>
    <n v="3"/>
    <n v="110"/>
    <n v="3294.5"/>
    <x v="0"/>
    <x v="0"/>
    <x v="0"/>
  </r>
  <r>
    <x v="57"/>
    <n v="1"/>
    <n v="1"/>
    <n v="26"/>
    <n v="1142.7"/>
    <x v="2"/>
    <x v="0"/>
    <x v="1"/>
  </r>
  <r>
    <x v="58"/>
    <n v="2"/>
    <n v="4"/>
    <n v="80"/>
    <n v="2396"/>
    <x v="0"/>
    <x v="0"/>
    <x v="0"/>
  </r>
  <r>
    <x v="59"/>
    <n v="2"/>
    <n v="2"/>
    <n v="70"/>
    <n v="2096.5"/>
    <x v="0"/>
    <x v="0"/>
    <x v="1"/>
  </r>
  <r>
    <x v="60"/>
    <n v="2"/>
    <n v="4"/>
    <n v="28"/>
    <n v="838.6"/>
    <x v="0"/>
    <x v="0"/>
    <x v="0"/>
  </r>
  <r>
    <x v="61"/>
    <n v="2"/>
    <n v="2"/>
    <n v="80"/>
    <n v="2396"/>
    <x v="0"/>
    <x v="0"/>
    <x v="1"/>
  </r>
  <r>
    <x v="62"/>
    <n v="1"/>
    <n v="4"/>
    <n v="6"/>
    <n v="263.70000000000005"/>
    <x v="2"/>
    <x v="0"/>
    <x v="0"/>
  </r>
  <r>
    <x v="63"/>
    <n v="3"/>
    <n v="4"/>
    <n v="201"/>
    <n v="5215.95"/>
    <x v="3"/>
    <x v="1"/>
    <x v="0"/>
  </r>
  <r>
    <x v="64"/>
    <n v="2"/>
    <n v="2"/>
    <n v="77"/>
    <n v="2306.15"/>
    <x v="0"/>
    <x v="0"/>
    <x v="1"/>
  </r>
  <r>
    <x v="65"/>
    <n v="4"/>
    <n v="2"/>
    <n v="62"/>
    <n v="1484.8999999999999"/>
    <x v="1"/>
    <x v="1"/>
    <x v="1"/>
  </r>
  <r>
    <x v="66"/>
    <n v="2"/>
    <n v="2"/>
    <n v="103"/>
    <n v="3084.85"/>
    <x v="0"/>
    <x v="0"/>
    <x v="1"/>
  </r>
  <r>
    <x v="2"/>
    <n v="2"/>
    <n v="1"/>
    <n v="6"/>
    <n v="179.7"/>
    <x v="0"/>
    <x v="0"/>
    <x v="1"/>
  </r>
  <r>
    <x v="67"/>
    <n v="2"/>
    <n v="2"/>
    <n v="237"/>
    <n v="7098.15"/>
    <x v="0"/>
    <x v="0"/>
    <x v="1"/>
  </r>
  <r>
    <x v="68"/>
    <n v="3"/>
    <n v="3"/>
    <n v="90"/>
    <n v="2335.5"/>
    <x v="3"/>
    <x v="1"/>
    <x v="0"/>
  </r>
  <r>
    <x v="69"/>
    <n v="3"/>
    <n v="2"/>
    <n v="2"/>
    <n v="51.9"/>
    <x v="3"/>
    <x v="1"/>
    <x v="1"/>
  </r>
  <r>
    <x v="50"/>
    <n v="4"/>
    <n v="4"/>
    <n v="6"/>
    <n v="143.69999999999999"/>
    <x v="1"/>
    <x v="1"/>
    <x v="0"/>
  </r>
  <r>
    <x v="70"/>
    <n v="4"/>
    <n v="2"/>
    <n v="61"/>
    <n v="1460.95"/>
    <x v="1"/>
    <x v="1"/>
    <x v="1"/>
  </r>
  <r>
    <x v="71"/>
    <n v="4"/>
    <n v="4"/>
    <n v="74"/>
    <n v="1772.3"/>
    <x v="1"/>
    <x v="1"/>
    <x v="0"/>
  </r>
  <r>
    <x v="72"/>
    <n v="1"/>
    <n v="4"/>
    <n v="116"/>
    <n v="5098.2000000000007"/>
    <x v="2"/>
    <x v="0"/>
    <x v="0"/>
  </r>
  <r>
    <x v="73"/>
    <n v="4"/>
    <n v="3"/>
    <n v="1"/>
    <n v="23.95"/>
    <x v="1"/>
    <x v="1"/>
    <x v="0"/>
  </r>
  <r>
    <x v="74"/>
    <n v="2"/>
    <n v="4"/>
    <n v="119"/>
    <n v="3564.0499999999997"/>
    <x v="0"/>
    <x v="0"/>
    <x v="0"/>
  </r>
  <r>
    <x v="75"/>
    <n v="2"/>
    <n v="2"/>
    <n v="279"/>
    <n v="8356.0499999999993"/>
    <x v="0"/>
    <x v="0"/>
    <x v="1"/>
  </r>
  <r>
    <x v="76"/>
    <n v="2"/>
    <n v="4"/>
    <n v="1"/>
    <n v="29.95"/>
    <x v="0"/>
    <x v="0"/>
    <x v="0"/>
  </r>
  <r>
    <x v="77"/>
    <n v="2"/>
    <n v="4"/>
    <n v="242"/>
    <n v="7247.9"/>
    <x v="0"/>
    <x v="0"/>
    <x v="0"/>
  </r>
  <r>
    <x v="78"/>
    <n v="3"/>
    <n v="1"/>
    <n v="3"/>
    <n v="77.849999999999994"/>
    <x v="3"/>
    <x v="1"/>
    <x v="1"/>
  </r>
  <r>
    <x v="79"/>
    <n v="1"/>
    <n v="4"/>
    <n v="3"/>
    <n v="131.85000000000002"/>
    <x v="2"/>
    <x v="0"/>
    <x v="0"/>
  </r>
  <r>
    <x v="75"/>
    <n v="2"/>
    <n v="1"/>
    <n v="5"/>
    <n v="149.75"/>
    <x v="0"/>
    <x v="0"/>
    <x v="1"/>
  </r>
  <r>
    <x v="80"/>
    <n v="1"/>
    <n v="2"/>
    <n v="3"/>
    <n v="131.85000000000002"/>
    <x v="2"/>
    <x v="0"/>
    <x v="1"/>
  </r>
  <r>
    <x v="81"/>
    <n v="3"/>
    <n v="2"/>
    <n v="54"/>
    <n v="1401.3"/>
    <x v="3"/>
    <x v="1"/>
    <x v="1"/>
  </r>
  <r>
    <x v="82"/>
    <n v="2"/>
    <n v="4"/>
    <n v="5"/>
    <n v="149.75"/>
    <x v="0"/>
    <x v="0"/>
    <x v="0"/>
  </r>
  <r>
    <x v="83"/>
    <n v="2"/>
    <n v="4"/>
    <n v="4"/>
    <n v="119.8"/>
    <x v="0"/>
    <x v="0"/>
    <x v="0"/>
  </r>
  <r>
    <x v="84"/>
    <n v="2"/>
    <n v="4"/>
    <n v="75"/>
    <n v="2246.25"/>
    <x v="0"/>
    <x v="0"/>
    <x v="0"/>
  </r>
  <r>
    <x v="85"/>
    <n v="1"/>
    <n v="2"/>
    <n v="134"/>
    <n v="5889.3"/>
    <x v="2"/>
    <x v="0"/>
    <x v="1"/>
  </r>
  <r>
    <x v="86"/>
    <n v="2"/>
    <n v="2"/>
    <n v="78"/>
    <n v="2336.1"/>
    <x v="0"/>
    <x v="0"/>
    <x v="1"/>
  </r>
  <r>
    <x v="87"/>
    <n v="2"/>
    <n v="4"/>
    <n v="1"/>
    <n v="29.95"/>
    <x v="0"/>
    <x v="0"/>
    <x v="0"/>
  </r>
  <r>
    <x v="88"/>
    <n v="4"/>
    <n v="2"/>
    <n v="146"/>
    <n v="3496.7"/>
    <x v="1"/>
    <x v="1"/>
    <x v="1"/>
  </r>
  <r>
    <x v="89"/>
    <n v="2"/>
    <n v="2"/>
    <n v="3"/>
    <n v="89.85"/>
    <x v="0"/>
    <x v="0"/>
    <x v="1"/>
  </r>
  <r>
    <x v="90"/>
    <n v="2"/>
    <n v="4"/>
    <n v="69"/>
    <n v="2066.5499999999997"/>
    <x v="0"/>
    <x v="0"/>
    <x v="0"/>
  </r>
  <r>
    <x v="91"/>
    <n v="1"/>
    <n v="2"/>
    <n v="4"/>
    <n v="175.8"/>
    <x v="2"/>
    <x v="0"/>
    <x v="1"/>
  </r>
  <r>
    <x v="92"/>
    <n v="2"/>
    <n v="4"/>
    <n v="72"/>
    <n v="2156.4"/>
    <x v="0"/>
    <x v="0"/>
    <x v="0"/>
  </r>
  <r>
    <x v="93"/>
    <n v="2"/>
    <n v="2"/>
    <n v="6"/>
    <n v="179.7"/>
    <x v="0"/>
    <x v="0"/>
    <x v="1"/>
  </r>
  <r>
    <x v="94"/>
    <n v="2"/>
    <n v="2"/>
    <n v="4"/>
    <n v="119.8"/>
    <x v="0"/>
    <x v="0"/>
    <x v="1"/>
  </r>
  <r>
    <x v="95"/>
    <n v="2"/>
    <n v="4"/>
    <n v="64"/>
    <n v="1916.8"/>
    <x v="0"/>
    <x v="0"/>
    <x v="0"/>
  </r>
  <r>
    <x v="96"/>
    <n v="2"/>
    <n v="4"/>
    <n v="101"/>
    <n v="3024.95"/>
    <x v="0"/>
    <x v="0"/>
    <x v="0"/>
  </r>
  <r>
    <x v="97"/>
    <n v="2"/>
    <n v="3"/>
    <n v="1"/>
    <n v="29.95"/>
    <x v="0"/>
    <x v="0"/>
    <x v="0"/>
  </r>
  <r>
    <x v="98"/>
    <n v="2"/>
    <n v="4"/>
    <n v="78"/>
    <n v="2336.1"/>
    <x v="0"/>
    <x v="0"/>
    <x v="0"/>
  </r>
  <r>
    <x v="99"/>
    <n v="2"/>
    <n v="4"/>
    <n v="1"/>
    <n v="29.95"/>
    <x v="0"/>
    <x v="0"/>
    <x v="0"/>
  </r>
  <r>
    <x v="100"/>
    <n v="2"/>
    <n v="4"/>
    <n v="6"/>
    <n v="179.7"/>
    <x v="0"/>
    <x v="0"/>
    <x v="0"/>
  </r>
  <r>
    <x v="101"/>
    <n v="2"/>
    <n v="2"/>
    <n v="101"/>
    <n v="3024.95"/>
    <x v="0"/>
    <x v="0"/>
    <x v="1"/>
  </r>
  <r>
    <x v="102"/>
    <n v="4"/>
    <n v="2"/>
    <n v="101"/>
    <n v="2418.9499999999998"/>
    <x v="1"/>
    <x v="1"/>
    <x v="1"/>
  </r>
  <r>
    <x v="103"/>
    <n v="4"/>
    <n v="4"/>
    <n v="6"/>
    <n v="143.69999999999999"/>
    <x v="1"/>
    <x v="1"/>
    <x v="0"/>
  </r>
  <r>
    <x v="104"/>
    <n v="2"/>
    <n v="2"/>
    <n v="6"/>
    <n v="179.7"/>
    <x v="0"/>
    <x v="0"/>
    <x v="1"/>
  </r>
  <r>
    <x v="105"/>
    <n v="2"/>
    <n v="2"/>
    <n v="1"/>
    <n v="29.95"/>
    <x v="0"/>
    <x v="0"/>
    <x v="1"/>
  </r>
  <r>
    <x v="106"/>
    <n v="2"/>
    <n v="2"/>
    <n v="284"/>
    <n v="8505.7999999999993"/>
    <x v="0"/>
    <x v="0"/>
    <x v="1"/>
  </r>
  <r>
    <x v="74"/>
    <n v="2"/>
    <n v="4"/>
    <n v="6"/>
    <n v="179.7"/>
    <x v="0"/>
    <x v="0"/>
    <x v="0"/>
  </r>
  <r>
    <x v="107"/>
    <n v="2"/>
    <n v="4"/>
    <n v="4"/>
    <n v="119.8"/>
    <x v="0"/>
    <x v="0"/>
    <x v="0"/>
  </r>
  <r>
    <x v="108"/>
    <n v="2"/>
    <n v="2"/>
    <n v="176"/>
    <n v="5271.2"/>
    <x v="0"/>
    <x v="0"/>
    <x v="1"/>
  </r>
  <r>
    <x v="109"/>
    <n v="4"/>
    <n v="2"/>
    <n v="84"/>
    <n v="2011.8"/>
    <x v="1"/>
    <x v="1"/>
    <x v="1"/>
  </r>
  <r>
    <x v="110"/>
    <n v="1"/>
    <n v="4"/>
    <n v="103"/>
    <n v="4526.8500000000004"/>
    <x v="2"/>
    <x v="0"/>
    <x v="0"/>
  </r>
  <r>
    <x v="111"/>
    <n v="1"/>
    <n v="2"/>
    <n v="247"/>
    <n v="10855.650000000001"/>
    <x v="2"/>
    <x v="0"/>
    <x v="1"/>
  </r>
  <r>
    <x v="112"/>
    <n v="2"/>
    <n v="2"/>
    <n v="76"/>
    <n v="2276.1999999999998"/>
    <x v="0"/>
    <x v="0"/>
    <x v="1"/>
  </r>
  <r>
    <x v="113"/>
    <n v="4"/>
    <n v="4"/>
    <n v="131"/>
    <n v="3137.45"/>
    <x v="1"/>
    <x v="1"/>
    <x v="0"/>
  </r>
  <r>
    <x v="114"/>
    <n v="2"/>
    <n v="4"/>
    <n v="118"/>
    <n v="3534.1"/>
    <x v="0"/>
    <x v="0"/>
    <x v="0"/>
  </r>
  <r>
    <x v="115"/>
    <n v="2"/>
    <n v="1"/>
    <n v="4"/>
    <n v="119.8"/>
    <x v="0"/>
    <x v="0"/>
    <x v="1"/>
  </r>
  <r>
    <x v="116"/>
    <n v="2"/>
    <n v="4"/>
    <n v="69"/>
    <n v="2066.5499999999997"/>
    <x v="0"/>
    <x v="0"/>
    <x v="0"/>
  </r>
  <r>
    <x v="117"/>
    <n v="4"/>
    <n v="4"/>
    <n v="5"/>
    <n v="119.75"/>
    <x v="1"/>
    <x v="1"/>
    <x v="0"/>
  </r>
  <r>
    <x v="118"/>
    <n v="2"/>
    <n v="4"/>
    <n v="247"/>
    <n v="7397.65"/>
    <x v="0"/>
    <x v="0"/>
    <x v="0"/>
  </r>
  <r>
    <x v="119"/>
    <n v="2"/>
    <n v="2"/>
    <n v="71"/>
    <n v="2126.4499999999998"/>
    <x v="0"/>
    <x v="0"/>
    <x v="1"/>
  </r>
  <r>
    <x v="120"/>
    <n v="2"/>
    <n v="1"/>
    <n v="96"/>
    <n v="2875.2"/>
    <x v="0"/>
    <x v="0"/>
    <x v="1"/>
  </r>
  <r>
    <x v="121"/>
    <n v="4"/>
    <n v="4"/>
    <n v="76"/>
    <n v="1820.2"/>
    <x v="1"/>
    <x v="1"/>
    <x v="0"/>
  </r>
  <r>
    <x v="122"/>
    <n v="4"/>
    <n v="4"/>
    <n v="81"/>
    <n v="1939.95"/>
    <x v="1"/>
    <x v="1"/>
    <x v="0"/>
  </r>
  <r>
    <x v="123"/>
    <n v="2"/>
    <n v="2"/>
    <n v="106"/>
    <n v="3174.7"/>
    <x v="0"/>
    <x v="0"/>
    <x v="1"/>
  </r>
  <r>
    <x v="124"/>
    <n v="3"/>
    <n v="3"/>
    <n v="246"/>
    <n v="6383.7"/>
    <x v="3"/>
    <x v="1"/>
    <x v="0"/>
  </r>
  <r>
    <x v="125"/>
    <n v="2"/>
    <n v="2"/>
    <n v="138"/>
    <n v="4133.0999999999995"/>
    <x v="0"/>
    <x v="0"/>
    <x v="1"/>
  </r>
  <r>
    <x v="126"/>
    <n v="3"/>
    <n v="2"/>
    <n v="106"/>
    <n v="2750.7"/>
    <x v="3"/>
    <x v="1"/>
    <x v="1"/>
  </r>
  <r>
    <x v="127"/>
    <n v="2"/>
    <n v="4"/>
    <n v="97"/>
    <n v="2905.15"/>
    <x v="0"/>
    <x v="0"/>
    <x v="0"/>
  </r>
  <r>
    <x v="2"/>
    <n v="3"/>
    <n v="4"/>
    <n v="210"/>
    <n v="5449.5"/>
    <x v="3"/>
    <x v="1"/>
    <x v="0"/>
  </r>
  <r>
    <x v="128"/>
    <n v="3"/>
    <n v="4"/>
    <n v="101"/>
    <n v="2620.9499999999998"/>
    <x v="3"/>
    <x v="1"/>
    <x v="0"/>
  </r>
  <r>
    <x v="115"/>
    <n v="1"/>
    <n v="4"/>
    <n v="70"/>
    <n v="3076.5"/>
    <x v="2"/>
    <x v="0"/>
    <x v="0"/>
  </r>
  <r>
    <x v="129"/>
    <n v="4"/>
    <n v="2"/>
    <n v="264"/>
    <n v="6322.8"/>
    <x v="1"/>
    <x v="1"/>
    <x v="1"/>
  </r>
  <r>
    <x v="130"/>
    <n v="2"/>
    <n v="3"/>
    <n v="107"/>
    <n v="3204.65"/>
    <x v="0"/>
    <x v="0"/>
    <x v="0"/>
  </r>
  <r>
    <x v="131"/>
    <n v="3"/>
    <n v="4"/>
    <n v="71"/>
    <n v="1842.45"/>
    <x v="3"/>
    <x v="1"/>
    <x v="0"/>
  </r>
  <r>
    <x v="132"/>
    <n v="2"/>
    <n v="2"/>
    <n v="275"/>
    <n v="8236.25"/>
    <x v="0"/>
    <x v="0"/>
    <x v="1"/>
  </r>
  <r>
    <x v="133"/>
    <n v="1"/>
    <n v="4"/>
    <n v="83"/>
    <n v="3647.8500000000004"/>
    <x v="2"/>
    <x v="0"/>
    <x v="0"/>
  </r>
  <r>
    <x v="134"/>
    <n v="2"/>
    <n v="1"/>
    <n v="63"/>
    <n v="1886.85"/>
    <x v="0"/>
    <x v="0"/>
    <x v="1"/>
  </r>
  <r>
    <x v="135"/>
    <n v="1"/>
    <n v="2"/>
    <n v="3"/>
    <n v="131.85000000000002"/>
    <x v="2"/>
    <x v="0"/>
    <x v="1"/>
  </r>
  <r>
    <x v="136"/>
    <n v="4"/>
    <n v="4"/>
    <n v="93"/>
    <n v="2227.35"/>
    <x v="1"/>
    <x v="1"/>
    <x v="0"/>
  </r>
  <r>
    <x v="33"/>
    <n v="2"/>
    <n v="4"/>
    <n v="289"/>
    <n v="8655.5499999999993"/>
    <x v="0"/>
    <x v="0"/>
    <x v="0"/>
  </r>
  <r>
    <x v="137"/>
    <n v="1"/>
    <n v="4"/>
    <n v="4"/>
    <n v="175.8"/>
    <x v="2"/>
    <x v="0"/>
    <x v="0"/>
  </r>
  <r>
    <x v="138"/>
    <n v="2"/>
    <n v="2"/>
    <n v="78"/>
    <n v="2336.1"/>
    <x v="0"/>
    <x v="0"/>
    <x v="1"/>
  </r>
  <r>
    <x v="139"/>
    <n v="4"/>
    <n v="4"/>
    <n v="155"/>
    <n v="3712.25"/>
    <x v="1"/>
    <x v="1"/>
    <x v="0"/>
  </r>
  <r>
    <x v="118"/>
    <n v="2"/>
    <n v="4"/>
    <n v="247"/>
    <n v="7397.65"/>
    <x v="0"/>
    <x v="0"/>
    <x v="0"/>
  </r>
  <r>
    <x v="140"/>
    <n v="2"/>
    <n v="4"/>
    <n v="89"/>
    <n v="2665.5499999999997"/>
    <x v="0"/>
    <x v="0"/>
    <x v="0"/>
  </r>
  <r>
    <x v="48"/>
    <n v="2"/>
    <n v="4"/>
    <n v="88"/>
    <n v="2635.6"/>
    <x v="0"/>
    <x v="0"/>
    <x v="0"/>
  </r>
  <r>
    <x v="141"/>
    <n v="3"/>
    <n v="4"/>
    <n v="69"/>
    <n v="1790.55"/>
    <x v="3"/>
    <x v="1"/>
    <x v="0"/>
  </r>
  <r>
    <x v="142"/>
    <n v="4"/>
    <n v="2"/>
    <n v="230"/>
    <n v="5508.5"/>
    <x v="1"/>
    <x v="1"/>
    <x v="1"/>
  </r>
  <r>
    <x v="143"/>
    <n v="4"/>
    <n v="2"/>
    <n v="3"/>
    <n v="71.849999999999994"/>
    <x v="1"/>
    <x v="1"/>
    <x v="1"/>
  </r>
  <r>
    <x v="144"/>
    <n v="1"/>
    <n v="4"/>
    <n v="4"/>
    <n v="175.8"/>
    <x v="2"/>
    <x v="0"/>
    <x v="0"/>
  </r>
  <r>
    <x v="145"/>
    <n v="2"/>
    <n v="4"/>
    <n v="4"/>
    <n v="119.8"/>
    <x v="0"/>
    <x v="0"/>
    <x v="0"/>
  </r>
  <r>
    <x v="146"/>
    <n v="2"/>
    <n v="2"/>
    <n v="283"/>
    <n v="8475.85"/>
    <x v="0"/>
    <x v="0"/>
    <x v="1"/>
  </r>
  <r>
    <x v="147"/>
    <n v="2"/>
    <n v="4"/>
    <n v="3"/>
    <n v="89.85"/>
    <x v="0"/>
    <x v="0"/>
    <x v="0"/>
  </r>
  <r>
    <x v="148"/>
    <n v="2"/>
    <n v="4"/>
    <n v="91"/>
    <n v="2725.45"/>
    <x v="0"/>
    <x v="0"/>
    <x v="0"/>
  </r>
  <r>
    <x v="149"/>
    <n v="2"/>
    <n v="2"/>
    <n v="190"/>
    <n v="5690.5"/>
    <x v="0"/>
    <x v="0"/>
    <x v="1"/>
  </r>
  <r>
    <x v="150"/>
    <n v="1"/>
    <n v="2"/>
    <n v="101"/>
    <n v="4438.9500000000007"/>
    <x v="2"/>
    <x v="0"/>
    <x v="1"/>
  </r>
  <r>
    <x v="151"/>
    <n v="4"/>
    <n v="2"/>
    <n v="74"/>
    <n v="1772.3"/>
    <x v="1"/>
    <x v="1"/>
    <x v="1"/>
  </r>
  <r>
    <x v="23"/>
    <n v="2"/>
    <n v="4"/>
    <n v="84"/>
    <n v="2515.7999999999997"/>
    <x v="0"/>
    <x v="0"/>
    <x v="0"/>
  </r>
  <r>
    <x v="152"/>
    <n v="2"/>
    <n v="2"/>
    <n v="5"/>
    <n v="149.75"/>
    <x v="0"/>
    <x v="0"/>
    <x v="1"/>
  </r>
  <r>
    <x v="153"/>
    <n v="2"/>
    <n v="4"/>
    <n v="3"/>
    <n v="89.85"/>
    <x v="0"/>
    <x v="0"/>
    <x v="0"/>
  </r>
  <r>
    <x v="154"/>
    <n v="2"/>
    <n v="2"/>
    <n v="176"/>
    <n v="5271.2"/>
    <x v="0"/>
    <x v="0"/>
    <x v="1"/>
  </r>
  <r>
    <x v="155"/>
    <n v="2"/>
    <n v="2"/>
    <n v="71"/>
    <n v="2126.4499999999998"/>
    <x v="0"/>
    <x v="0"/>
    <x v="1"/>
  </r>
  <r>
    <x v="156"/>
    <n v="2"/>
    <n v="2"/>
    <n v="2"/>
    <n v="59.9"/>
    <x v="0"/>
    <x v="0"/>
    <x v="1"/>
  </r>
  <r>
    <x v="157"/>
    <n v="1"/>
    <n v="1"/>
    <n v="4"/>
    <n v="175.8"/>
    <x v="2"/>
    <x v="0"/>
    <x v="1"/>
  </r>
  <r>
    <x v="2"/>
    <n v="2"/>
    <n v="1"/>
    <n v="89"/>
    <n v="2665.5499999999997"/>
    <x v="0"/>
    <x v="0"/>
    <x v="1"/>
  </r>
  <r>
    <x v="158"/>
    <n v="3"/>
    <n v="3"/>
    <n v="150"/>
    <n v="3892.5"/>
    <x v="3"/>
    <x v="1"/>
    <x v="0"/>
  </r>
  <r>
    <x v="126"/>
    <n v="3"/>
    <n v="2"/>
    <n v="2"/>
    <n v="51.9"/>
    <x v="3"/>
    <x v="1"/>
    <x v="1"/>
  </r>
  <r>
    <x v="159"/>
    <n v="1"/>
    <n v="2"/>
    <n v="277"/>
    <n v="12174.150000000001"/>
    <x v="2"/>
    <x v="0"/>
    <x v="1"/>
  </r>
  <r>
    <x v="143"/>
    <n v="2"/>
    <n v="4"/>
    <n v="194"/>
    <n v="5810.3"/>
    <x v="0"/>
    <x v="0"/>
    <x v="0"/>
  </r>
  <r>
    <x v="160"/>
    <n v="2"/>
    <n v="2"/>
    <n v="112"/>
    <n v="3354.4"/>
    <x v="0"/>
    <x v="0"/>
    <x v="1"/>
  </r>
  <r>
    <x v="161"/>
    <n v="2"/>
    <n v="4"/>
    <n v="223"/>
    <n v="6678.8499999999995"/>
    <x v="0"/>
    <x v="0"/>
    <x v="0"/>
  </r>
  <r>
    <x v="162"/>
    <n v="4"/>
    <n v="3"/>
    <n v="28"/>
    <n v="670.6"/>
    <x v="1"/>
    <x v="1"/>
    <x v="0"/>
  </r>
  <r>
    <x v="163"/>
    <n v="2"/>
    <n v="4"/>
    <n v="89"/>
    <n v="2665.5499999999997"/>
    <x v="0"/>
    <x v="0"/>
    <x v="0"/>
  </r>
  <r>
    <x v="164"/>
    <n v="2"/>
    <n v="1"/>
    <n v="95"/>
    <n v="2845.25"/>
    <x v="0"/>
    <x v="0"/>
    <x v="1"/>
  </r>
  <r>
    <x v="165"/>
    <n v="2"/>
    <n v="2"/>
    <n v="141"/>
    <n v="4222.95"/>
    <x v="0"/>
    <x v="0"/>
    <x v="1"/>
  </r>
  <r>
    <x v="166"/>
    <n v="2"/>
    <n v="4"/>
    <n v="73"/>
    <n v="2186.35"/>
    <x v="0"/>
    <x v="0"/>
    <x v="0"/>
  </r>
  <r>
    <x v="167"/>
    <n v="2"/>
    <n v="4"/>
    <n v="5"/>
    <n v="149.75"/>
    <x v="0"/>
    <x v="0"/>
    <x v="0"/>
  </r>
  <r>
    <x v="163"/>
    <n v="1"/>
    <n v="2"/>
    <n v="83"/>
    <n v="3647.8500000000004"/>
    <x v="2"/>
    <x v="0"/>
    <x v="1"/>
  </r>
  <r>
    <x v="168"/>
    <n v="2"/>
    <n v="4"/>
    <n v="223"/>
    <n v="6678.8499999999995"/>
    <x v="0"/>
    <x v="0"/>
    <x v="0"/>
  </r>
  <r>
    <x v="169"/>
    <n v="2"/>
    <n v="4"/>
    <n v="87"/>
    <n v="2605.65"/>
    <x v="0"/>
    <x v="0"/>
    <x v="0"/>
  </r>
  <r>
    <x v="170"/>
    <n v="2"/>
    <n v="1"/>
    <n v="4"/>
    <n v="119.8"/>
    <x v="0"/>
    <x v="0"/>
    <x v="1"/>
  </r>
  <r>
    <x v="171"/>
    <n v="2"/>
    <n v="4"/>
    <n v="286"/>
    <n v="8565.6999999999989"/>
    <x v="0"/>
    <x v="0"/>
    <x v="0"/>
  </r>
  <r>
    <x v="172"/>
    <n v="1"/>
    <n v="2"/>
    <n v="86"/>
    <n v="3779.7000000000003"/>
    <x v="2"/>
    <x v="0"/>
    <x v="1"/>
  </r>
  <r>
    <x v="173"/>
    <n v="2"/>
    <n v="4"/>
    <n v="6"/>
    <n v="179.7"/>
    <x v="0"/>
    <x v="0"/>
    <x v="0"/>
  </r>
  <r>
    <x v="174"/>
    <n v="2"/>
    <n v="2"/>
    <n v="5"/>
    <n v="149.75"/>
    <x v="0"/>
    <x v="0"/>
    <x v="1"/>
  </r>
  <r>
    <x v="175"/>
    <n v="2"/>
    <n v="4"/>
    <n v="92"/>
    <n v="2755.4"/>
    <x v="0"/>
    <x v="0"/>
    <x v="0"/>
  </r>
  <r>
    <x v="176"/>
    <n v="2"/>
    <n v="2"/>
    <n v="4"/>
    <n v="119.8"/>
    <x v="0"/>
    <x v="0"/>
    <x v="1"/>
  </r>
  <r>
    <x v="177"/>
    <n v="2"/>
    <n v="2"/>
    <n v="6"/>
    <n v="179.7"/>
    <x v="0"/>
    <x v="0"/>
    <x v="1"/>
  </r>
  <r>
    <x v="178"/>
    <n v="3"/>
    <n v="4"/>
    <n v="4"/>
    <n v="103.8"/>
    <x v="3"/>
    <x v="1"/>
    <x v="0"/>
  </r>
  <r>
    <x v="179"/>
    <n v="1"/>
    <n v="1"/>
    <n v="185"/>
    <n v="8130.7500000000009"/>
    <x v="2"/>
    <x v="0"/>
    <x v="1"/>
  </r>
  <r>
    <x v="180"/>
    <n v="3"/>
    <n v="1"/>
    <n v="61"/>
    <n v="1582.95"/>
    <x v="3"/>
    <x v="1"/>
    <x v="1"/>
  </r>
  <r>
    <x v="181"/>
    <n v="3"/>
    <n v="2"/>
    <n v="98"/>
    <n v="2543.1"/>
    <x v="3"/>
    <x v="1"/>
    <x v="1"/>
  </r>
  <r>
    <x v="182"/>
    <n v="2"/>
    <n v="2"/>
    <n v="56"/>
    <n v="1677.2"/>
    <x v="0"/>
    <x v="0"/>
    <x v="1"/>
  </r>
  <r>
    <x v="183"/>
    <n v="1"/>
    <n v="4"/>
    <n v="108"/>
    <n v="4746.6000000000004"/>
    <x v="2"/>
    <x v="0"/>
    <x v="0"/>
  </r>
  <r>
    <x v="184"/>
    <n v="1"/>
    <n v="1"/>
    <n v="6"/>
    <n v="263.70000000000005"/>
    <x v="2"/>
    <x v="0"/>
    <x v="1"/>
  </r>
  <r>
    <x v="185"/>
    <n v="2"/>
    <n v="2"/>
    <n v="5"/>
    <n v="149.75"/>
    <x v="0"/>
    <x v="0"/>
    <x v="1"/>
  </r>
  <r>
    <x v="144"/>
    <n v="2"/>
    <n v="1"/>
    <n v="148"/>
    <n v="4432.5999999999995"/>
    <x v="0"/>
    <x v="0"/>
    <x v="1"/>
  </r>
  <r>
    <x v="186"/>
    <n v="2"/>
    <n v="2"/>
    <n v="251"/>
    <n v="7517.45"/>
    <x v="0"/>
    <x v="0"/>
    <x v="1"/>
  </r>
  <r>
    <x v="187"/>
    <n v="2"/>
    <n v="2"/>
    <n v="82"/>
    <n v="2455.9"/>
    <x v="0"/>
    <x v="0"/>
    <x v="1"/>
  </r>
  <r>
    <x v="188"/>
    <n v="2"/>
    <n v="4"/>
    <n v="100"/>
    <n v="2995"/>
    <x v="0"/>
    <x v="0"/>
    <x v="0"/>
  </r>
  <r>
    <x v="189"/>
    <n v="2"/>
    <n v="2"/>
    <n v="244"/>
    <n v="7307.8"/>
    <x v="0"/>
    <x v="0"/>
    <x v="1"/>
  </r>
  <r>
    <x v="190"/>
    <n v="2"/>
    <n v="4"/>
    <n v="3"/>
    <n v="89.85"/>
    <x v="0"/>
    <x v="0"/>
    <x v="0"/>
  </r>
  <r>
    <x v="191"/>
    <n v="2"/>
    <n v="4"/>
    <n v="1"/>
    <n v="29.95"/>
    <x v="0"/>
    <x v="0"/>
    <x v="0"/>
  </r>
  <r>
    <x v="38"/>
    <n v="2"/>
    <n v="4"/>
    <n v="2"/>
    <n v="59.9"/>
    <x v="0"/>
    <x v="0"/>
    <x v="0"/>
  </r>
  <r>
    <x v="192"/>
    <n v="3"/>
    <n v="4"/>
    <n v="209"/>
    <n v="5423.55"/>
    <x v="3"/>
    <x v="1"/>
    <x v="0"/>
  </r>
  <r>
    <x v="193"/>
    <n v="2"/>
    <n v="2"/>
    <n v="100"/>
    <n v="2995"/>
    <x v="0"/>
    <x v="0"/>
    <x v="1"/>
  </r>
  <r>
    <x v="194"/>
    <n v="2"/>
    <n v="3"/>
    <n v="2"/>
    <n v="59.9"/>
    <x v="0"/>
    <x v="0"/>
    <x v="0"/>
  </r>
  <r>
    <x v="195"/>
    <n v="1"/>
    <n v="1"/>
    <n v="83"/>
    <n v="3647.8500000000004"/>
    <x v="2"/>
    <x v="0"/>
    <x v="1"/>
  </r>
  <r>
    <x v="196"/>
    <n v="2"/>
    <n v="2"/>
    <n v="210"/>
    <n v="6289.5"/>
    <x v="0"/>
    <x v="0"/>
    <x v="1"/>
  </r>
  <r>
    <x v="197"/>
    <n v="2"/>
    <n v="2"/>
    <n v="5"/>
    <n v="149.75"/>
    <x v="0"/>
    <x v="0"/>
    <x v="1"/>
  </r>
  <r>
    <x v="198"/>
    <n v="3"/>
    <n v="3"/>
    <n v="91"/>
    <n v="2361.4499999999998"/>
    <x v="3"/>
    <x v="1"/>
    <x v="0"/>
  </r>
  <r>
    <x v="199"/>
    <n v="3"/>
    <n v="4"/>
    <n v="2"/>
    <n v="51.9"/>
    <x v="3"/>
    <x v="1"/>
    <x v="0"/>
  </r>
  <r>
    <x v="200"/>
    <n v="2"/>
    <n v="2"/>
    <n v="56"/>
    <n v="1677.2"/>
    <x v="0"/>
    <x v="0"/>
    <x v="1"/>
  </r>
  <r>
    <x v="201"/>
    <n v="2"/>
    <n v="2"/>
    <n v="4"/>
    <n v="119.8"/>
    <x v="0"/>
    <x v="0"/>
    <x v="1"/>
  </r>
  <r>
    <x v="202"/>
    <n v="2"/>
    <n v="2"/>
    <n v="2"/>
    <n v="59.9"/>
    <x v="0"/>
    <x v="0"/>
    <x v="1"/>
  </r>
  <r>
    <x v="203"/>
    <n v="3"/>
    <n v="2"/>
    <n v="18"/>
    <n v="467.09999999999997"/>
    <x v="3"/>
    <x v="1"/>
    <x v="1"/>
  </r>
  <r>
    <x v="194"/>
    <n v="2"/>
    <n v="4"/>
    <n v="266"/>
    <n v="7966.7"/>
    <x v="0"/>
    <x v="0"/>
    <x v="0"/>
  </r>
  <r>
    <x v="103"/>
    <n v="2"/>
    <n v="4"/>
    <n v="78"/>
    <n v="2336.1"/>
    <x v="0"/>
    <x v="0"/>
    <x v="0"/>
  </r>
  <r>
    <x v="204"/>
    <n v="2"/>
    <n v="2"/>
    <n v="100"/>
    <n v="2995"/>
    <x v="0"/>
    <x v="0"/>
    <x v="1"/>
  </r>
  <r>
    <x v="67"/>
    <n v="3"/>
    <n v="2"/>
    <n v="2"/>
    <n v="51.9"/>
    <x v="3"/>
    <x v="1"/>
    <x v="1"/>
  </r>
  <r>
    <x v="205"/>
    <n v="1"/>
    <n v="2"/>
    <n v="101"/>
    <n v="4438.9500000000007"/>
    <x v="2"/>
    <x v="0"/>
    <x v="1"/>
  </r>
  <r>
    <x v="60"/>
    <n v="2"/>
    <n v="4"/>
    <n v="115"/>
    <n v="3444.25"/>
    <x v="0"/>
    <x v="0"/>
    <x v="0"/>
  </r>
  <r>
    <x v="206"/>
    <n v="4"/>
    <n v="2"/>
    <n v="292"/>
    <n v="6993.4"/>
    <x v="1"/>
    <x v="1"/>
    <x v="1"/>
  </r>
  <r>
    <x v="207"/>
    <n v="4"/>
    <n v="2"/>
    <n v="31"/>
    <n v="742.44999999999993"/>
    <x v="1"/>
    <x v="1"/>
    <x v="1"/>
  </r>
  <r>
    <x v="208"/>
    <n v="2"/>
    <n v="3"/>
    <n v="73"/>
    <n v="2186.35"/>
    <x v="0"/>
    <x v="0"/>
    <x v="0"/>
  </r>
  <r>
    <x v="20"/>
    <n v="3"/>
    <n v="4"/>
    <n v="1"/>
    <n v="25.95"/>
    <x v="3"/>
    <x v="1"/>
    <x v="0"/>
  </r>
  <r>
    <x v="205"/>
    <n v="2"/>
    <n v="2"/>
    <n v="89"/>
    <n v="2665.5499999999997"/>
    <x v="0"/>
    <x v="0"/>
    <x v="1"/>
  </r>
  <r>
    <x v="209"/>
    <n v="2"/>
    <n v="2"/>
    <n v="209"/>
    <n v="6259.55"/>
    <x v="0"/>
    <x v="0"/>
    <x v="1"/>
  </r>
  <r>
    <x v="210"/>
    <n v="2"/>
    <n v="2"/>
    <n v="90"/>
    <n v="2695.5"/>
    <x v="0"/>
    <x v="0"/>
    <x v="1"/>
  </r>
  <r>
    <x v="211"/>
    <n v="2"/>
    <n v="2"/>
    <n v="75"/>
    <n v="2246.25"/>
    <x v="0"/>
    <x v="0"/>
    <x v="1"/>
  </r>
  <r>
    <x v="212"/>
    <n v="2"/>
    <n v="4"/>
    <n v="2"/>
    <n v="59.9"/>
    <x v="0"/>
    <x v="0"/>
    <x v="0"/>
  </r>
  <r>
    <x v="119"/>
    <n v="1"/>
    <n v="2"/>
    <n v="200"/>
    <n v="8790"/>
    <x v="2"/>
    <x v="0"/>
    <x v="1"/>
  </r>
  <r>
    <x v="168"/>
    <n v="4"/>
    <n v="4"/>
    <n v="18"/>
    <n v="431.09999999999997"/>
    <x v="1"/>
    <x v="1"/>
    <x v="0"/>
  </r>
  <r>
    <x v="213"/>
    <n v="2"/>
    <n v="3"/>
    <n v="63"/>
    <n v="1886.85"/>
    <x v="0"/>
    <x v="0"/>
    <x v="0"/>
  </r>
  <r>
    <x v="214"/>
    <n v="4"/>
    <n v="1"/>
    <n v="6"/>
    <n v="143.69999999999999"/>
    <x v="1"/>
    <x v="1"/>
    <x v="1"/>
  </r>
  <r>
    <x v="215"/>
    <n v="3"/>
    <n v="2"/>
    <n v="89"/>
    <n v="2309.5499999999997"/>
    <x v="3"/>
    <x v="1"/>
    <x v="1"/>
  </r>
  <r>
    <x v="216"/>
    <n v="2"/>
    <n v="2"/>
    <n v="280"/>
    <n v="8386"/>
    <x v="0"/>
    <x v="0"/>
    <x v="1"/>
  </r>
  <r>
    <x v="217"/>
    <n v="2"/>
    <n v="2"/>
    <n v="264"/>
    <n v="7906.8"/>
    <x v="0"/>
    <x v="0"/>
    <x v="1"/>
  </r>
  <r>
    <x v="218"/>
    <n v="2"/>
    <n v="4"/>
    <n v="4"/>
    <n v="119.8"/>
    <x v="0"/>
    <x v="0"/>
    <x v="0"/>
  </r>
  <r>
    <x v="219"/>
    <n v="2"/>
    <n v="2"/>
    <n v="3"/>
    <n v="89.85"/>
    <x v="0"/>
    <x v="0"/>
    <x v="1"/>
  </r>
  <r>
    <x v="131"/>
    <n v="2"/>
    <n v="4"/>
    <n v="4"/>
    <n v="119.8"/>
    <x v="0"/>
    <x v="0"/>
    <x v="0"/>
  </r>
  <r>
    <x v="53"/>
    <n v="2"/>
    <n v="2"/>
    <n v="1"/>
    <n v="29.95"/>
    <x v="0"/>
    <x v="0"/>
    <x v="1"/>
  </r>
  <r>
    <x v="220"/>
    <n v="1"/>
    <n v="4"/>
    <n v="1"/>
    <n v="43.95"/>
    <x v="2"/>
    <x v="0"/>
    <x v="0"/>
  </r>
  <r>
    <x v="221"/>
    <n v="1"/>
    <n v="4"/>
    <n v="5"/>
    <n v="219.75"/>
    <x v="2"/>
    <x v="0"/>
    <x v="0"/>
  </r>
  <r>
    <x v="222"/>
    <n v="3"/>
    <n v="4"/>
    <n v="224"/>
    <n v="5812.8"/>
    <x v="3"/>
    <x v="1"/>
    <x v="0"/>
  </r>
  <r>
    <x v="223"/>
    <n v="2"/>
    <n v="2"/>
    <n v="5"/>
    <n v="149.75"/>
    <x v="0"/>
    <x v="0"/>
    <x v="1"/>
  </r>
  <r>
    <x v="224"/>
    <n v="3"/>
    <n v="3"/>
    <n v="4"/>
    <n v="103.8"/>
    <x v="3"/>
    <x v="1"/>
    <x v="0"/>
  </r>
  <r>
    <x v="225"/>
    <n v="3"/>
    <n v="4"/>
    <n v="4"/>
    <n v="103.8"/>
    <x v="3"/>
    <x v="1"/>
    <x v="0"/>
  </r>
  <r>
    <x v="226"/>
    <n v="2"/>
    <n v="2"/>
    <n v="168"/>
    <n v="5031.5999999999995"/>
    <x v="0"/>
    <x v="0"/>
    <x v="1"/>
  </r>
  <r>
    <x v="15"/>
    <n v="2"/>
    <n v="4"/>
    <n v="64"/>
    <n v="1916.8"/>
    <x v="0"/>
    <x v="0"/>
    <x v="0"/>
  </r>
  <r>
    <x v="227"/>
    <n v="2"/>
    <n v="2"/>
    <n v="3"/>
    <n v="89.85"/>
    <x v="0"/>
    <x v="0"/>
    <x v="1"/>
  </r>
  <r>
    <x v="228"/>
    <n v="3"/>
    <n v="3"/>
    <n v="79"/>
    <n v="2050.0499999999997"/>
    <x v="3"/>
    <x v="1"/>
    <x v="0"/>
  </r>
  <r>
    <x v="229"/>
    <n v="2"/>
    <n v="2"/>
    <n v="4"/>
    <n v="119.8"/>
    <x v="0"/>
    <x v="0"/>
    <x v="1"/>
  </r>
  <r>
    <x v="230"/>
    <n v="4"/>
    <n v="3"/>
    <n v="147"/>
    <n v="3520.65"/>
    <x v="1"/>
    <x v="1"/>
    <x v="0"/>
  </r>
  <r>
    <x v="42"/>
    <n v="2"/>
    <n v="3"/>
    <n v="107"/>
    <n v="3204.65"/>
    <x v="0"/>
    <x v="0"/>
    <x v="0"/>
  </r>
  <r>
    <x v="231"/>
    <n v="1"/>
    <n v="3"/>
    <n v="99"/>
    <n v="4351.05"/>
    <x v="2"/>
    <x v="0"/>
    <x v="0"/>
  </r>
  <r>
    <x v="232"/>
    <n v="1"/>
    <n v="2"/>
    <n v="3"/>
    <n v="131.85000000000002"/>
    <x v="2"/>
    <x v="0"/>
    <x v="1"/>
  </r>
  <r>
    <x v="200"/>
    <n v="2"/>
    <n v="2"/>
    <n v="109"/>
    <n v="3264.5499999999997"/>
    <x v="0"/>
    <x v="0"/>
    <x v="1"/>
  </r>
  <r>
    <x v="233"/>
    <n v="1"/>
    <n v="2"/>
    <n v="97"/>
    <n v="4263.1500000000005"/>
    <x v="2"/>
    <x v="0"/>
    <x v="1"/>
  </r>
  <r>
    <x v="234"/>
    <n v="2"/>
    <n v="4"/>
    <n v="100"/>
    <n v="2995"/>
    <x v="0"/>
    <x v="0"/>
    <x v="0"/>
  </r>
  <r>
    <x v="204"/>
    <n v="2"/>
    <n v="2"/>
    <n v="2"/>
    <n v="59.9"/>
    <x v="0"/>
    <x v="0"/>
    <x v="1"/>
  </r>
  <r>
    <x v="55"/>
    <n v="2"/>
    <n v="2"/>
    <n v="6"/>
    <n v="179.7"/>
    <x v="0"/>
    <x v="0"/>
    <x v="1"/>
  </r>
  <r>
    <x v="235"/>
    <n v="2"/>
    <n v="2"/>
    <n v="61"/>
    <n v="1826.95"/>
    <x v="0"/>
    <x v="0"/>
    <x v="1"/>
  </r>
  <r>
    <x v="236"/>
    <n v="3"/>
    <n v="2"/>
    <n v="104"/>
    <n v="2698.7999999999997"/>
    <x v="3"/>
    <x v="1"/>
    <x v="1"/>
  </r>
  <r>
    <x v="56"/>
    <n v="2"/>
    <n v="2"/>
    <n v="280"/>
    <n v="8386"/>
    <x v="0"/>
    <x v="0"/>
    <x v="1"/>
  </r>
  <r>
    <x v="237"/>
    <n v="3"/>
    <n v="2"/>
    <n v="48"/>
    <n v="1245.5999999999999"/>
    <x v="3"/>
    <x v="1"/>
    <x v="1"/>
  </r>
  <r>
    <x v="238"/>
    <n v="1"/>
    <n v="2"/>
    <n v="6"/>
    <n v="263.70000000000005"/>
    <x v="2"/>
    <x v="0"/>
    <x v="1"/>
  </r>
  <r>
    <x v="239"/>
    <n v="2"/>
    <n v="2"/>
    <n v="3"/>
    <n v="89.85"/>
    <x v="0"/>
    <x v="0"/>
    <x v="1"/>
  </r>
  <r>
    <x v="240"/>
    <n v="1"/>
    <n v="4"/>
    <n v="94"/>
    <n v="4131.3"/>
    <x v="2"/>
    <x v="0"/>
    <x v="0"/>
  </r>
  <r>
    <x v="159"/>
    <n v="2"/>
    <n v="1"/>
    <n v="1"/>
    <n v="29.95"/>
    <x v="0"/>
    <x v="0"/>
    <x v="1"/>
  </r>
  <r>
    <x v="241"/>
    <n v="3"/>
    <n v="2"/>
    <n v="144"/>
    <n v="3736.7999999999997"/>
    <x v="3"/>
    <x v="1"/>
    <x v="1"/>
  </r>
  <r>
    <x v="143"/>
    <n v="2"/>
    <n v="1"/>
    <n v="3"/>
    <n v="89.85"/>
    <x v="0"/>
    <x v="0"/>
    <x v="1"/>
  </r>
  <r>
    <x v="242"/>
    <n v="2"/>
    <n v="4"/>
    <n v="183"/>
    <n v="5480.8499999999995"/>
    <x v="0"/>
    <x v="0"/>
    <x v="0"/>
  </r>
  <r>
    <x v="243"/>
    <n v="4"/>
    <n v="2"/>
    <n v="6"/>
    <n v="143.69999999999999"/>
    <x v="1"/>
    <x v="1"/>
    <x v="1"/>
  </r>
  <r>
    <x v="187"/>
    <n v="4"/>
    <n v="1"/>
    <n v="5"/>
    <n v="119.75"/>
    <x v="1"/>
    <x v="1"/>
    <x v="1"/>
  </r>
  <r>
    <x v="244"/>
    <n v="2"/>
    <n v="1"/>
    <n v="3"/>
    <n v="89.85"/>
    <x v="0"/>
    <x v="0"/>
    <x v="1"/>
  </r>
  <r>
    <x v="221"/>
    <n v="1"/>
    <n v="1"/>
    <n v="58"/>
    <n v="2549.1000000000004"/>
    <x v="2"/>
    <x v="0"/>
    <x v="1"/>
  </r>
  <r>
    <x v="245"/>
    <n v="1"/>
    <n v="4"/>
    <n v="97"/>
    <n v="4263.1500000000005"/>
    <x v="2"/>
    <x v="0"/>
    <x v="0"/>
  </r>
  <r>
    <x v="101"/>
    <n v="2"/>
    <n v="2"/>
    <n v="105"/>
    <n v="3144.75"/>
    <x v="0"/>
    <x v="0"/>
    <x v="1"/>
  </r>
  <r>
    <x v="246"/>
    <n v="3"/>
    <n v="4"/>
    <n v="5"/>
    <n v="129.75"/>
    <x v="3"/>
    <x v="1"/>
    <x v="0"/>
  </r>
  <r>
    <x v="172"/>
    <n v="2"/>
    <n v="4"/>
    <n v="57"/>
    <n v="1707.1499999999999"/>
    <x v="0"/>
    <x v="0"/>
    <x v="0"/>
  </r>
  <r>
    <x v="247"/>
    <n v="1"/>
    <n v="2"/>
    <n v="120"/>
    <n v="5274"/>
    <x v="2"/>
    <x v="0"/>
    <x v="1"/>
  </r>
  <r>
    <x v="47"/>
    <n v="2"/>
    <n v="1"/>
    <n v="5"/>
    <n v="149.75"/>
    <x v="0"/>
    <x v="0"/>
    <x v="1"/>
  </r>
  <r>
    <x v="248"/>
    <n v="2"/>
    <n v="2"/>
    <n v="3"/>
    <n v="89.85"/>
    <x v="0"/>
    <x v="0"/>
    <x v="1"/>
  </r>
  <r>
    <x v="223"/>
    <n v="1"/>
    <n v="4"/>
    <n v="107"/>
    <n v="4702.6500000000005"/>
    <x v="2"/>
    <x v="0"/>
    <x v="0"/>
  </r>
  <r>
    <x v="249"/>
    <n v="2"/>
    <n v="2"/>
    <n v="1"/>
    <n v="29.95"/>
    <x v="0"/>
    <x v="0"/>
    <x v="1"/>
  </r>
  <r>
    <x v="250"/>
    <n v="2"/>
    <n v="4"/>
    <n v="106"/>
    <n v="3174.7"/>
    <x v="0"/>
    <x v="0"/>
    <x v="0"/>
  </r>
  <r>
    <x v="218"/>
    <n v="2"/>
    <n v="4"/>
    <n v="1"/>
    <n v="29.95"/>
    <x v="0"/>
    <x v="0"/>
    <x v="0"/>
  </r>
  <r>
    <x v="235"/>
    <n v="2"/>
    <n v="2"/>
    <n v="263"/>
    <n v="7876.8499999999995"/>
    <x v="0"/>
    <x v="0"/>
    <x v="1"/>
  </r>
  <r>
    <x v="251"/>
    <n v="2"/>
    <n v="2"/>
    <n v="4"/>
    <n v="119.8"/>
    <x v="0"/>
    <x v="0"/>
    <x v="1"/>
  </r>
  <r>
    <x v="252"/>
    <n v="2"/>
    <n v="2"/>
    <n v="82"/>
    <n v="2455.9"/>
    <x v="0"/>
    <x v="0"/>
    <x v="1"/>
  </r>
  <r>
    <x v="253"/>
    <n v="2"/>
    <n v="3"/>
    <n v="3"/>
    <n v="89.85"/>
    <x v="0"/>
    <x v="0"/>
    <x v="0"/>
  </r>
  <r>
    <x v="243"/>
    <n v="2"/>
    <n v="2"/>
    <n v="127"/>
    <n v="3803.65"/>
    <x v="0"/>
    <x v="0"/>
    <x v="1"/>
  </r>
  <r>
    <x v="108"/>
    <n v="4"/>
    <n v="3"/>
    <n v="46"/>
    <n v="1101.7"/>
    <x v="1"/>
    <x v="1"/>
    <x v="0"/>
  </r>
  <r>
    <x v="254"/>
    <n v="2"/>
    <n v="3"/>
    <n v="105"/>
    <n v="3144.75"/>
    <x v="0"/>
    <x v="0"/>
    <x v="0"/>
  </r>
  <r>
    <x v="255"/>
    <n v="1"/>
    <n v="2"/>
    <n v="8"/>
    <n v="351.6"/>
    <x v="2"/>
    <x v="0"/>
    <x v="1"/>
  </r>
  <r>
    <x v="243"/>
    <n v="1"/>
    <n v="4"/>
    <n v="168"/>
    <n v="7383.6"/>
    <x v="2"/>
    <x v="0"/>
    <x v="0"/>
  </r>
  <r>
    <x v="173"/>
    <n v="2"/>
    <n v="2"/>
    <n v="3"/>
    <n v="89.85"/>
    <x v="0"/>
    <x v="0"/>
    <x v="1"/>
  </r>
  <r>
    <x v="256"/>
    <n v="2"/>
    <n v="2"/>
    <n v="92"/>
    <n v="2755.4"/>
    <x v="0"/>
    <x v="0"/>
    <x v="1"/>
  </r>
  <r>
    <x v="257"/>
    <n v="4"/>
    <n v="4"/>
    <n v="4"/>
    <n v="95.8"/>
    <x v="1"/>
    <x v="1"/>
    <x v="0"/>
  </r>
  <r>
    <x v="116"/>
    <n v="2"/>
    <n v="2"/>
    <n v="90"/>
    <n v="2695.5"/>
    <x v="0"/>
    <x v="0"/>
    <x v="1"/>
  </r>
  <r>
    <x v="258"/>
    <n v="2"/>
    <n v="4"/>
    <n v="233"/>
    <n v="6978.3499999999995"/>
    <x v="0"/>
    <x v="0"/>
    <x v="0"/>
  </r>
  <r>
    <x v="259"/>
    <n v="2"/>
    <n v="4"/>
    <n v="253"/>
    <n v="7577.3499999999995"/>
    <x v="0"/>
    <x v="0"/>
    <x v="0"/>
  </r>
  <r>
    <x v="260"/>
    <n v="2"/>
    <n v="3"/>
    <n v="101"/>
    <n v="3024.95"/>
    <x v="0"/>
    <x v="0"/>
    <x v="0"/>
  </r>
  <r>
    <x v="171"/>
    <n v="2"/>
    <n v="2"/>
    <n v="247"/>
    <n v="7397.65"/>
    <x v="0"/>
    <x v="0"/>
    <x v="1"/>
  </r>
  <r>
    <x v="109"/>
    <n v="2"/>
    <n v="3"/>
    <n v="75"/>
    <n v="2246.25"/>
    <x v="0"/>
    <x v="0"/>
    <x v="0"/>
  </r>
  <r>
    <x v="261"/>
    <n v="2"/>
    <n v="4"/>
    <n v="111"/>
    <n v="3324.45"/>
    <x v="0"/>
    <x v="0"/>
    <x v="0"/>
  </r>
  <r>
    <x v="262"/>
    <n v="3"/>
    <n v="4"/>
    <n v="93"/>
    <n v="2413.35"/>
    <x v="3"/>
    <x v="1"/>
    <x v="0"/>
  </r>
  <r>
    <x v="263"/>
    <n v="2"/>
    <n v="2"/>
    <n v="3"/>
    <n v="89.85"/>
    <x v="0"/>
    <x v="0"/>
    <x v="1"/>
  </r>
  <r>
    <x v="133"/>
    <n v="2"/>
    <n v="4"/>
    <n v="137"/>
    <n v="4103.1499999999996"/>
    <x v="0"/>
    <x v="0"/>
    <x v="0"/>
  </r>
  <r>
    <x v="255"/>
    <n v="1"/>
    <n v="2"/>
    <n v="3"/>
    <n v="131.85000000000002"/>
    <x v="2"/>
    <x v="0"/>
    <x v="1"/>
  </r>
  <r>
    <x v="264"/>
    <n v="3"/>
    <n v="2"/>
    <n v="3"/>
    <n v="77.849999999999994"/>
    <x v="3"/>
    <x v="1"/>
    <x v="1"/>
  </r>
  <r>
    <x v="167"/>
    <n v="1"/>
    <n v="2"/>
    <n v="280"/>
    <n v="12306"/>
    <x v="2"/>
    <x v="0"/>
    <x v="1"/>
  </r>
  <r>
    <x v="265"/>
    <n v="2"/>
    <n v="3"/>
    <n v="70"/>
    <n v="2096.5"/>
    <x v="0"/>
    <x v="0"/>
    <x v="0"/>
  </r>
  <r>
    <x v="266"/>
    <n v="2"/>
    <n v="4"/>
    <n v="64"/>
    <n v="1916.8"/>
    <x v="0"/>
    <x v="0"/>
    <x v="0"/>
  </r>
  <r>
    <x v="267"/>
    <n v="2"/>
    <n v="2"/>
    <n v="3"/>
    <n v="89.85"/>
    <x v="0"/>
    <x v="0"/>
    <x v="1"/>
  </r>
  <r>
    <x v="268"/>
    <n v="2"/>
    <n v="2"/>
    <n v="74"/>
    <n v="2216.2999999999997"/>
    <x v="0"/>
    <x v="0"/>
    <x v="1"/>
  </r>
  <r>
    <x v="145"/>
    <n v="2"/>
    <n v="3"/>
    <n v="5"/>
    <n v="149.75"/>
    <x v="0"/>
    <x v="0"/>
    <x v="0"/>
  </r>
  <r>
    <x v="269"/>
    <n v="2"/>
    <n v="2"/>
    <n v="45"/>
    <n v="1347.75"/>
    <x v="0"/>
    <x v="0"/>
    <x v="1"/>
  </r>
  <r>
    <x v="270"/>
    <n v="1"/>
    <n v="2"/>
    <n v="39"/>
    <n v="1714.0500000000002"/>
    <x v="2"/>
    <x v="0"/>
    <x v="1"/>
  </r>
  <r>
    <x v="271"/>
    <n v="2"/>
    <n v="2"/>
    <n v="1"/>
    <n v="29.95"/>
    <x v="0"/>
    <x v="0"/>
    <x v="1"/>
  </r>
  <r>
    <x v="240"/>
    <n v="2"/>
    <n v="2"/>
    <n v="291"/>
    <n v="8715.4499999999989"/>
    <x v="0"/>
    <x v="0"/>
    <x v="1"/>
  </r>
  <r>
    <x v="272"/>
    <n v="2"/>
    <n v="4"/>
    <n v="5"/>
    <n v="149.75"/>
    <x v="0"/>
    <x v="0"/>
    <x v="0"/>
  </r>
  <r>
    <x v="273"/>
    <n v="2"/>
    <n v="2"/>
    <n v="5"/>
    <n v="149.75"/>
    <x v="0"/>
    <x v="0"/>
    <x v="1"/>
  </r>
  <r>
    <x v="274"/>
    <n v="3"/>
    <n v="4"/>
    <n v="234"/>
    <n v="6072.3"/>
    <x v="3"/>
    <x v="1"/>
    <x v="0"/>
  </r>
  <r>
    <x v="275"/>
    <n v="4"/>
    <n v="4"/>
    <n v="88"/>
    <n v="2107.6"/>
    <x v="1"/>
    <x v="1"/>
    <x v="0"/>
  </r>
  <r>
    <x v="276"/>
    <n v="2"/>
    <n v="3"/>
    <n v="215"/>
    <n v="6439.25"/>
    <x v="0"/>
    <x v="0"/>
    <x v="0"/>
  </r>
  <r>
    <x v="277"/>
    <n v="3"/>
    <n v="3"/>
    <n v="74"/>
    <n v="1920.3"/>
    <x v="3"/>
    <x v="1"/>
    <x v="0"/>
  </r>
  <r>
    <x v="278"/>
    <n v="2"/>
    <n v="3"/>
    <n v="115"/>
    <n v="3444.25"/>
    <x v="0"/>
    <x v="0"/>
    <x v="0"/>
  </r>
  <r>
    <x v="205"/>
    <n v="2"/>
    <n v="4"/>
    <n v="93"/>
    <n v="2785.35"/>
    <x v="0"/>
    <x v="0"/>
    <x v="0"/>
  </r>
  <r>
    <x v="279"/>
    <n v="2"/>
    <n v="1"/>
    <n v="153"/>
    <n v="4582.3499999999995"/>
    <x v="0"/>
    <x v="0"/>
    <x v="1"/>
  </r>
  <r>
    <x v="280"/>
    <n v="2"/>
    <n v="4"/>
    <n v="95"/>
    <n v="2845.25"/>
    <x v="0"/>
    <x v="0"/>
    <x v="0"/>
  </r>
  <r>
    <x v="193"/>
    <n v="3"/>
    <n v="2"/>
    <n v="101"/>
    <n v="2620.9499999999998"/>
    <x v="3"/>
    <x v="1"/>
    <x v="1"/>
  </r>
  <r>
    <x v="281"/>
    <n v="2"/>
    <n v="3"/>
    <n v="114"/>
    <n v="3414.2999999999997"/>
    <x v="0"/>
    <x v="0"/>
    <x v="0"/>
  </r>
  <r>
    <x v="282"/>
    <n v="4"/>
    <n v="4"/>
    <n v="40"/>
    <n v="958"/>
    <x v="1"/>
    <x v="1"/>
    <x v="0"/>
  </r>
  <r>
    <x v="32"/>
    <n v="3"/>
    <n v="4"/>
    <n v="2"/>
    <n v="51.9"/>
    <x v="3"/>
    <x v="1"/>
    <x v="0"/>
  </r>
  <r>
    <x v="283"/>
    <n v="2"/>
    <n v="4"/>
    <n v="83"/>
    <n v="2485.85"/>
    <x v="0"/>
    <x v="0"/>
    <x v="0"/>
  </r>
  <r>
    <x v="284"/>
    <n v="2"/>
    <n v="3"/>
    <n v="183"/>
    <n v="5480.8499999999995"/>
    <x v="0"/>
    <x v="0"/>
    <x v="0"/>
  </r>
  <r>
    <x v="285"/>
    <n v="2"/>
    <n v="4"/>
    <n v="4"/>
    <n v="119.8"/>
    <x v="0"/>
    <x v="0"/>
    <x v="0"/>
  </r>
  <r>
    <x v="286"/>
    <n v="4"/>
    <n v="4"/>
    <n v="24"/>
    <n v="574.79999999999995"/>
    <x v="1"/>
    <x v="1"/>
    <x v="0"/>
  </r>
  <r>
    <x v="17"/>
    <n v="2"/>
    <n v="4"/>
    <n v="4"/>
    <n v="119.8"/>
    <x v="0"/>
    <x v="0"/>
    <x v="0"/>
  </r>
  <r>
    <x v="287"/>
    <n v="2"/>
    <n v="4"/>
    <n v="3"/>
    <n v="89.85"/>
    <x v="0"/>
    <x v="0"/>
    <x v="0"/>
  </r>
  <r>
    <x v="288"/>
    <n v="3"/>
    <n v="4"/>
    <n v="1"/>
    <n v="25.95"/>
    <x v="3"/>
    <x v="1"/>
    <x v="0"/>
  </r>
  <r>
    <x v="3"/>
    <n v="2"/>
    <n v="2"/>
    <n v="60"/>
    <n v="1797"/>
    <x v="0"/>
    <x v="0"/>
    <x v="1"/>
  </r>
  <r>
    <x v="289"/>
    <n v="4"/>
    <n v="4"/>
    <n v="1"/>
    <n v="23.95"/>
    <x v="1"/>
    <x v="1"/>
    <x v="0"/>
  </r>
  <r>
    <x v="290"/>
    <n v="1"/>
    <n v="2"/>
    <n v="123"/>
    <n v="5405.85"/>
    <x v="2"/>
    <x v="0"/>
    <x v="1"/>
  </r>
  <r>
    <x v="177"/>
    <n v="2"/>
    <n v="4"/>
    <n v="1"/>
    <n v="29.95"/>
    <x v="0"/>
    <x v="0"/>
    <x v="0"/>
  </r>
  <r>
    <x v="291"/>
    <n v="3"/>
    <n v="3"/>
    <n v="114"/>
    <n v="2958.2999999999997"/>
    <x v="3"/>
    <x v="1"/>
    <x v="0"/>
  </r>
  <r>
    <x v="292"/>
    <n v="3"/>
    <n v="2"/>
    <n v="107"/>
    <n v="2776.65"/>
    <x v="3"/>
    <x v="1"/>
    <x v="1"/>
  </r>
  <r>
    <x v="293"/>
    <n v="4"/>
    <n v="2"/>
    <n v="192"/>
    <n v="4598.3999999999996"/>
    <x v="1"/>
    <x v="1"/>
    <x v="1"/>
  </r>
  <r>
    <x v="294"/>
    <n v="4"/>
    <n v="4"/>
    <n v="105"/>
    <n v="2514.75"/>
    <x v="1"/>
    <x v="1"/>
    <x v="0"/>
  </r>
  <r>
    <x v="230"/>
    <n v="2"/>
    <n v="2"/>
    <n v="122"/>
    <n v="3653.9"/>
    <x v="0"/>
    <x v="0"/>
    <x v="1"/>
  </r>
  <r>
    <x v="55"/>
    <n v="2"/>
    <n v="4"/>
    <n v="2"/>
    <n v="59.9"/>
    <x v="0"/>
    <x v="0"/>
    <x v="0"/>
  </r>
  <r>
    <x v="295"/>
    <n v="2"/>
    <n v="4"/>
    <n v="94"/>
    <n v="2815.2999999999997"/>
    <x v="0"/>
    <x v="0"/>
    <x v="0"/>
  </r>
  <r>
    <x v="107"/>
    <n v="4"/>
    <n v="3"/>
    <n v="6"/>
    <n v="143.69999999999999"/>
    <x v="1"/>
    <x v="1"/>
    <x v="0"/>
  </r>
  <r>
    <x v="42"/>
    <n v="2"/>
    <n v="2"/>
    <n v="83"/>
    <n v="2485.85"/>
    <x v="0"/>
    <x v="0"/>
    <x v="1"/>
  </r>
  <r>
    <x v="296"/>
    <n v="2"/>
    <n v="4"/>
    <n v="6"/>
    <n v="179.7"/>
    <x v="0"/>
    <x v="0"/>
    <x v="0"/>
  </r>
  <r>
    <x v="297"/>
    <n v="2"/>
    <n v="1"/>
    <n v="78"/>
    <n v="2336.1"/>
    <x v="0"/>
    <x v="0"/>
    <x v="1"/>
  </r>
  <r>
    <x v="175"/>
    <n v="2"/>
    <n v="4"/>
    <n v="91"/>
    <n v="2725.45"/>
    <x v="0"/>
    <x v="0"/>
    <x v="0"/>
  </r>
  <r>
    <x v="298"/>
    <n v="2"/>
    <n v="4"/>
    <n v="4"/>
    <n v="119.8"/>
    <x v="0"/>
    <x v="0"/>
    <x v="0"/>
  </r>
  <r>
    <x v="245"/>
    <n v="2"/>
    <n v="2"/>
    <n v="25"/>
    <n v="748.75"/>
    <x v="0"/>
    <x v="0"/>
    <x v="1"/>
  </r>
  <r>
    <x v="299"/>
    <n v="3"/>
    <n v="2"/>
    <n v="74"/>
    <n v="1920.3"/>
    <x v="3"/>
    <x v="1"/>
    <x v="1"/>
  </r>
  <r>
    <x v="300"/>
    <n v="4"/>
    <n v="4"/>
    <n v="258"/>
    <n v="6179.0999999999995"/>
    <x v="1"/>
    <x v="1"/>
    <x v="0"/>
  </r>
  <r>
    <x v="301"/>
    <n v="4"/>
    <n v="4"/>
    <n v="5"/>
    <n v="119.75"/>
    <x v="1"/>
    <x v="1"/>
    <x v="0"/>
  </r>
  <r>
    <x v="302"/>
    <n v="2"/>
    <n v="2"/>
    <n v="114"/>
    <n v="3414.2999999999997"/>
    <x v="0"/>
    <x v="0"/>
    <x v="1"/>
  </r>
  <r>
    <x v="142"/>
    <n v="2"/>
    <n v="4"/>
    <n v="8"/>
    <n v="239.6"/>
    <x v="0"/>
    <x v="0"/>
    <x v="0"/>
  </r>
  <r>
    <x v="28"/>
    <n v="2"/>
    <n v="4"/>
    <n v="70"/>
    <n v="2096.5"/>
    <x v="0"/>
    <x v="0"/>
    <x v="0"/>
  </r>
  <r>
    <x v="91"/>
    <n v="2"/>
    <n v="2"/>
    <n v="15"/>
    <n v="449.25"/>
    <x v="0"/>
    <x v="0"/>
    <x v="1"/>
  </r>
  <r>
    <x v="3"/>
    <n v="2"/>
    <n v="3"/>
    <n v="39"/>
    <n v="1168.05"/>
    <x v="0"/>
    <x v="0"/>
    <x v="0"/>
  </r>
  <r>
    <x v="108"/>
    <n v="4"/>
    <n v="2"/>
    <n v="2"/>
    <n v="47.9"/>
    <x v="1"/>
    <x v="1"/>
    <x v="1"/>
  </r>
  <r>
    <x v="295"/>
    <n v="2"/>
    <n v="3"/>
    <n v="2"/>
    <n v="59.9"/>
    <x v="0"/>
    <x v="0"/>
    <x v="0"/>
  </r>
  <r>
    <x v="303"/>
    <n v="3"/>
    <n v="1"/>
    <n v="119"/>
    <n v="3088.0499999999997"/>
    <x v="3"/>
    <x v="1"/>
    <x v="1"/>
  </r>
  <r>
    <x v="304"/>
    <n v="2"/>
    <n v="4"/>
    <n v="53"/>
    <n v="1587.35"/>
    <x v="0"/>
    <x v="0"/>
    <x v="0"/>
  </r>
  <r>
    <x v="305"/>
    <n v="2"/>
    <n v="4"/>
    <n v="4"/>
    <n v="119.8"/>
    <x v="0"/>
    <x v="0"/>
    <x v="0"/>
  </r>
  <r>
    <x v="306"/>
    <n v="2"/>
    <n v="2"/>
    <n v="4"/>
    <n v="119.8"/>
    <x v="0"/>
    <x v="0"/>
    <x v="1"/>
  </r>
  <r>
    <x v="195"/>
    <n v="2"/>
    <n v="2"/>
    <n v="77"/>
    <n v="2306.15"/>
    <x v="0"/>
    <x v="0"/>
    <x v="1"/>
  </r>
  <r>
    <x v="307"/>
    <n v="2"/>
    <n v="4"/>
    <n v="163"/>
    <n v="4881.8499999999995"/>
    <x v="0"/>
    <x v="0"/>
    <x v="0"/>
  </r>
  <r>
    <x v="253"/>
    <n v="3"/>
    <n v="1"/>
    <n v="81"/>
    <n v="2101.9499999999998"/>
    <x v="3"/>
    <x v="1"/>
    <x v="1"/>
  </r>
  <r>
    <x v="308"/>
    <n v="2"/>
    <n v="4"/>
    <n v="186"/>
    <n v="5570.7"/>
    <x v="0"/>
    <x v="0"/>
    <x v="0"/>
  </r>
  <r>
    <x v="309"/>
    <n v="2"/>
    <n v="4"/>
    <n v="1"/>
    <n v="29.95"/>
    <x v="0"/>
    <x v="0"/>
    <x v="0"/>
  </r>
  <r>
    <x v="156"/>
    <n v="3"/>
    <n v="4"/>
    <n v="3"/>
    <n v="77.849999999999994"/>
    <x v="3"/>
    <x v="1"/>
    <x v="0"/>
  </r>
  <r>
    <x v="310"/>
    <n v="2"/>
    <n v="4"/>
    <n v="100"/>
    <n v="2995"/>
    <x v="0"/>
    <x v="0"/>
    <x v="0"/>
  </r>
  <r>
    <x v="311"/>
    <n v="1"/>
    <n v="1"/>
    <n v="62"/>
    <n v="2724.9"/>
    <x v="2"/>
    <x v="0"/>
    <x v="1"/>
  </r>
  <r>
    <x v="153"/>
    <n v="2"/>
    <n v="2"/>
    <n v="61"/>
    <n v="1826.95"/>
    <x v="0"/>
    <x v="0"/>
    <x v="1"/>
  </r>
  <r>
    <x v="15"/>
    <n v="4"/>
    <n v="2"/>
    <n v="106"/>
    <n v="2538.6999999999998"/>
    <x v="1"/>
    <x v="1"/>
    <x v="1"/>
  </r>
  <r>
    <x v="312"/>
    <n v="4"/>
    <n v="2"/>
    <n v="282"/>
    <n v="6753.9"/>
    <x v="1"/>
    <x v="1"/>
    <x v="1"/>
  </r>
  <r>
    <x v="313"/>
    <n v="2"/>
    <n v="2"/>
    <n v="189"/>
    <n v="5660.55"/>
    <x v="0"/>
    <x v="0"/>
    <x v="1"/>
  </r>
  <r>
    <x v="314"/>
    <n v="2"/>
    <n v="2"/>
    <n v="288"/>
    <n v="8625.6"/>
    <x v="0"/>
    <x v="0"/>
    <x v="1"/>
  </r>
  <r>
    <x v="315"/>
    <n v="2"/>
    <n v="4"/>
    <n v="66"/>
    <n v="1976.7"/>
    <x v="0"/>
    <x v="0"/>
    <x v="0"/>
  </r>
  <r>
    <x v="116"/>
    <n v="1"/>
    <n v="4"/>
    <n v="8"/>
    <n v="351.6"/>
    <x v="2"/>
    <x v="0"/>
    <x v="0"/>
  </r>
  <r>
    <x v="316"/>
    <n v="2"/>
    <n v="4"/>
    <n v="97"/>
    <n v="2905.15"/>
    <x v="0"/>
    <x v="0"/>
    <x v="0"/>
  </r>
  <r>
    <x v="317"/>
    <n v="4"/>
    <n v="4"/>
    <n v="1"/>
    <n v="23.95"/>
    <x v="1"/>
    <x v="1"/>
    <x v="0"/>
  </r>
  <r>
    <x v="271"/>
    <n v="4"/>
    <n v="2"/>
    <n v="127"/>
    <n v="3041.65"/>
    <x v="1"/>
    <x v="1"/>
    <x v="1"/>
  </r>
  <r>
    <x v="134"/>
    <n v="3"/>
    <n v="2"/>
    <n v="252"/>
    <n v="6539.4"/>
    <x v="3"/>
    <x v="1"/>
    <x v="1"/>
  </r>
  <r>
    <x v="318"/>
    <n v="2"/>
    <n v="4"/>
    <n v="87"/>
    <n v="2605.65"/>
    <x v="0"/>
    <x v="0"/>
    <x v="0"/>
  </r>
  <r>
    <x v="319"/>
    <n v="3"/>
    <n v="4"/>
    <n v="1"/>
    <n v="25.95"/>
    <x v="3"/>
    <x v="1"/>
    <x v="0"/>
  </r>
  <r>
    <x v="320"/>
    <n v="2"/>
    <n v="2"/>
    <n v="3"/>
    <n v="89.85"/>
    <x v="0"/>
    <x v="0"/>
    <x v="1"/>
  </r>
  <r>
    <x v="284"/>
    <n v="1"/>
    <n v="2"/>
    <n v="81"/>
    <n v="3559.9500000000003"/>
    <x v="2"/>
    <x v="0"/>
    <x v="1"/>
  </r>
  <r>
    <x v="206"/>
    <n v="2"/>
    <n v="2"/>
    <n v="93"/>
    <n v="2785.35"/>
    <x v="0"/>
    <x v="0"/>
    <x v="1"/>
  </r>
  <r>
    <x v="321"/>
    <n v="4"/>
    <n v="4"/>
    <n v="225"/>
    <n v="5388.75"/>
    <x v="1"/>
    <x v="1"/>
    <x v="0"/>
  </r>
  <r>
    <x v="222"/>
    <n v="1"/>
    <n v="2"/>
    <n v="58"/>
    <n v="2549.1000000000004"/>
    <x v="2"/>
    <x v="0"/>
    <x v="1"/>
  </r>
  <r>
    <x v="322"/>
    <n v="2"/>
    <n v="1"/>
    <n v="50"/>
    <n v="1497.5"/>
    <x v="0"/>
    <x v="0"/>
    <x v="1"/>
  </r>
  <r>
    <x v="323"/>
    <n v="2"/>
    <n v="2"/>
    <n v="126"/>
    <n v="3773.7"/>
    <x v="0"/>
    <x v="0"/>
    <x v="1"/>
  </r>
  <r>
    <x v="324"/>
    <n v="2"/>
    <n v="3"/>
    <n v="1"/>
    <n v="29.95"/>
    <x v="0"/>
    <x v="0"/>
    <x v="0"/>
  </r>
  <r>
    <x v="325"/>
    <n v="3"/>
    <n v="1"/>
    <n v="2"/>
    <n v="51.9"/>
    <x v="3"/>
    <x v="1"/>
    <x v="1"/>
  </r>
  <r>
    <x v="67"/>
    <n v="2"/>
    <n v="4"/>
    <n v="1"/>
    <n v="29.95"/>
    <x v="0"/>
    <x v="0"/>
    <x v="0"/>
  </r>
  <r>
    <x v="196"/>
    <n v="2"/>
    <n v="4"/>
    <n v="174"/>
    <n v="5211.3"/>
    <x v="0"/>
    <x v="0"/>
    <x v="0"/>
  </r>
  <r>
    <x v="326"/>
    <n v="2"/>
    <n v="3"/>
    <n v="90"/>
    <n v="2695.5"/>
    <x v="0"/>
    <x v="0"/>
    <x v="0"/>
  </r>
  <r>
    <x v="327"/>
    <n v="2"/>
    <n v="4"/>
    <n v="5"/>
    <n v="149.75"/>
    <x v="0"/>
    <x v="0"/>
    <x v="0"/>
  </r>
  <r>
    <x v="328"/>
    <n v="2"/>
    <n v="3"/>
    <n v="6"/>
    <n v="179.7"/>
    <x v="0"/>
    <x v="0"/>
    <x v="0"/>
  </r>
  <r>
    <x v="108"/>
    <n v="2"/>
    <n v="2"/>
    <n v="2"/>
    <n v="59.9"/>
    <x v="0"/>
    <x v="0"/>
    <x v="1"/>
  </r>
  <r>
    <x v="321"/>
    <n v="2"/>
    <n v="4"/>
    <n v="105"/>
    <n v="3144.75"/>
    <x v="0"/>
    <x v="0"/>
    <x v="0"/>
  </r>
  <r>
    <x v="124"/>
    <n v="2"/>
    <n v="2"/>
    <n v="88"/>
    <n v="2635.6"/>
    <x v="0"/>
    <x v="0"/>
    <x v="1"/>
  </r>
  <r>
    <x v="117"/>
    <n v="4"/>
    <n v="4"/>
    <n v="93"/>
    <n v="2227.35"/>
    <x v="1"/>
    <x v="1"/>
    <x v="0"/>
  </r>
  <r>
    <x v="329"/>
    <n v="3"/>
    <n v="2"/>
    <n v="5"/>
    <n v="129.75"/>
    <x v="3"/>
    <x v="1"/>
    <x v="1"/>
  </r>
  <r>
    <x v="330"/>
    <n v="1"/>
    <n v="3"/>
    <n v="1"/>
    <n v="43.95"/>
    <x v="2"/>
    <x v="0"/>
    <x v="0"/>
  </r>
  <r>
    <x v="109"/>
    <n v="4"/>
    <n v="1"/>
    <n v="94"/>
    <n v="2251.2999999999997"/>
    <x v="1"/>
    <x v="1"/>
    <x v="1"/>
  </r>
  <r>
    <x v="331"/>
    <n v="4"/>
    <n v="4"/>
    <n v="2"/>
    <n v="47.9"/>
    <x v="1"/>
    <x v="1"/>
    <x v="0"/>
  </r>
  <r>
    <x v="108"/>
    <n v="4"/>
    <n v="1"/>
    <n v="65"/>
    <n v="1556.75"/>
    <x v="1"/>
    <x v="1"/>
    <x v="1"/>
  </r>
  <r>
    <x v="128"/>
    <n v="2"/>
    <n v="2"/>
    <n v="192"/>
    <n v="5750.4"/>
    <x v="0"/>
    <x v="0"/>
    <x v="1"/>
  </r>
  <r>
    <x v="332"/>
    <n v="1"/>
    <n v="4"/>
    <n v="1"/>
    <n v="43.95"/>
    <x v="2"/>
    <x v="0"/>
    <x v="0"/>
  </r>
  <r>
    <x v="181"/>
    <n v="2"/>
    <n v="4"/>
    <n v="68"/>
    <n v="2036.6"/>
    <x v="0"/>
    <x v="0"/>
    <x v="0"/>
  </r>
  <r>
    <x v="188"/>
    <n v="2"/>
    <n v="4"/>
    <n v="69"/>
    <n v="2066.5499999999997"/>
    <x v="0"/>
    <x v="0"/>
    <x v="0"/>
  </r>
  <r>
    <x v="333"/>
    <n v="2"/>
    <n v="4"/>
    <n v="96"/>
    <n v="2875.2"/>
    <x v="0"/>
    <x v="0"/>
    <x v="0"/>
  </r>
  <r>
    <x v="325"/>
    <n v="3"/>
    <n v="4"/>
    <n v="105"/>
    <n v="2724.75"/>
    <x v="3"/>
    <x v="1"/>
    <x v="0"/>
  </r>
  <r>
    <x v="334"/>
    <n v="4"/>
    <n v="4"/>
    <n v="79"/>
    <n v="1892.05"/>
    <x v="1"/>
    <x v="1"/>
    <x v="0"/>
  </r>
  <r>
    <x v="227"/>
    <n v="2"/>
    <n v="4"/>
    <n v="140"/>
    <n v="4193"/>
    <x v="0"/>
    <x v="0"/>
    <x v="0"/>
  </r>
  <r>
    <x v="335"/>
    <n v="3"/>
    <n v="2"/>
    <n v="212"/>
    <n v="5501.4"/>
    <x v="3"/>
    <x v="1"/>
    <x v="1"/>
  </r>
  <r>
    <x v="336"/>
    <n v="2"/>
    <n v="3"/>
    <n v="68"/>
    <n v="2036.6"/>
    <x v="0"/>
    <x v="0"/>
    <x v="0"/>
  </r>
  <r>
    <x v="214"/>
    <n v="4"/>
    <n v="2"/>
    <n v="32"/>
    <n v="766.4"/>
    <x v="1"/>
    <x v="1"/>
    <x v="1"/>
  </r>
  <r>
    <x v="337"/>
    <n v="2"/>
    <n v="1"/>
    <n v="49"/>
    <n v="1467.55"/>
    <x v="0"/>
    <x v="0"/>
    <x v="1"/>
  </r>
  <r>
    <x v="338"/>
    <n v="2"/>
    <n v="4"/>
    <n v="109"/>
    <n v="3264.5499999999997"/>
    <x v="0"/>
    <x v="0"/>
    <x v="0"/>
  </r>
  <r>
    <x v="41"/>
    <n v="2"/>
    <n v="2"/>
    <n v="174"/>
    <n v="5211.3"/>
    <x v="0"/>
    <x v="0"/>
    <x v="1"/>
  </r>
  <r>
    <x v="339"/>
    <n v="2"/>
    <n v="1"/>
    <n v="251"/>
    <n v="7517.45"/>
    <x v="0"/>
    <x v="0"/>
    <x v="1"/>
  </r>
  <r>
    <x v="31"/>
    <n v="1"/>
    <n v="4"/>
    <n v="6"/>
    <n v="263.70000000000005"/>
    <x v="2"/>
    <x v="0"/>
    <x v="0"/>
  </r>
  <r>
    <x v="340"/>
    <n v="2"/>
    <n v="3"/>
    <n v="69"/>
    <n v="2066.5499999999997"/>
    <x v="0"/>
    <x v="0"/>
    <x v="0"/>
  </r>
  <r>
    <x v="341"/>
    <n v="2"/>
    <n v="2"/>
    <n v="66"/>
    <n v="1976.7"/>
    <x v="0"/>
    <x v="0"/>
    <x v="1"/>
  </r>
  <r>
    <x v="342"/>
    <n v="2"/>
    <n v="2"/>
    <n v="216"/>
    <n v="6469.2"/>
    <x v="0"/>
    <x v="0"/>
    <x v="1"/>
  </r>
  <r>
    <x v="127"/>
    <n v="3"/>
    <n v="4"/>
    <n v="162"/>
    <n v="4203.8999999999996"/>
    <x v="3"/>
    <x v="1"/>
    <x v="0"/>
  </r>
  <r>
    <x v="108"/>
    <n v="4"/>
    <n v="1"/>
    <n v="73"/>
    <n v="1748.35"/>
    <x v="1"/>
    <x v="1"/>
    <x v="1"/>
  </r>
  <r>
    <x v="343"/>
    <n v="2"/>
    <n v="1"/>
    <n v="90"/>
    <n v="2695.5"/>
    <x v="0"/>
    <x v="0"/>
    <x v="1"/>
  </r>
  <r>
    <x v="344"/>
    <n v="4"/>
    <n v="1"/>
    <n v="245"/>
    <n v="5867.75"/>
    <x v="1"/>
    <x v="1"/>
    <x v="1"/>
  </r>
  <r>
    <x v="180"/>
    <n v="2"/>
    <n v="2"/>
    <n v="6"/>
    <n v="179.7"/>
    <x v="0"/>
    <x v="0"/>
    <x v="1"/>
  </r>
  <r>
    <x v="305"/>
    <n v="2"/>
    <n v="4"/>
    <n v="94"/>
    <n v="2815.2999999999997"/>
    <x v="0"/>
    <x v="0"/>
    <x v="0"/>
  </r>
  <r>
    <x v="345"/>
    <n v="4"/>
    <n v="4"/>
    <n v="5"/>
    <n v="119.75"/>
    <x v="1"/>
    <x v="1"/>
    <x v="0"/>
  </r>
  <r>
    <x v="346"/>
    <n v="2"/>
    <n v="4"/>
    <n v="105"/>
    <n v="3144.75"/>
    <x v="0"/>
    <x v="0"/>
    <x v="0"/>
  </r>
  <r>
    <x v="211"/>
    <n v="2"/>
    <n v="3"/>
    <n v="91"/>
    <n v="2725.45"/>
    <x v="0"/>
    <x v="0"/>
    <x v="0"/>
  </r>
  <r>
    <x v="245"/>
    <n v="2"/>
    <n v="2"/>
    <n v="51"/>
    <n v="1527.45"/>
    <x v="0"/>
    <x v="0"/>
    <x v="1"/>
  </r>
  <r>
    <x v="347"/>
    <n v="2"/>
    <n v="2"/>
    <n v="4"/>
    <n v="119.8"/>
    <x v="0"/>
    <x v="0"/>
    <x v="1"/>
  </r>
  <r>
    <x v="7"/>
    <n v="2"/>
    <n v="4"/>
    <n v="160"/>
    <n v="4792"/>
    <x v="0"/>
    <x v="0"/>
    <x v="0"/>
  </r>
  <r>
    <x v="348"/>
    <n v="2"/>
    <n v="2"/>
    <n v="291"/>
    <n v="8715.4499999999989"/>
    <x v="0"/>
    <x v="0"/>
    <x v="1"/>
  </r>
  <r>
    <x v="349"/>
    <n v="4"/>
    <n v="2"/>
    <n v="68"/>
    <n v="1628.6"/>
    <x v="1"/>
    <x v="1"/>
    <x v="1"/>
  </r>
  <r>
    <x v="350"/>
    <n v="1"/>
    <n v="2"/>
    <n v="4"/>
    <n v="175.8"/>
    <x v="2"/>
    <x v="0"/>
    <x v="1"/>
  </r>
  <r>
    <x v="351"/>
    <n v="3"/>
    <n v="2"/>
    <n v="292"/>
    <n v="7577.4"/>
    <x v="3"/>
    <x v="1"/>
    <x v="1"/>
  </r>
  <r>
    <x v="140"/>
    <n v="1"/>
    <n v="4"/>
    <n v="115"/>
    <n v="5054.25"/>
    <x v="2"/>
    <x v="0"/>
    <x v="0"/>
  </r>
  <r>
    <x v="352"/>
    <n v="3"/>
    <n v="1"/>
    <n v="82"/>
    <n v="2127.9"/>
    <x v="3"/>
    <x v="1"/>
    <x v="1"/>
  </r>
  <r>
    <x v="353"/>
    <n v="2"/>
    <n v="4"/>
    <n v="84"/>
    <n v="2515.7999999999997"/>
    <x v="0"/>
    <x v="0"/>
    <x v="0"/>
  </r>
  <r>
    <x v="354"/>
    <n v="2"/>
    <n v="4"/>
    <n v="5"/>
    <n v="149.75"/>
    <x v="0"/>
    <x v="0"/>
    <x v="0"/>
  </r>
  <r>
    <x v="116"/>
    <n v="4"/>
    <n v="2"/>
    <n v="99"/>
    <n v="2371.0499999999997"/>
    <x v="1"/>
    <x v="1"/>
    <x v="1"/>
  </r>
  <r>
    <x v="353"/>
    <n v="1"/>
    <n v="2"/>
    <n v="209"/>
    <n v="9185.5500000000011"/>
    <x v="2"/>
    <x v="0"/>
    <x v="1"/>
  </r>
  <r>
    <x v="74"/>
    <n v="2"/>
    <n v="4"/>
    <n v="51"/>
    <n v="1527.45"/>
    <x v="0"/>
    <x v="0"/>
    <x v="0"/>
  </r>
  <r>
    <x v="53"/>
    <n v="2"/>
    <n v="2"/>
    <n v="203"/>
    <n v="6079.8499999999995"/>
    <x v="0"/>
    <x v="0"/>
    <x v="1"/>
  </r>
  <r>
    <x v="355"/>
    <n v="1"/>
    <n v="4"/>
    <n v="69"/>
    <n v="3032.55"/>
    <x v="2"/>
    <x v="0"/>
    <x v="0"/>
  </r>
  <r>
    <x v="356"/>
    <n v="2"/>
    <n v="2"/>
    <n v="2"/>
    <n v="59.9"/>
    <x v="0"/>
    <x v="0"/>
    <x v="1"/>
  </r>
  <r>
    <x v="357"/>
    <n v="2"/>
    <n v="2"/>
    <n v="6"/>
    <n v="179.7"/>
    <x v="0"/>
    <x v="0"/>
    <x v="1"/>
  </r>
  <r>
    <x v="358"/>
    <n v="3"/>
    <n v="4"/>
    <n v="5"/>
    <n v="129.75"/>
    <x v="3"/>
    <x v="1"/>
    <x v="0"/>
  </r>
  <r>
    <x v="330"/>
    <n v="1"/>
    <n v="3"/>
    <n v="17"/>
    <n v="747.15000000000009"/>
    <x v="2"/>
    <x v="0"/>
    <x v="0"/>
  </r>
  <r>
    <x v="359"/>
    <n v="2"/>
    <n v="2"/>
    <n v="102"/>
    <n v="3054.9"/>
    <x v="0"/>
    <x v="0"/>
    <x v="1"/>
  </r>
  <r>
    <x v="360"/>
    <n v="2"/>
    <n v="2"/>
    <n v="5"/>
    <n v="149.75"/>
    <x v="0"/>
    <x v="0"/>
    <x v="1"/>
  </r>
  <r>
    <x v="51"/>
    <n v="2"/>
    <n v="2"/>
    <n v="1"/>
    <n v="29.95"/>
    <x v="0"/>
    <x v="0"/>
    <x v="1"/>
  </r>
  <r>
    <x v="361"/>
    <n v="1"/>
    <n v="2"/>
    <n v="56"/>
    <n v="2461.2000000000003"/>
    <x v="2"/>
    <x v="0"/>
    <x v="1"/>
  </r>
  <r>
    <x v="68"/>
    <n v="2"/>
    <n v="4"/>
    <n v="86"/>
    <n v="2575.6999999999998"/>
    <x v="0"/>
    <x v="0"/>
    <x v="0"/>
  </r>
  <r>
    <x v="52"/>
    <n v="2"/>
    <n v="4"/>
    <n v="110"/>
    <n v="3294.5"/>
    <x v="0"/>
    <x v="0"/>
    <x v="0"/>
  </r>
  <r>
    <x v="30"/>
    <n v="1"/>
    <n v="2"/>
    <n v="6"/>
    <n v="263.70000000000005"/>
    <x v="2"/>
    <x v="0"/>
    <x v="1"/>
  </r>
  <r>
    <x v="362"/>
    <n v="2"/>
    <n v="4"/>
    <n v="128"/>
    <n v="3833.6"/>
    <x v="0"/>
    <x v="0"/>
    <x v="0"/>
  </r>
  <r>
    <x v="363"/>
    <n v="2"/>
    <n v="4"/>
    <n v="124"/>
    <n v="3713.7999999999997"/>
    <x v="0"/>
    <x v="0"/>
    <x v="0"/>
  </r>
  <r>
    <x v="341"/>
    <n v="2"/>
    <n v="2"/>
    <n v="100"/>
    <n v="2995"/>
    <x v="0"/>
    <x v="0"/>
    <x v="1"/>
  </r>
  <r>
    <x v="364"/>
    <n v="1"/>
    <n v="2"/>
    <n v="5"/>
    <n v="219.75"/>
    <x v="2"/>
    <x v="0"/>
    <x v="1"/>
  </r>
  <r>
    <x v="365"/>
    <n v="2"/>
    <n v="4"/>
    <n v="97"/>
    <n v="2905.15"/>
    <x v="0"/>
    <x v="0"/>
    <x v="0"/>
  </r>
  <r>
    <x v="359"/>
    <n v="3"/>
    <n v="2"/>
    <n v="65"/>
    <n v="1686.75"/>
    <x v="3"/>
    <x v="1"/>
    <x v="1"/>
  </r>
  <r>
    <x v="366"/>
    <n v="2"/>
    <n v="4"/>
    <n v="293"/>
    <n v="8775.35"/>
    <x v="0"/>
    <x v="0"/>
    <x v="0"/>
  </r>
  <r>
    <x v="367"/>
    <n v="2"/>
    <n v="4"/>
    <n v="105"/>
    <n v="3144.75"/>
    <x v="0"/>
    <x v="0"/>
    <x v="0"/>
  </r>
  <r>
    <x v="155"/>
    <n v="2"/>
    <n v="4"/>
    <n v="57"/>
    <n v="1707.1499999999999"/>
    <x v="0"/>
    <x v="0"/>
    <x v="0"/>
  </r>
  <r>
    <x v="368"/>
    <n v="2"/>
    <n v="2"/>
    <n v="2"/>
    <n v="59.9"/>
    <x v="0"/>
    <x v="0"/>
    <x v="1"/>
  </r>
  <r>
    <x v="316"/>
    <n v="2"/>
    <n v="2"/>
    <n v="82"/>
    <n v="2455.9"/>
    <x v="0"/>
    <x v="0"/>
    <x v="1"/>
  </r>
  <r>
    <x v="369"/>
    <n v="2"/>
    <n v="4"/>
    <n v="5"/>
    <n v="149.75"/>
    <x v="0"/>
    <x v="0"/>
    <x v="0"/>
  </r>
  <r>
    <x v="370"/>
    <n v="3"/>
    <n v="2"/>
    <n v="58"/>
    <n v="1505.1"/>
    <x v="3"/>
    <x v="1"/>
    <x v="1"/>
  </r>
  <r>
    <x v="371"/>
    <n v="3"/>
    <n v="2"/>
    <n v="4"/>
    <n v="103.8"/>
    <x v="3"/>
    <x v="1"/>
    <x v="1"/>
  </r>
  <r>
    <x v="372"/>
    <n v="3"/>
    <n v="4"/>
    <n v="12"/>
    <n v="311.39999999999998"/>
    <x v="3"/>
    <x v="1"/>
    <x v="0"/>
  </r>
  <r>
    <x v="373"/>
    <n v="3"/>
    <n v="4"/>
    <n v="107"/>
    <n v="2776.65"/>
    <x v="3"/>
    <x v="1"/>
    <x v="0"/>
  </r>
  <r>
    <x v="374"/>
    <n v="2"/>
    <n v="2"/>
    <n v="84"/>
    <n v="2515.7999999999997"/>
    <x v="0"/>
    <x v="0"/>
    <x v="1"/>
  </r>
  <r>
    <x v="375"/>
    <n v="2"/>
    <n v="2"/>
    <n v="49"/>
    <n v="1467.55"/>
    <x v="0"/>
    <x v="0"/>
    <x v="1"/>
  </r>
  <r>
    <x v="376"/>
    <n v="2"/>
    <n v="2"/>
    <n v="3"/>
    <n v="89.85"/>
    <x v="0"/>
    <x v="0"/>
    <x v="1"/>
  </r>
  <r>
    <x v="20"/>
    <n v="2"/>
    <n v="4"/>
    <n v="284"/>
    <n v="8505.7999999999993"/>
    <x v="0"/>
    <x v="0"/>
    <x v="0"/>
  </r>
  <r>
    <x v="32"/>
    <n v="2"/>
    <n v="4"/>
    <n v="5"/>
    <n v="149.75"/>
    <x v="0"/>
    <x v="0"/>
    <x v="0"/>
  </r>
  <r>
    <x v="377"/>
    <n v="2"/>
    <n v="4"/>
    <n v="4"/>
    <n v="119.8"/>
    <x v="0"/>
    <x v="0"/>
    <x v="0"/>
  </r>
  <r>
    <x v="144"/>
    <n v="2"/>
    <n v="4"/>
    <n v="4"/>
    <n v="119.8"/>
    <x v="0"/>
    <x v="0"/>
    <x v="0"/>
  </r>
  <r>
    <x v="289"/>
    <n v="4"/>
    <n v="4"/>
    <n v="93"/>
    <n v="2227.35"/>
    <x v="1"/>
    <x v="1"/>
    <x v="0"/>
  </r>
  <r>
    <x v="45"/>
    <n v="2"/>
    <n v="2"/>
    <n v="82"/>
    <n v="2455.9"/>
    <x v="0"/>
    <x v="0"/>
    <x v="1"/>
  </r>
  <r>
    <x v="281"/>
    <n v="1"/>
    <n v="2"/>
    <n v="4"/>
    <n v="175.8"/>
    <x v="2"/>
    <x v="0"/>
    <x v="1"/>
  </r>
  <r>
    <x v="378"/>
    <n v="3"/>
    <n v="4"/>
    <n v="130"/>
    <n v="3373.5"/>
    <x v="3"/>
    <x v="1"/>
    <x v="0"/>
  </r>
  <r>
    <x v="213"/>
    <n v="1"/>
    <n v="3"/>
    <n v="4"/>
    <n v="175.8"/>
    <x v="2"/>
    <x v="0"/>
    <x v="0"/>
  </r>
  <r>
    <x v="181"/>
    <n v="4"/>
    <n v="2"/>
    <n v="91"/>
    <n v="2179.4499999999998"/>
    <x v="1"/>
    <x v="1"/>
    <x v="1"/>
  </r>
  <r>
    <x v="379"/>
    <n v="4"/>
    <n v="4"/>
    <n v="98"/>
    <n v="2347.1"/>
    <x v="1"/>
    <x v="1"/>
    <x v="0"/>
  </r>
  <r>
    <x v="380"/>
    <n v="2"/>
    <n v="4"/>
    <n v="242"/>
    <n v="7247.9"/>
    <x v="0"/>
    <x v="0"/>
    <x v="0"/>
  </r>
  <r>
    <x v="381"/>
    <n v="2"/>
    <n v="4"/>
    <n v="169"/>
    <n v="5061.55"/>
    <x v="0"/>
    <x v="0"/>
    <x v="0"/>
  </r>
  <r>
    <x v="382"/>
    <n v="3"/>
    <n v="2"/>
    <n v="5"/>
    <n v="129.75"/>
    <x v="3"/>
    <x v="1"/>
    <x v="1"/>
  </r>
  <r>
    <x v="383"/>
    <n v="2"/>
    <n v="2"/>
    <n v="77"/>
    <n v="2306.15"/>
    <x v="0"/>
    <x v="0"/>
    <x v="1"/>
  </r>
  <r>
    <x v="363"/>
    <n v="4"/>
    <n v="2"/>
    <n v="279"/>
    <n v="6682.05"/>
    <x v="1"/>
    <x v="1"/>
    <x v="1"/>
  </r>
  <r>
    <x v="384"/>
    <n v="2"/>
    <n v="2"/>
    <n v="5"/>
    <n v="149.75"/>
    <x v="0"/>
    <x v="0"/>
    <x v="1"/>
  </r>
  <r>
    <x v="385"/>
    <n v="2"/>
    <n v="4"/>
    <n v="113"/>
    <n v="3384.35"/>
    <x v="0"/>
    <x v="0"/>
    <x v="0"/>
  </r>
  <r>
    <x v="165"/>
    <n v="3"/>
    <n v="4"/>
    <n v="94"/>
    <n v="2439.2999999999997"/>
    <x v="3"/>
    <x v="1"/>
    <x v="0"/>
  </r>
  <r>
    <x v="294"/>
    <n v="1"/>
    <n v="4"/>
    <n v="6"/>
    <n v="263.70000000000005"/>
    <x v="2"/>
    <x v="0"/>
    <x v="0"/>
  </r>
  <r>
    <x v="386"/>
    <n v="2"/>
    <n v="2"/>
    <n v="109"/>
    <n v="3264.5499999999997"/>
    <x v="0"/>
    <x v="0"/>
    <x v="1"/>
  </r>
  <r>
    <x v="254"/>
    <n v="1"/>
    <n v="2"/>
    <n v="1"/>
    <n v="43.95"/>
    <x v="2"/>
    <x v="0"/>
    <x v="1"/>
  </r>
  <r>
    <x v="387"/>
    <n v="2"/>
    <n v="2"/>
    <n v="200"/>
    <n v="5990"/>
    <x v="0"/>
    <x v="0"/>
    <x v="1"/>
  </r>
  <r>
    <x v="56"/>
    <n v="3"/>
    <n v="4"/>
    <n v="2"/>
    <n v="51.9"/>
    <x v="3"/>
    <x v="1"/>
    <x v="0"/>
  </r>
  <r>
    <x v="388"/>
    <n v="1"/>
    <n v="2"/>
    <n v="69"/>
    <n v="3032.55"/>
    <x v="2"/>
    <x v="0"/>
    <x v="1"/>
  </r>
  <r>
    <x v="85"/>
    <n v="3"/>
    <n v="2"/>
    <n v="198"/>
    <n v="5138.0999999999995"/>
    <x v="3"/>
    <x v="1"/>
    <x v="1"/>
  </r>
  <r>
    <x v="389"/>
    <n v="2"/>
    <n v="4"/>
    <n v="6"/>
    <n v="179.7"/>
    <x v="0"/>
    <x v="0"/>
    <x v="0"/>
  </r>
  <r>
    <x v="390"/>
    <n v="2"/>
    <n v="4"/>
    <n v="27"/>
    <n v="808.65"/>
    <x v="0"/>
    <x v="0"/>
    <x v="0"/>
  </r>
  <r>
    <x v="391"/>
    <n v="1"/>
    <n v="4"/>
    <n v="286"/>
    <n v="12569.7"/>
    <x v="2"/>
    <x v="0"/>
    <x v="0"/>
  </r>
  <r>
    <x v="32"/>
    <n v="4"/>
    <n v="4"/>
    <n v="4"/>
    <n v="95.8"/>
    <x v="1"/>
    <x v="1"/>
    <x v="0"/>
  </r>
  <r>
    <x v="366"/>
    <n v="2"/>
    <n v="4"/>
    <n v="44"/>
    <n v="1317.8"/>
    <x v="0"/>
    <x v="0"/>
    <x v="0"/>
  </r>
  <r>
    <x v="392"/>
    <n v="1"/>
    <n v="2"/>
    <n v="4"/>
    <n v="175.8"/>
    <x v="2"/>
    <x v="0"/>
    <x v="1"/>
  </r>
  <r>
    <x v="393"/>
    <n v="3"/>
    <n v="4"/>
    <n v="225"/>
    <n v="5838.75"/>
    <x v="3"/>
    <x v="1"/>
    <x v="0"/>
  </r>
  <r>
    <x v="394"/>
    <n v="2"/>
    <n v="4"/>
    <n v="231"/>
    <n v="6918.45"/>
    <x v="0"/>
    <x v="0"/>
    <x v="0"/>
  </r>
  <r>
    <x v="24"/>
    <n v="3"/>
    <n v="4"/>
    <n v="249"/>
    <n v="6461.55"/>
    <x v="3"/>
    <x v="1"/>
    <x v="0"/>
  </r>
  <r>
    <x v="395"/>
    <n v="4"/>
    <n v="4"/>
    <n v="63"/>
    <n v="1508.85"/>
    <x v="1"/>
    <x v="1"/>
    <x v="0"/>
  </r>
  <r>
    <x v="19"/>
    <n v="1"/>
    <n v="2"/>
    <n v="74"/>
    <n v="3252.3"/>
    <x v="2"/>
    <x v="0"/>
    <x v="1"/>
  </r>
  <r>
    <x v="129"/>
    <n v="2"/>
    <n v="2"/>
    <n v="158"/>
    <n v="4732.0999999999995"/>
    <x v="0"/>
    <x v="0"/>
    <x v="1"/>
  </r>
  <r>
    <x v="189"/>
    <n v="3"/>
    <n v="4"/>
    <n v="4"/>
    <n v="103.8"/>
    <x v="3"/>
    <x v="1"/>
    <x v="0"/>
  </r>
  <r>
    <x v="396"/>
    <n v="2"/>
    <n v="2"/>
    <n v="3"/>
    <n v="89.85"/>
    <x v="0"/>
    <x v="0"/>
    <x v="1"/>
  </r>
  <r>
    <x v="397"/>
    <n v="4"/>
    <n v="4"/>
    <n v="73"/>
    <n v="1748.35"/>
    <x v="1"/>
    <x v="1"/>
    <x v="0"/>
  </r>
  <r>
    <x v="350"/>
    <n v="2"/>
    <n v="1"/>
    <n v="5"/>
    <n v="149.75"/>
    <x v="0"/>
    <x v="0"/>
    <x v="1"/>
  </r>
  <r>
    <x v="398"/>
    <n v="2"/>
    <n v="4"/>
    <n v="141"/>
    <n v="4222.95"/>
    <x v="0"/>
    <x v="0"/>
    <x v="0"/>
  </r>
  <r>
    <x v="42"/>
    <n v="4"/>
    <n v="3"/>
    <n v="134"/>
    <n v="3209.2999999999997"/>
    <x v="1"/>
    <x v="1"/>
    <x v="0"/>
  </r>
  <r>
    <x v="3"/>
    <n v="1"/>
    <n v="1"/>
    <n v="74"/>
    <n v="3252.3"/>
    <x v="2"/>
    <x v="0"/>
    <x v="1"/>
  </r>
  <r>
    <x v="50"/>
    <n v="3"/>
    <n v="4"/>
    <n v="47"/>
    <n v="1219.6499999999999"/>
    <x v="3"/>
    <x v="1"/>
    <x v="0"/>
  </r>
  <r>
    <x v="399"/>
    <n v="2"/>
    <n v="2"/>
    <n v="161"/>
    <n v="4821.95"/>
    <x v="0"/>
    <x v="0"/>
    <x v="1"/>
  </r>
  <r>
    <x v="400"/>
    <n v="3"/>
    <n v="4"/>
    <n v="1"/>
    <n v="25.95"/>
    <x v="3"/>
    <x v="1"/>
    <x v="0"/>
  </r>
  <r>
    <x v="24"/>
    <n v="2"/>
    <n v="4"/>
    <n v="4"/>
    <n v="119.8"/>
    <x v="0"/>
    <x v="0"/>
    <x v="0"/>
  </r>
  <r>
    <x v="13"/>
    <n v="2"/>
    <n v="4"/>
    <n v="71"/>
    <n v="2126.4499999999998"/>
    <x v="0"/>
    <x v="0"/>
    <x v="0"/>
  </r>
  <r>
    <x v="401"/>
    <n v="1"/>
    <n v="2"/>
    <n v="3"/>
    <n v="131.85000000000002"/>
    <x v="2"/>
    <x v="0"/>
    <x v="1"/>
  </r>
  <r>
    <x v="61"/>
    <n v="2"/>
    <n v="4"/>
    <n v="5"/>
    <n v="149.75"/>
    <x v="0"/>
    <x v="0"/>
    <x v="0"/>
  </r>
  <r>
    <x v="55"/>
    <n v="2"/>
    <n v="1"/>
    <n v="82"/>
    <n v="2455.9"/>
    <x v="0"/>
    <x v="0"/>
    <x v="1"/>
  </r>
  <r>
    <x v="289"/>
    <n v="2"/>
    <n v="2"/>
    <n v="6"/>
    <n v="179.7"/>
    <x v="0"/>
    <x v="0"/>
    <x v="1"/>
  </r>
  <r>
    <x v="113"/>
    <n v="2"/>
    <n v="4"/>
    <n v="3"/>
    <n v="89.85"/>
    <x v="0"/>
    <x v="0"/>
    <x v="0"/>
  </r>
  <r>
    <x v="181"/>
    <n v="1"/>
    <n v="2"/>
    <n v="21"/>
    <n v="922.95"/>
    <x v="2"/>
    <x v="0"/>
    <x v="1"/>
  </r>
  <r>
    <x v="68"/>
    <n v="2"/>
    <n v="4"/>
    <n v="90"/>
    <n v="2695.5"/>
    <x v="0"/>
    <x v="0"/>
    <x v="0"/>
  </r>
  <r>
    <x v="295"/>
    <n v="2"/>
    <n v="2"/>
    <n v="93"/>
    <n v="2785.35"/>
    <x v="0"/>
    <x v="0"/>
    <x v="1"/>
  </r>
  <r>
    <x v="402"/>
    <n v="2"/>
    <n v="4"/>
    <n v="2"/>
    <n v="59.9"/>
    <x v="0"/>
    <x v="0"/>
    <x v="0"/>
  </r>
  <r>
    <x v="403"/>
    <n v="2"/>
    <n v="2"/>
    <n v="286"/>
    <n v="8565.6999999999989"/>
    <x v="0"/>
    <x v="0"/>
    <x v="1"/>
  </r>
  <r>
    <x v="404"/>
    <n v="2"/>
    <n v="2"/>
    <n v="6"/>
    <n v="179.7"/>
    <x v="0"/>
    <x v="0"/>
    <x v="1"/>
  </r>
  <r>
    <x v="132"/>
    <n v="2"/>
    <n v="4"/>
    <n v="11"/>
    <n v="329.45"/>
    <x v="0"/>
    <x v="0"/>
    <x v="0"/>
  </r>
  <r>
    <x v="405"/>
    <n v="2"/>
    <n v="4"/>
    <n v="252"/>
    <n v="7547.4"/>
    <x v="0"/>
    <x v="0"/>
    <x v="0"/>
  </r>
  <r>
    <x v="406"/>
    <n v="1"/>
    <n v="2"/>
    <n v="63"/>
    <n v="2768.8500000000004"/>
    <x v="2"/>
    <x v="0"/>
    <x v="1"/>
  </r>
  <r>
    <x v="407"/>
    <n v="2"/>
    <n v="2"/>
    <n v="90"/>
    <n v="2695.5"/>
    <x v="0"/>
    <x v="0"/>
    <x v="1"/>
  </r>
  <r>
    <x v="334"/>
    <n v="4"/>
    <n v="2"/>
    <n v="43"/>
    <n v="1029.8499999999999"/>
    <x v="1"/>
    <x v="1"/>
    <x v="1"/>
  </r>
  <r>
    <x v="164"/>
    <n v="2"/>
    <n v="2"/>
    <n v="59"/>
    <n v="1767.05"/>
    <x v="0"/>
    <x v="0"/>
    <x v="1"/>
  </r>
  <r>
    <x v="408"/>
    <n v="2"/>
    <n v="2"/>
    <n v="274"/>
    <n v="8206.2999999999993"/>
    <x v="0"/>
    <x v="0"/>
    <x v="1"/>
  </r>
  <r>
    <x v="67"/>
    <n v="4"/>
    <n v="2"/>
    <n v="57"/>
    <n v="1365.1499999999999"/>
    <x v="1"/>
    <x v="1"/>
    <x v="1"/>
  </r>
  <r>
    <x v="167"/>
    <n v="2"/>
    <n v="1"/>
    <n v="3"/>
    <n v="89.85"/>
    <x v="0"/>
    <x v="0"/>
    <x v="1"/>
  </r>
  <r>
    <x v="161"/>
    <n v="4"/>
    <n v="2"/>
    <n v="6"/>
    <n v="143.69999999999999"/>
    <x v="1"/>
    <x v="1"/>
    <x v="1"/>
  </r>
  <r>
    <x v="101"/>
    <n v="2"/>
    <n v="2"/>
    <n v="2"/>
    <n v="59.9"/>
    <x v="0"/>
    <x v="0"/>
    <x v="1"/>
  </r>
  <r>
    <x v="171"/>
    <n v="4"/>
    <n v="4"/>
    <n v="37"/>
    <n v="886.15"/>
    <x v="1"/>
    <x v="1"/>
    <x v="0"/>
  </r>
  <r>
    <x v="91"/>
    <n v="2"/>
    <n v="4"/>
    <n v="248"/>
    <n v="7427.5999999999995"/>
    <x v="0"/>
    <x v="0"/>
    <x v="0"/>
  </r>
  <r>
    <x v="409"/>
    <n v="2"/>
    <n v="1"/>
    <n v="116"/>
    <n v="3474.2"/>
    <x v="0"/>
    <x v="0"/>
    <x v="1"/>
  </r>
  <r>
    <x v="410"/>
    <n v="2"/>
    <n v="4"/>
    <n v="66"/>
    <n v="1976.7"/>
    <x v="0"/>
    <x v="0"/>
    <x v="0"/>
  </r>
  <r>
    <x v="411"/>
    <n v="4"/>
    <n v="3"/>
    <n v="5"/>
    <n v="119.75"/>
    <x v="1"/>
    <x v="1"/>
    <x v="0"/>
  </r>
  <r>
    <x v="412"/>
    <n v="2"/>
    <n v="4"/>
    <n v="126"/>
    <n v="3773.7"/>
    <x v="0"/>
    <x v="0"/>
    <x v="0"/>
  </r>
  <r>
    <x v="413"/>
    <n v="2"/>
    <n v="4"/>
    <n v="121"/>
    <n v="3623.95"/>
    <x v="0"/>
    <x v="0"/>
    <x v="0"/>
  </r>
  <r>
    <x v="247"/>
    <n v="2"/>
    <n v="4"/>
    <n v="126"/>
    <n v="3773.7"/>
    <x v="0"/>
    <x v="0"/>
    <x v="0"/>
  </r>
  <r>
    <x v="405"/>
    <n v="2"/>
    <n v="2"/>
    <n v="4"/>
    <n v="119.8"/>
    <x v="0"/>
    <x v="0"/>
    <x v="1"/>
  </r>
  <r>
    <x v="414"/>
    <n v="3"/>
    <n v="4"/>
    <n v="2"/>
    <n v="51.9"/>
    <x v="3"/>
    <x v="1"/>
    <x v="0"/>
  </r>
  <r>
    <x v="214"/>
    <n v="1"/>
    <n v="3"/>
    <n v="185"/>
    <n v="8130.7500000000009"/>
    <x v="2"/>
    <x v="0"/>
    <x v="0"/>
  </r>
  <r>
    <x v="415"/>
    <n v="2"/>
    <n v="2"/>
    <n v="6"/>
    <n v="179.7"/>
    <x v="0"/>
    <x v="0"/>
    <x v="1"/>
  </r>
  <r>
    <x v="368"/>
    <n v="3"/>
    <n v="4"/>
    <n v="159"/>
    <n v="4126.05"/>
    <x v="3"/>
    <x v="1"/>
    <x v="0"/>
  </r>
  <r>
    <x v="416"/>
    <n v="3"/>
    <n v="4"/>
    <n v="1"/>
    <n v="25.95"/>
    <x v="3"/>
    <x v="1"/>
    <x v="0"/>
  </r>
  <r>
    <x v="417"/>
    <n v="2"/>
    <n v="2"/>
    <n v="4"/>
    <n v="119.8"/>
    <x v="0"/>
    <x v="0"/>
    <x v="1"/>
  </r>
  <r>
    <x v="418"/>
    <n v="2"/>
    <n v="2"/>
    <n v="82"/>
    <n v="2455.9"/>
    <x v="0"/>
    <x v="0"/>
    <x v="1"/>
  </r>
  <r>
    <x v="315"/>
    <n v="3"/>
    <n v="2"/>
    <n v="11"/>
    <n v="285.45"/>
    <x v="3"/>
    <x v="1"/>
    <x v="1"/>
  </r>
  <r>
    <x v="45"/>
    <n v="2"/>
    <n v="3"/>
    <n v="65"/>
    <n v="1946.75"/>
    <x v="0"/>
    <x v="0"/>
    <x v="0"/>
  </r>
  <r>
    <x v="92"/>
    <n v="2"/>
    <n v="2"/>
    <n v="3"/>
    <n v="89.85"/>
    <x v="0"/>
    <x v="0"/>
    <x v="1"/>
  </r>
  <r>
    <x v="350"/>
    <n v="1"/>
    <n v="3"/>
    <n v="69"/>
    <n v="3032.55"/>
    <x v="2"/>
    <x v="0"/>
    <x v="0"/>
  </r>
  <r>
    <x v="419"/>
    <n v="2"/>
    <n v="1"/>
    <n v="3"/>
    <n v="89.85"/>
    <x v="0"/>
    <x v="0"/>
    <x v="1"/>
  </r>
  <r>
    <x v="331"/>
    <n v="1"/>
    <n v="2"/>
    <n v="72"/>
    <n v="3164.4"/>
    <x v="2"/>
    <x v="0"/>
    <x v="1"/>
  </r>
  <r>
    <x v="219"/>
    <n v="3"/>
    <n v="2"/>
    <n v="64"/>
    <n v="1660.8"/>
    <x v="3"/>
    <x v="1"/>
    <x v="1"/>
  </r>
  <r>
    <x v="420"/>
    <n v="4"/>
    <n v="4"/>
    <n v="80"/>
    <n v="1916"/>
    <x v="1"/>
    <x v="1"/>
    <x v="0"/>
  </r>
  <r>
    <x v="32"/>
    <n v="3"/>
    <n v="2"/>
    <n v="2"/>
    <n v="51.9"/>
    <x v="3"/>
    <x v="1"/>
    <x v="1"/>
  </r>
  <r>
    <x v="275"/>
    <n v="2"/>
    <n v="2"/>
    <n v="176"/>
    <n v="5271.2"/>
    <x v="0"/>
    <x v="0"/>
    <x v="1"/>
  </r>
  <r>
    <x v="421"/>
    <n v="4"/>
    <n v="3"/>
    <n v="110"/>
    <n v="2634.5"/>
    <x v="1"/>
    <x v="1"/>
    <x v="0"/>
  </r>
  <r>
    <x v="422"/>
    <n v="4"/>
    <n v="4"/>
    <n v="1"/>
    <n v="23.95"/>
    <x v="1"/>
    <x v="1"/>
    <x v="0"/>
  </r>
  <r>
    <x v="299"/>
    <n v="2"/>
    <n v="4"/>
    <n v="69"/>
    <n v="2066.5499999999997"/>
    <x v="0"/>
    <x v="0"/>
    <x v="0"/>
  </r>
  <r>
    <x v="182"/>
    <n v="2"/>
    <n v="4"/>
    <n v="5"/>
    <n v="149.75"/>
    <x v="0"/>
    <x v="0"/>
    <x v="0"/>
  </r>
  <r>
    <x v="174"/>
    <n v="2"/>
    <n v="1"/>
    <n v="1"/>
    <n v="29.95"/>
    <x v="0"/>
    <x v="0"/>
    <x v="1"/>
  </r>
  <r>
    <x v="423"/>
    <n v="2"/>
    <n v="2"/>
    <n v="107"/>
    <n v="3204.65"/>
    <x v="0"/>
    <x v="0"/>
    <x v="1"/>
  </r>
  <r>
    <x v="192"/>
    <n v="2"/>
    <n v="4"/>
    <n v="285"/>
    <n v="8535.75"/>
    <x v="0"/>
    <x v="0"/>
    <x v="0"/>
  </r>
  <r>
    <x v="120"/>
    <n v="1"/>
    <n v="4"/>
    <n v="3"/>
    <n v="131.85000000000002"/>
    <x v="2"/>
    <x v="0"/>
    <x v="0"/>
  </r>
  <r>
    <x v="424"/>
    <n v="2"/>
    <n v="2"/>
    <n v="131"/>
    <n v="3923.45"/>
    <x v="0"/>
    <x v="0"/>
    <x v="1"/>
  </r>
  <r>
    <x v="425"/>
    <n v="2"/>
    <n v="2"/>
    <n v="88"/>
    <n v="2635.6"/>
    <x v="0"/>
    <x v="0"/>
    <x v="1"/>
  </r>
  <r>
    <x v="426"/>
    <n v="2"/>
    <n v="2"/>
    <n v="5"/>
    <n v="149.75"/>
    <x v="0"/>
    <x v="0"/>
    <x v="1"/>
  </r>
  <r>
    <x v="427"/>
    <n v="2"/>
    <n v="2"/>
    <n v="200"/>
    <n v="5990"/>
    <x v="0"/>
    <x v="0"/>
    <x v="1"/>
  </r>
  <r>
    <x v="428"/>
    <n v="2"/>
    <n v="4"/>
    <n v="242"/>
    <n v="7247.9"/>
    <x v="0"/>
    <x v="0"/>
    <x v="0"/>
  </r>
  <r>
    <x v="429"/>
    <n v="2"/>
    <n v="4"/>
    <n v="83"/>
    <n v="2485.85"/>
    <x v="0"/>
    <x v="0"/>
    <x v="0"/>
  </r>
  <r>
    <x v="430"/>
    <n v="2"/>
    <n v="2"/>
    <n v="50"/>
    <n v="1497.5"/>
    <x v="0"/>
    <x v="0"/>
    <x v="1"/>
  </r>
  <r>
    <x v="431"/>
    <n v="4"/>
    <n v="2"/>
    <n v="89"/>
    <n v="2131.5499999999997"/>
    <x v="1"/>
    <x v="1"/>
    <x v="1"/>
  </r>
  <r>
    <x v="432"/>
    <n v="2"/>
    <n v="4"/>
    <n v="183"/>
    <n v="5480.8499999999995"/>
    <x v="0"/>
    <x v="0"/>
    <x v="0"/>
  </r>
  <r>
    <x v="433"/>
    <n v="2"/>
    <n v="4"/>
    <n v="102"/>
    <n v="3054.9"/>
    <x v="0"/>
    <x v="0"/>
    <x v="0"/>
  </r>
  <r>
    <x v="434"/>
    <n v="2"/>
    <n v="2"/>
    <n v="86"/>
    <n v="2575.6999999999998"/>
    <x v="0"/>
    <x v="0"/>
    <x v="1"/>
  </r>
  <r>
    <x v="435"/>
    <n v="1"/>
    <n v="2"/>
    <n v="142"/>
    <n v="6240.9000000000005"/>
    <x v="2"/>
    <x v="0"/>
    <x v="1"/>
  </r>
  <r>
    <x v="436"/>
    <n v="3"/>
    <n v="2"/>
    <n v="205"/>
    <n v="5319.75"/>
    <x v="3"/>
    <x v="1"/>
    <x v="1"/>
  </r>
  <r>
    <x v="437"/>
    <n v="2"/>
    <n v="2"/>
    <n v="5"/>
    <n v="149.75"/>
    <x v="0"/>
    <x v="0"/>
    <x v="1"/>
  </r>
  <r>
    <x v="438"/>
    <n v="3"/>
    <n v="2"/>
    <n v="3"/>
    <n v="77.849999999999994"/>
    <x v="3"/>
    <x v="1"/>
    <x v="1"/>
  </r>
  <r>
    <x v="439"/>
    <n v="4"/>
    <n v="1"/>
    <n v="131"/>
    <n v="3137.45"/>
    <x v="1"/>
    <x v="1"/>
    <x v="1"/>
  </r>
  <r>
    <x v="440"/>
    <n v="3"/>
    <n v="3"/>
    <n v="132"/>
    <n v="3425.4"/>
    <x v="3"/>
    <x v="1"/>
    <x v="0"/>
  </r>
  <r>
    <x v="441"/>
    <n v="1"/>
    <n v="4"/>
    <n v="80"/>
    <n v="3516"/>
    <x v="2"/>
    <x v="0"/>
    <x v="0"/>
  </r>
  <r>
    <x v="442"/>
    <n v="4"/>
    <n v="4"/>
    <n v="4"/>
    <n v="95.8"/>
    <x v="1"/>
    <x v="1"/>
    <x v="0"/>
  </r>
  <r>
    <x v="443"/>
    <n v="2"/>
    <n v="4"/>
    <n v="176"/>
    <n v="5271.2"/>
    <x v="0"/>
    <x v="0"/>
    <x v="0"/>
  </r>
  <r>
    <x v="444"/>
    <n v="2"/>
    <n v="2"/>
    <n v="5"/>
    <n v="149.75"/>
    <x v="0"/>
    <x v="0"/>
    <x v="1"/>
  </r>
  <r>
    <x v="445"/>
    <n v="2"/>
    <n v="2"/>
    <n v="56"/>
    <n v="1677.2"/>
    <x v="0"/>
    <x v="0"/>
    <x v="1"/>
  </r>
  <r>
    <x v="446"/>
    <n v="1"/>
    <n v="4"/>
    <n v="2"/>
    <n v="87.9"/>
    <x v="2"/>
    <x v="0"/>
    <x v="0"/>
  </r>
  <r>
    <x v="447"/>
    <n v="2"/>
    <n v="4"/>
    <n v="78"/>
    <n v="2336.1"/>
    <x v="0"/>
    <x v="0"/>
    <x v="0"/>
  </r>
  <r>
    <x v="448"/>
    <n v="2"/>
    <n v="2"/>
    <n v="63"/>
    <n v="1886.85"/>
    <x v="0"/>
    <x v="0"/>
    <x v="1"/>
  </r>
  <r>
    <x v="449"/>
    <n v="2"/>
    <n v="2"/>
    <n v="188"/>
    <n v="5630.5999999999995"/>
    <x v="0"/>
    <x v="0"/>
    <x v="1"/>
  </r>
  <r>
    <x v="450"/>
    <n v="4"/>
    <n v="2"/>
    <n v="85"/>
    <n v="2035.75"/>
    <x v="1"/>
    <x v="1"/>
    <x v="1"/>
  </r>
  <r>
    <x v="451"/>
    <n v="2"/>
    <n v="4"/>
    <n v="139"/>
    <n v="4163.05"/>
    <x v="0"/>
    <x v="0"/>
    <x v="0"/>
  </r>
  <r>
    <x v="452"/>
    <n v="2"/>
    <n v="2"/>
    <n v="175"/>
    <n v="5241.25"/>
    <x v="0"/>
    <x v="0"/>
    <x v="1"/>
  </r>
  <r>
    <x v="453"/>
    <n v="1"/>
    <n v="2"/>
    <n v="3"/>
    <n v="131.85000000000002"/>
    <x v="2"/>
    <x v="0"/>
    <x v="1"/>
  </r>
  <r>
    <x v="454"/>
    <n v="2"/>
    <n v="4"/>
    <n v="64"/>
    <n v="1916.8"/>
    <x v="0"/>
    <x v="0"/>
    <x v="0"/>
  </r>
  <r>
    <x v="444"/>
    <n v="2"/>
    <n v="2"/>
    <n v="95"/>
    <n v="2845.25"/>
    <x v="0"/>
    <x v="0"/>
    <x v="1"/>
  </r>
  <r>
    <x v="446"/>
    <n v="3"/>
    <n v="4"/>
    <n v="85"/>
    <n v="2205.75"/>
    <x v="3"/>
    <x v="1"/>
    <x v="0"/>
  </r>
  <r>
    <x v="455"/>
    <n v="2"/>
    <n v="2"/>
    <n v="89"/>
    <n v="2665.5499999999997"/>
    <x v="0"/>
    <x v="0"/>
    <x v="1"/>
  </r>
  <r>
    <x v="456"/>
    <n v="3"/>
    <n v="4"/>
    <n v="3"/>
    <n v="77.849999999999994"/>
    <x v="3"/>
    <x v="1"/>
    <x v="0"/>
  </r>
  <r>
    <x v="457"/>
    <n v="2"/>
    <n v="4"/>
    <n v="287"/>
    <n v="8595.65"/>
    <x v="0"/>
    <x v="0"/>
    <x v="0"/>
  </r>
  <r>
    <x v="458"/>
    <n v="3"/>
    <n v="4"/>
    <n v="1"/>
    <n v="25.95"/>
    <x v="3"/>
    <x v="1"/>
    <x v="0"/>
  </r>
  <r>
    <x v="459"/>
    <n v="1"/>
    <n v="2"/>
    <n v="171"/>
    <n v="7515.4500000000007"/>
    <x v="2"/>
    <x v="0"/>
    <x v="1"/>
  </r>
  <r>
    <x v="460"/>
    <n v="2"/>
    <n v="4"/>
    <n v="29"/>
    <n v="868.55"/>
    <x v="0"/>
    <x v="0"/>
    <x v="0"/>
  </r>
  <r>
    <x v="461"/>
    <n v="4"/>
    <n v="2"/>
    <n v="142"/>
    <n v="3400.9"/>
    <x v="1"/>
    <x v="1"/>
    <x v="1"/>
  </r>
  <r>
    <x v="454"/>
    <n v="2"/>
    <n v="4"/>
    <n v="4"/>
    <n v="119.8"/>
    <x v="0"/>
    <x v="0"/>
    <x v="0"/>
  </r>
  <r>
    <x v="462"/>
    <n v="2"/>
    <n v="1"/>
    <n v="66"/>
    <n v="1976.7"/>
    <x v="0"/>
    <x v="0"/>
    <x v="1"/>
  </r>
  <r>
    <x v="463"/>
    <n v="2"/>
    <n v="2"/>
    <n v="4"/>
    <n v="119.8"/>
    <x v="0"/>
    <x v="0"/>
    <x v="1"/>
  </r>
  <r>
    <x v="464"/>
    <n v="2"/>
    <n v="2"/>
    <n v="3"/>
    <n v="89.85"/>
    <x v="0"/>
    <x v="0"/>
    <x v="1"/>
  </r>
  <r>
    <x v="465"/>
    <n v="1"/>
    <n v="3"/>
    <n v="88"/>
    <n v="3867.6000000000004"/>
    <x v="2"/>
    <x v="0"/>
    <x v="0"/>
  </r>
  <r>
    <x v="466"/>
    <n v="3"/>
    <n v="1"/>
    <n v="2"/>
    <n v="51.9"/>
    <x v="3"/>
    <x v="1"/>
    <x v="1"/>
  </r>
  <r>
    <x v="467"/>
    <n v="4"/>
    <n v="2"/>
    <n v="69"/>
    <n v="1652.55"/>
    <x v="1"/>
    <x v="1"/>
    <x v="1"/>
  </r>
  <r>
    <x v="468"/>
    <n v="2"/>
    <n v="2"/>
    <n v="97"/>
    <n v="2905.15"/>
    <x v="0"/>
    <x v="0"/>
    <x v="1"/>
  </r>
  <r>
    <x v="469"/>
    <n v="2"/>
    <n v="4"/>
    <n v="4"/>
    <n v="119.8"/>
    <x v="0"/>
    <x v="0"/>
    <x v="0"/>
  </r>
  <r>
    <x v="470"/>
    <n v="2"/>
    <n v="4"/>
    <n v="76"/>
    <n v="2276.1999999999998"/>
    <x v="0"/>
    <x v="0"/>
    <x v="0"/>
  </r>
  <r>
    <x v="471"/>
    <n v="2"/>
    <n v="4"/>
    <n v="75"/>
    <n v="2246.25"/>
    <x v="0"/>
    <x v="0"/>
    <x v="0"/>
  </r>
  <r>
    <x v="472"/>
    <n v="2"/>
    <n v="2"/>
    <n v="145"/>
    <n v="4342.75"/>
    <x v="0"/>
    <x v="0"/>
    <x v="1"/>
  </r>
  <r>
    <x v="473"/>
    <n v="2"/>
    <n v="2"/>
    <n v="81"/>
    <n v="2425.9499999999998"/>
    <x v="0"/>
    <x v="0"/>
    <x v="1"/>
  </r>
  <r>
    <x v="474"/>
    <n v="3"/>
    <n v="4"/>
    <n v="2"/>
    <n v="51.9"/>
    <x v="3"/>
    <x v="1"/>
    <x v="0"/>
  </r>
  <r>
    <x v="475"/>
    <n v="1"/>
    <n v="4"/>
    <n v="81"/>
    <n v="3559.9500000000003"/>
    <x v="2"/>
    <x v="0"/>
    <x v="0"/>
  </r>
  <r>
    <x v="476"/>
    <n v="2"/>
    <n v="4"/>
    <n v="92"/>
    <n v="2755.4"/>
    <x v="0"/>
    <x v="0"/>
    <x v="0"/>
  </r>
  <r>
    <x v="477"/>
    <n v="2"/>
    <n v="2"/>
    <n v="93"/>
    <n v="2785.35"/>
    <x v="0"/>
    <x v="0"/>
    <x v="1"/>
  </r>
  <r>
    <x v="478"/>
    <n v="2"/>
    <n v="1"/>
    <n v="51"/>
    <n v="1527.45"/>
    <x v="0"/>
    <x v="0"/>
    <x v="1"/>
  </r>
  <r>
    <x v="465"/>
    <n v="2"/>
    <n v="4"/>
    <n v="102"/>
    <n v="3054.9"/>
    <x v="0"/>
    <x v="0"/>
    <x v="0"/>
  </r>
  <r>
    <x v="479"/>
    <n v="2"/>
    <n v="4"/>
    <n v="62"/>
    <n v="1856.8999999999999"/>
    <x v="0"/>
    <x v="0"/>
    <x v="0"/>
  </r>
  <r>
    <x v="457"/>
    <n v="1"/>
    <n v="2"/>
    <n v="173"/>
    <n v="7603.35"/>
    <x v="2"/>
    <x v="0"/>
    <x v="1"/>
  </r>
  <r>
    <x v="480"/>
    <n v="2"/>
    <n v="2"/>
    <n v="118"/>
    <n v="3534.1"/>
    <x v="0"/>
    <x v="0"/>
    <x v="1"/>
  </r>
  <r>
    <x v="481"/>
    <n v="2"/>
    <n v="4"/>
    <n v="52"/>
    <n v="1557.3999999999999"/>
    <x v="0"/>
    <x v="0"/>
    <x v="0"/>
  </r>
  <r>
    <x v="482"/>
    <n v="2"/>
    <n v="3"/>
    <n v="63"/>
    <n v="1886.85"/>
    <x v="0"/>
    <x v="0"/>
    <x v="0"/>
  </r>
  <r>
    <x v="483"/>
    <n v="2"/>
    <n v="4"/>
    <n v="86"/>
    <n v="2575.6999999999998"/>
    <x v="0"/>
    <x v="0"/>
    <x v="0"/>
  </r>
  <r>
    <x v="484"/>
    <n v="4"/>
    <n v="4"/>
    <n v="282"/>
    <n v="6753.9"/>
    <x v="1"/>
    <x v="1"/>
    <x v="0"/>
  </r>
  <r>
    <x v="485"/>
    <n v="3"/>
    <n v="4"/>
    <n v="24"/>
    <n v="622.79999999999995"/>
    <x v="3"/>
    <x v="1"/>
    <x v="0"/>
  </r>
  <r>
    <x v="439"/>
    <n v="2"/>
    <n v="4"/>
    <n v="88"/>
    <n v="2635.6"/>
    <x v="0"/>
    <x v="0"/>
    <x v="0"/>
  </r>
  <r>
    <x v="441"/>
    <n v="3"/>
    <n v="2"/>
    <n v="259"/>
    <n v="6721.05"/>
    <x v="3"/>
    <x v="1"/>
    <x v="1"/>
  </r>
  <r>
    <x v="441"/>
    <n v="2"/>
    <n v="4"/>
    <n v="98"/>
    <n v="2935.1"/>
    <x v="0"/>
    <x v="0"/>
    <x v="0"/>
  </r>
  <r>
    <x v="449"/>
    <n v="2"/>
    <n v="4"/>
    <n v="4"/>
    <n v="119.8"/>
    <x v="0"/>
    <x v="0"/>
    <x v="0"/>
  </r>
  <r>
    <x v="441"/>
    <n v="2"/>
    <n v="4"/>
    <n v="65"/>
    <n v="1946.75"/>
    <x v="0"/>
    <x v="0"/>
    <x v="0"/>
  </r>
  <r>
    <x v="486"/>
    <n v="2"/>
    <n v="3"/>
    <n v="238"/>
    <n v="7128.0999999999995"/>
    <x v="0"/>
    <x v="0"/>
    <x v="0"/>
  </r>
  <r>
    <x v="487"/>
    <n v="1"/>
    <n v="1"/>
    <n v="1"/>
    <n v="43.95"/>
    <x v="2"/>
    <x v="0"/>
    <x v="1"/>
  </r>
  <r>
    <x v="488"/>
    <n v="2"/>
    <n v="2"/>
    <n v="116"/>
    <n v="3474.2"/>
    <x v="0"/>
    <x v="0"/>
    <x v="1"/>
  </r>
  <r>
    <x v="428"/>
    <n v="2"/>
    <n v="1"/>
    <n v="176"/>
    <n v="5271.2"/>
    <x v="0"/>
    <x v="0"/>
    <x v="1"/>
  </r>
  <r>
    <x v="489"/>
    <n v="2"/>
    <n v="4"/>
    <n v="98"/>
    <n v="2935.1"/>
    <x v="0"/>
    <x v="0"/>
    <x v="0"/>
  </r>
  <r>
    <x v="490"/>
    <n v="2"/>
    <n v="4"/>
    <n v="6"/>
    <n v="179.7"/>
    <x v="0"/>
    <x v="0"/>
    <x v="0"/>
  </r>
  <r>
    <x v="491"/>
    <n v="1"/>
    <n v="4"/>
    <n v="64"/>
    <n v="2812.8"/>
    <x v="2"/>
    <x v="0"/>
    <x v="0"/>
  </r>
  <r>
    <x v="492"/>
    <n v="2"/>
    <n v="2"/>
    <n v="119"/>
    <n v="3564.0499999999997"/>
    <x v="0"/>
    <x v="0"/>
    <x v="1"/>
  </r>
  <r>
    <x v="493"/>
    <n v="1"/>
    <n v="2"/>
    <n v="262"/>
    <n v="11514.900000000001"/>
    <x v="2"/>
    <x v="0"/>
    <x v="1"/>
  </r>
  <r>
    <x v="494"/>
    <n v="2"/>
    <n v="1"/>
    <n v="4"/>
    <n v="119.8"/>
    <x v="0"/>
    <x v="0"/>
    <x v="1"/>
  </r>
  <r>
    <x v="468"/>
    <n v="2"/>
    <n v="1"/>
    <n v="1"/>
    <n v="29.95"/>
    <x v="0"/>
    <x v="0"/>
    <x v="1"/>
  </r>
  <r>
    <x v="495"/>
    <n v="2"/>
    <n v="2"/>
    <n v="96"/>
    <n v="2875.2"/>
    <x v="0"/>
    <x v="0"/>
    <x v="1"/>
  </r>
  <r>
    <x v="496"/>
    <n v="3"/>
    <n v="2"/>
    <n v="4"/>
    <n v="103.8"/>
    <x v="3"/>
    <x v="1"/>
    <x v="1"/>
  </r>
  <r>
    <x v="497"/>
    <n v="2"/>
    <n v="2"/>
    <n v="116"/>
    <n v="3474.2"/>
    <x v="0"/>
    <x v="0"/>
    <x v="1"/>
  </r>
  <r>
    <x v="498"/>
    <n v="3"/>
    <n v="4"/>
    <n v="91"/>
    <n v="2361.4499999999998"/>
    <x v="3"/>
    <x v="1"/>
    <x v="0"/>
  </r>
  <r>
    <x v="499"/>
    <n v="1"/>
    <n v="2"/>
    <n v="107"/>
    <n v="4702.6500000000005"/>
    <x v="2"/>
    <x v="0"/>
    <x v="1"/>
  </r>
  <r>
    <x v="466"/>
    <n v="2"/>
    <n v="4"/>
    <n v="101"/>
    <n v="3024.95"/>
    <x v="0"/>
    <x v="0"/>
    <x v="0"/>
  </r>
  <r>
    <x v="500"/>
    <n v="2"/>
    <n v="1"/>
    <n v="61"/>
    <n v="1826.95"/>
    <x v="0"/>
    <x v="0"/>
    <x v="1"/>
  </r>
  <r>
    <x v="501"/>
    <n v="2"/>
    <n v="4"/>
    <n v="77"/>
    <n v="2306.15"/>
    <x v="0"/>
    <x v="0"/>
    <x v="0"/>
  </r>
  <r>
    <x v="502"/>
    <n v="4"/>
    <n v="4"/>
    <n v="265"/>
    <n v="6346.75"/>
    <x v="1"/>
    <x v="1"/>
    <x v="0"/>
  </r>
  <r>
    <x v="427"/>
    <n v="1"/>
    <n v="4"/>
    <n v="4"/>
    <n v="175.8"/>
    <x v="2"/>
    <x v="0"/>
    <x v="0"/>
  </r>
  <r>
    <x v="460"/>
    <n v="3"/>
    <n v="2"/>
    <n v="3"/>
    <n v="77.849999999999994"/>
    <x v="3"/>
    <x v="1"/>
    <x v="1"/>
  </r>
  <r>
    <x v="503"/>
    <n v="2"/>
    <n v="2"/>
    <n v="92"/>
    <n v="2755.4"/>
    <x v="0"/>
    <x v="0"/>
    <x v="1"/>
  </r>
  <r>
    <x v="504"/>
    <n v="3"/>
    <n v="4"/>
    <n v="103"/>
    <n v="2672.85"/>
    <x v="3"/>
    <x v="1"/>
    <x v="0"/>
  </r>
  <r>
    <x v="505"/>
    <n v="3"/>
    <n v="2"/>
    <n v="94"/>
    <n v="2439.2999999999997"/>
    <x v="3"/>
    <x v="1"/>
    <x v="1"/>
  </r>
  <r>
    <x v="506"/>
    <n v="2"/>
    <n v="2"/>
    <n v="177"/>
    <n v="5301.15"/>
    <x v="0"/>
    <x v="0"/>
    <x v="1"/>
  </r>
  <r>
    <x v="507"/>
    <n v="2"/>
    <n v="2"/>
    <n v="58"/>
    <n v="1737.1"/>
    <x v="0"/>
    <x v="0"/>
    <x v="1"/>
  </r>
  <r>
    <x v="442"/>
    <n v="2"/>
    <n v="4"/>
    <n v="80"/>
    <n v="2396"/>
    <x v="0"/>
    <x v="0"/>
    <x v="0"/>
  </r>
  <r>
    <x v="508"/>
    <n v="2"/>
    <n v="2"/>
    <n v="80"/>
    <n v="2396"/>
    <x v="0"/>
    <x v="0"/>
    <x v="1"/>
  </r>
  <r>
    <x v="509"/>
    <n v="2"/>
    <n v="2"/>
    <n v="269"/>
    <n v="8056.55"/>
    <x v="0"/>
    <x v="0"/>
    <x v="1"/>
  </r>
  <r>
    <x v="510"/>
    <n v="2"/>
    <n v="3"/>
    <n v="37"/>
    <n v="1108.1499999999999"/>
    <x v="0"/>
    <x v="0"/>
    <x v="0"/>
  </r>
  <r>
    <x v="511"/>
    <n v="2"/>
    <n v="4"/>
    <n v="36"/>
    <n v="1078.2"/>
    <x v="0"/>
    <x v="0"/>
    <x v="0"/>
  </r>
  <r>
    <x v="512"/>
    <n v="4"/>
    <n v="2"/>
    <n v="4"/>
    <n v="95.8"/>
    <x v="1"/>
    <x v="1"/>
    <x v="1"/>
  </r>
  <r>
    <x v="434"/>
    <n v="2"/>
    <n v="2"/>
    <n v="94"/>
    <n v="2815.2999999999997"/>
    <x v="0"/>
    <x v="0"/>
    <x v="1"/>
  </r>
  <r>
    <x v="493"/>
    <n v="1"/>
    <n v="4"/>
    <n v="4"/>
    <n v="175.8"/>
    <x v="2"/>
    <x v="0"/>
    <x v="0"/>
  </r>
  <r>
    <x v="494"/>
    <n v="3"/>
    <n v="2"/>
    <n v="64"/>
    <n v="1660.8"/>
    <x v="3"/>
    <x v="1"/>
    <x v="1"/>
  </r>
  <r>
    <x v="513"/>
    <n v="2"/>
    <n v="1"/>
    <n v="2"/>
    <n v="59.9"/>
    <x v="0"/>
    <x v="0"/>
    <x v="1"/>
  </r>
  <r>
    <x v="514"/>
    <n v="4"/>
    <n v="4"/>
    <n v="80"/>
    <n v="1916"/>
    <x v="1"/>
    <x v="1"/>
    <x v="0"/>
  </r>
  <r>
    <x v="427"/>
    <n v="2"/>
    <n v="1"/>
    <n v="155"/>
    <n v="4642.25"/>
    <x v="0"/>
    <x v="0"/>
    <x v="1"/>
  </r>
  <r>
    <x v="454"/>
    <n v="2"/>
    <n v="4"/>
    <n v="64"/>
    <n v="1916.8"/>
    <x v="0"/>
    <x v="0"/>
    <x v="0"/>
  </r>
  <r>
    <x v="515"/>
    <n v="2"/>
    <n v="4"/>
    <n v="86"/>
    <n v="2575.6999999999998"/>
    <x v="0"/>
    <x v="0"/>
    <x v="0"/>
  </r>
  <r>
    <x v="448"/>
    <n v="2"/>
    <n v="2"/>
    <n v="49"/>
    <n v="1467.55"/>
    <x v="0"/>
    <x v="0"/>
    <x v="1"/>
  </r>
  <r>
    <x v="511"/>
    <n v="2"/>
    <n v="4"/>
    <n v="153"/>
    <n v="4582.3499999999995"/>
    <x v="0"/>
    <x v="0"/>
    <x v="0"/>
  </r>
  <r>
    <x v="465"/>
    <n v="2"/>
    <n v="1"/>
    <n v="110"/>
    <n v="3294.5"/>
    <x v="0"/>
    <x v="0"/>
    <x v="1"/>
  </r>
  <r>
    <x v="516"/>
    <n v="3"/>
    <n v="2"/>
    <n v="291"/>
    <n v="7551.45"/>
    <x v="3"/>
    <x v="1"/>
    <x v="1"/>
  </r>
  <r>
    <x v="517"/>
    <n v="2"/>
    <n v="4"/>
    <n v="131"/>
    <n v="3923.45"/>
    <x v="0"/>
    <x v="0"/>
    <x v="0"/>
  </r>
  <r>
    <x v="518"/>
    <n v="2"/>
    <n v="4"/>
    <n v="87"/>
    <n v="2605.65"/>
    <x v="0"/>
    <x v="0"/>
    <x v="0"/>
  </r>
  <r>
    <x v="519"/>
    <n v="3"/>
    <n v="4"/>
    <n v="112"/>
    <n v="2906.4"/>
    <x v="3"/>
    <x v="1"/>
    <x v="0"/>
  </r>
  <r>
    <x v="520"/>
    <n v="1"/>
    <n v="2"/>
    <n v="83"/>
    <n v="3647.8500000000004"/>
    <x v="2"/>
    <x v="0"/>
    <x v="1"/>
  </r>
  <r>
    <x v="479"/>
    <n v="2"/>
    <n v="2"/>
    <n v="4"/>
    <n v="119.8"/>
    <x v="0"/>
    <x v="0"/>
    <x v="1"/>
  </r>
  <r>
    <x v="429"/>
    <n v="3"/>
    <n v="2"/>
    <n v="102"/>
    <n v="2646.9"/>
    <x v="3"/>
    <x v="1"/>
    <x v="1"/>
  </r>
  <r>
    <x v="433"/>
    <n v="2"/>
    <n v="4"/>
    <n v="6"/>
    <n v="179.7"/>
    <x v="0"/>
    <x v="0"/>
    <x v="0"/>
  </r>
  <r>
    <x v="521"/>
    <n v="2"/>
    <n v="4"/>
    <n v="92"/>
    <n v="2755.4"/>
    <x v="0"/>
    <x v="0"/>
    <x v="0"/>
  </r>
  <r>
    <x v="522"/>
    <n v="2"/>
    <n v="4"/>
    <n v="121"/>
    <n v="3623.95"/>
    <x v="0"/>
    <x v="0"/>
    <x v="0"/>
  </r>
  <r>
    <x v="523"/>
    <n v="2"/>
    <n v="2"/>
    <n v="122"/>
    <n v="3653.9"/>
    <x v="0"/>
    <x v="0"/>
    <x v="1"/>
  </r>
  <r>
    <x v="524"/>
    <n v="2"/>
    <n v="2"/>
    <n v="80"/>
    <n v="2396"/>
    <x v="0"/>
    <x v="0"/>
    <x v="1"/>
  </r>
  <r>
    <x v="525"/>
    <n v="3"/>
    <n v="3"/>
    <n v="97"/>
    <n v="2517.15"/>
    <x v="3"/>
    <x v="1"/>
    <x v="0"/>
  </r>
  <r>
    <x v="526"/>
    <n v="2"/>
    <n v="1"/>
    <n v="91"/>
    <n v="2725.45"/>
    <x v="0"/>
    <x v="0"/>
    <x v="1"/>
  </r>
  <r>
    <x v="436"/>
    <n v="2"/>
    <n v="2"/>
    <n v="2"/>
    <n v="59.9"/>
    <x v="0"/>
    <x v="0"/>
    <x v="1"/>
  </r>
  <r>
    <x v="460"/>
    <n v="3"/>
    <n v="2"/>
    <n v="1"/>
    <n v="25.95"/>
    <x v="3"/>
    <x v="1"/>
    <x v="1"/>
  </r>
  <r>
    <x v="527"/>
    <n v="2"/>
    <n v="4"/>
    <n v="68"/>
    <n v="2036.6"/>
    <x v="0"/>
    <x v="0"/>
    <x v="0"/>
  </r>
  <r>
    <x v="528"/>
    <n v="4"/>
    <n v="2"/>
    <n v="1"/>
    <n v="23.95"/>
    <x v="1"/>
    <x v="1"/>
    <x v="1"/>
  </r>
  <r>
    <x v="444"/>
    <n v="3"/>
    <n v="4"/>
    <n v="6"/>
    <n v="155.69999999999999"/>
    <x v="3"/>
    <x v="1"/>
    <x v="0"/>
  </r>
  <r>
    <x v="431"/>
    <n v="4"/>
    <n v="2"/>
    <n v="56"/>
    <n v="1341.2"/>
    <x v="1"/>
    <x v="1"/>
    <x v="1"/>
  </r>
  <r>
    <x v="529"/>
    <n v="2"/>
    <n v="4"/>
    <n v="149"/>
    <n v="4462.55"/>
    <x v="0"/>
    <x v="0"/>
    <x v="0"/>
  </r>
  <r>
    <x v="530"/>
    <n v="2"/>
    <n v="1"/>
    <n v="3"/>
    <n v="89.85"/>
    <x v="0"/>
    <x v="0"/>
    <x v="1"/>
  </r>
  <r>
    <x v="531"/>
    <n v="2"/>
    <n v="4"/>
    <n v="3"/>
    <n v="89.85"/>
    <x v="0"/>
    <x v="0"/>
    <x v="0"/>
  </r>
  <r>
    <x v="532"/>
    <n v="1"/>
    <n v="4"/>
    <n v="1"/>
    <n v="43.95"/>
    <x v="2"/>
    <x v="0"/>
    <x v="0"/>
  </r>
  <r>
    <x v="533"/>
    <n v="3"/>
    <n v="2"/>
    <n v="94"/>
    <n v="2439.2999999999997"/>
    <x v="3"/>
    <x v="1"/>
    <x v="1"/>
  </r>
  <r>
    <x v="534"/>
    <n v="2"/>
    <n v="2"/>
    <n v="247"/>
    <n v="7397.65"/>
    <x v="0"/>
    <x v="0"/>
    <x v="1"/>
  </r>
  <r>
    <x v="535"/>
    <n v="2"/>
    <n v="2"/>
    <n v="73"/>
    <n v="2186.35"/>
    <x v="0"/>
    <x v="0"/>
    <x v="1"/>
  </r>
  <r>
    <x v="536"/>
    <n v="3"/>
    <n v="2"/>
    <n v="40"/>
    <n v="1038"/>
    <x v="3"/>
    <x v="1"/>
    <x v="1"/>
  </r>
  <r>
    <x v="537"/>
    <n v="2"/>
    <n v="4"/>
    <n v="111"/>
    <n v="3324.45"/>
    <x v="0"/>
    <x v="0"/>
    <x v="0"/>
  </r>
  <r>
    <x v="454"/>
    <n v="2"/>
    <n v="2"/>
    <n v="162"/>
    <n v="4851.8999999999996"/>
    <x v="0"/>
    <x v="0"/>
    <x v="1"/>
  </r>
  <r>
    <x v="511"/>
    <n v="2"/>
    <n v="1"/>
    <n v="78"/>
    <n v="2336.1"/>
    <x v="0"/>
    <x v="0"/>
    <x v="1"/>
  </r>
  <r>
    <x v="538"/>
    <n v="3"/>
    <n v="4"/>
    <n v="83"/>
    <n v="2153.85"/>
    <x v="3"/>
    <x v="1"/>
    <x v="0"/>
  </r>
  <r>
    <x v="476"/>
    <n v="3"/>
    <n v="4"/>
    <n v="5"/>
    <n v="129.75"/>
    <x v="3"/>
    <x v="1"/>
    <x v="0"/>
  </r>
  <r>
    <x v="539"/>
    <n v="2"/>
    <n v="4"/>
    <n v="84"/>
    <n v="2515.7999999999997"/>
    <x v="0"/>
    <x v="0"/>
    <x v="0"/>
  </r>
  <r>
    <x v="484"/>
    <n v="3"/>
    <n v="3"/>
    <n v="267"/>
    <n v="6928.65"/>
    <x v="3"/>
    <x v="1"/>
    <x v="0"/>
  </r>
  <r>
    <x v="458"/>
    <n v="2"/>
    <n v="2"/>
    <n v="61"/>
    <n v="1826.95"/>
    <x v="0"/>
    <x v="0"/>
    <x v="1"/>
  </r>
  <r>
    <x v="540"/>
    <n v="3"/>
    <n v="2"/>
    <n v="3"/>
    <n v="77.849999999999994"/>
    <x v="3"/>
    <x v="1"/>
    <x v="1"/>
  </r>
  <r>
    <x v="470"/>
    <n v="2"/>
    <n v="4"/>
    <n v="4"/>
    <n v="119.8"/>
    <x v="0"/>
    <x v="0"/>
    <x v="0"/>
  </r>
  <r>
    <x v="541"/>
    <n v="2"/>
    <n v="4"/>
    <n v="113"/>
    <n v="3384.35"/>
    <x v="0"/>
    <x v="0"/>
    <x v="0"/>
  </r>
  <r>
    <x v="464"/>
    <n v="2"/>
    <n v="1"/>
    <n v="83"/>
    <n v="2485.85"/>
    <x v="0"/>
    <x v="0"/>
    <x v="1"/>
  </r>
  <r>
    <x v="462"/>
    <n v="3"/>
    <n v="2"/>
    <n v="23"/>
    <n v="596.85"/>
    <x v="3"/>
    <x v="1"/>
    <x v="1"/>
  </r>
  <r>
    <x v="542"/>
    <n v="1"/>
    <n v="4"/>
    <n v="300"/>
    <n v="13185"/>
    <x v="2"/>
    <x v="0"/>
    <x v="0"/>
  </r>
  <r>
    <x v="499"/>
    <n v="2"/>
    <n v="2"/>
    <n v="4"/>
    <n v="119.8"/>
    <x v="0"/>
    <x v="0"/>
    <x v="1"/>
  </r>
  <r>
    <x v="543"/>
    <n v="2"/>
    <n v="2"/>
    <n v="2"/>
    <n v="59.9"/>
    <x v="0"/>
    <x v="0"/>
    <x v="1"/>
  </r>
  <r>
    <x v="460"/>
    <n v="1"/>
    <n v="1"/>
    <n v="5"/>
    <n v="219.75"/>
    <x v="2"/>
    <x v="0"/>
    <x v="1"/>
  </r>
  <r>
    <x v="544"/>
    <n v="1"/>
    <n v="2"/>
    <n v="6"/>
    <n v="263.70000000000005"/>
    <x v="2"/>
    <x v="0"/>
    <x v="1"/>
  </r>
  <r>
    <x v="545"/>
    <n v="2"/>
    <n v="2"/>
    <n v="94"/>
    <n v="2815.2999999999997"/>
    <x v="0"/>
    <x v="0"/>
    <x v="1"/>
  </r>
  <r>
    <x v="490"/>
    <n v="2"/>
    <n v="4"/>
    <n v="1"/>
    <n v="29.95"/>
    <x v="0"/>
    <x v="0"/>
    <x v="0"/>
  </r>
  <r>
    <x v="468"/>
    <n v="2"/>
    <n v="4"/>
    <n v="74"/>
    <n v="2216.2999999999997"/>
    <x v="0"/>
    <x v="0"/>
    <x v="0"/>
  </r>
  <r>
    <x v="546"/>
    <n v="2"/>
    <n v="4"/>
    <n v="23"/>
    <n v="688.85"/>
    <x v="0"/>
    <x v="0"/>
    <x v="0"/>
  </r>
  <r>
    <x v="467"/>
    <n v="2"/>
    <n v="4"/>
    <n v="4"/>
    <n v="119.8"/>
    <x v="0"/>
    <x v="0"/>
    <x v="0"/>
  </r>
  <r>
    <x v="494"/>
    <n v="2"/>
    <n v="2"/>
    <n v="111"/>
    <n v="3324.45"/>
    <x v="0"/>
    <x v="0"/>
    <x v="1"/>
  </r>
  <r>
    <x v="547"/>
    <n v="3"/>
    <n v="1"/>
    <n v="93"/>
    <n v="2413.35"/>
    <x v="3"/>
    <x v="1"/>
    <x v="1"/>
  </r>
  <r>
    <x v="497"/>
    <n v="2"/>
    <n v="2"/>
    <n v="135"/>
    <n v="4043.25"/>
    <x v="0"/>
    <x v="0"/>
    <x v="1"/>
  </r>
  <r>
    <x v="548"/>
    <n v="2"/>
    <n v="2"/>
    <n v="74"/>
    <n v="2216.2999999999997"/>
    <x v="0"/>
    <x v="0"/>
    <x v="1"/>
  </r>
  <r>
    <x v="495"/>
    <n v="2"/>
    <n v="4"/>
    <n v="1"/>
    <n v="29.95"/>
    <x v="0"/>
    <x v="0"/>
    <x v="0"/>
  </r>
  <r>
    <x v="549"/>
    <n v="2"/>
    <n v="2"/>
    <n v="3"/>
    <n v="89.85"/>
    <x v="0"/>
    <x v="0"/>
    <x v="1"/>
  </r>
  <r>
    <x v="550"/>
    <n v="3"/>
    <n v="4"/>
    <n v="6"/>
    <n v="155.69999999999999"/>
    <x v="3"/>
    <x v="1"/>
    <x v="0"/>
  </r>
  <r>
    <x v="551"/>
    <n v="1"/>
    <n v="1"/>
    <n v="105"/>
    <n v="4614.75"/>
    <x v="2"/>
    <x v="0"/>
    <x v="1"/>
  </r>
  <r>
    <x v="505"/>
    <n v="2"/>
    <n v="2"/>
    <n v="2"/>
    <n v="59.9"/>
    <x v="0"/>
    <x v="0"/>
    <x v="1"/>
  </r>
  <r>
    <x v="552"/>
    <n v="2"/>
    <n v="4"/>
    <n v="3"/>
    <n v="89.85"/>
    <x v="0"/>
    <x v="0"/>
    <x v="0"/>
  </r>
  <r>
    <x v="553"/>
    <n v="3"/>
    <n v="2"/>
    <n v="259"/>
    <n v="6721.05"/>
    <x v="3"/>
    <x v="1"/>
    <x v="1"/>
  </r>
  <r>
    <x v="551"/>
    <n v="2"/>
    <n v="2"/>
    <n v="4"/>
    <n v="119.8"/>
    <x v="0"/>
    <x v="0"/>
    <x v="1"/>
  </r>
  <r>
    <x v="554"/>
    <n v="2"/>
    <n v="2"/>
    <n v="58"/>
    <n v="1737.1"/>
    <x v="0"/>
    <x v="0"/>
    <x v="1"/>
  </r>
  <r>
    <x v="539"/>
    <n v="2"/>
    <n v="2"/>
    <n v="3"/>
    <n v="89.85"/>
    <x v="0"/>
    <x v="0"/>
    <x v="1"/>
  </r>
  <r>
    <x v="503"/>
    <n v="1"/>
    <n v="2"/>
    <n v="1"/>
    <n v="43.95"/>
    <x v="2"/>
    <x v="0"/>
    <x v="1"/>
  </r>
  <r>
    <x v="555"/>
    <n v="2"/>
    <n v="2"/>
    <n v="4"/>
    <n v="119.8"/>
    <x v="0"/>
    <x v="0"/>
    <x v="1"/>
  </r>
  <r>
    <x v="556"/>
    <n v="2"/>
    <n v="2"/>
    <n v="88"/>
    <n v="2635.6"/>
    <x v="0"/>
    <x v="0"/>
    <x v="1"/>
  </r>
  <r>
    <x v="557"/>
    <n v="2"/>
    <n v="2"/>
    <n v="160"/>
    <n v="4792"/>
    <x v="0"/>
    <x v="0"/>
    <x v="1"/>
  </r>
  <r>
    <x v="558"/>
    <n v="1"/>
    <n v="2"/>
    <n v="2"/>
    <n v="87.9"/>
    <x v="2"/>
    <x v="0"/>
    <x v="1"/>
  </r>
  <r>
    <x v="481"/>
    <n v="2"/>
    <n v="2"/>
    <n v="6"/>
    <n v="179.7"/>
    <x v="0"/>
    <x v="0"/>
    <x v="1"/>
  </r>
  <r>
    <x v="500"/>
    <n v="1"/>
    <n v="2"/>
    <n v="83"/>
    <n v="3647.8500000000004"/>
    <x v="2"/>
    <x v="0"/>
    <x v="1"/>
  </r>
  <r>
    <x v="444"/>
    <n v="2"/>
    <n v="2"/>
    <n v="62"/>
    <n v="1856.8999999999999"/>
    <x v="0"/>
    <x v="0"/>
    <x v="1"/>
  </r>
  <r>
    <x v="559"/>
    <n v="2"/>
    <n v="2"/>
    <n v="4"/>
    <n v="119.8"/>
    <x v="0"/>
    <x v="0"/>
    <x v="1"/>
  </r>
  <r>
    <x v="548"/>
    <n v="2"/>
    <n v="4"/>
    <n v="190"/>
    <n v="5690.5"/>
    <x v="0"/>
    <x v="0"/>
    <x v="0"/>
  </r>
  <r>
    <x v="560"/>
    <n v="1"/>
    <n v="3"/>
    <n v="87"/>
    <n v="3823.65"/>
    <x v="2"/>
    <x v="0"/>
    <x v="0"/>
  </r>
  <r>
    <x v="561"/>
    <n v="2"/>
    <n v="4"/>
    <n v="2"/>
    <n v="59.9"/>
    <x v="0"/>
    <x v="0"/>
    <x v="0"/>
  </r>
  <r>
    <x v="549"/>
    <n v="3"/>
    <n v="2"/>
    <n v="107"/>
    <n v="2776.65"/>
    <x v="3"/>
    <x v="1"/>
    <x v="1"/>
  </r>
  <r>
    <x v="444"/>
    <n v="4"/>
    <n v="4"/>
    <n v="199"/>
    <n v="4766.05"/>
    <x v="1"/>
    <x v="1"/>
    <x v="0"/>
  </r>
  <r>
    <x v="512"/>
    <n v="2"/>
    <n v="2"/>
    <n v="5"/>
    <n v="149.75"/>
    <x v="0"/>
    <x v="0"/>
    <x v="1"/>
  </r>
  <r>
    <x v="481"/>
    <n v="3"/>
    <n v="4"/>
    <n v="89"/>
    <n v="2309.5499999999997"/>
    <x v="3"/>
    <x v="1"/>
    <x v="0"/>
  </r>
  <r>
    <x v="453"/>
    <n v="2"/>
    <n v="2"/>
    <n v="86"/>
    <n v="2575.6999999999998"/>
    <x v="0"/>
    <x v="0"/>
    <x v="1"/>
  </r>
  <r>
    <x v="562"/>
    <n v="2"/>
    <n v="4"/>
    <n v="42"/>
    <n v="1257.8999999999999"/>
    <x v="0"/>
    <x v="0"/>
    <x v="0"/>
  </r>
  <r>
    <x v="563"/>
    <n v="2"/>
    <n v="2"/>
    <n v="59"/>
    <n v="1767.05"/>
    <x v="0"/>
    <x v="0"/>
    <x v="1"/>
  </r>
  <r>
    <x v="518"/>
    <n v="2"/>
    <n v="2"/>
    <n v="168"/>
    <n v="5031.5999999999995"/>
    <x v="0"/>
    <x v="0"/>
    <x v="1"/>
  </r>
  <r>
    <x v="432"/>
    <n v="2"/>
    <n v="2"/>
    <n v="252"/>
    <n v="7547.4"/>
    <x v="0"/>
    <x v="0"/>
    <x v="1"/>
  </r>
  <r>
    <x v="564"/>
    <n v="1"/>
    <n v="2"/>
    <n v="3"/>
    <n v="131.85000000000002"/>
    <x v="2"/>
    <x v="0"/>
    <x v="1"/>
  </r>
  <r>
    <x v="565"/>
    <n v="3"/>
    <n v="2"/>
    <n v="58"/>
    <n v="1505.1"/>
    <x v="3"/>
    <x v="1"/>
    <x v="1"/>
  </r>
  <r>
    <x v="456"/>
    <n v="2"/>
    <n v="4"/>
    <n v="26"/>
    <n v="778.69999999999993"/>
    <x v="0"/>
    <x v="0"/>
    <x v="0"/>
  </r>
  <r>
    <x v="456"/>
    <n v="2"/>
    <n v="4"/>
    <n v="2"/>
    <n v="59.9"/>
    <x v="0"/>
    <x v="0"/>
    <x v="0"/>
  </r>
  <r>
    <x v="566"/>
    <n v="2"/>
    <n v="4"/>
    <n v="5"/>
    <n v="149.75"/>
    <x v="0"/>
    <x v="0"/>
    <x v="0"/>
  </r>
  <r>
    <x v="523"/>
    <n v="3"/>
    <n v="4"/>
    <n v="6"/>
    <n v="155.69999999999999"/>
    <x v="3"/>
    <x v="1"/>
    <x v="0"/>
  </r>
  <r>
    <x v="482"/>
    <n v="2"/>
    <n v="2"/>
    <n v="72"/>
    <n v="2156.4"/>
    <x v="0"/>
    <x v="0"/>
    <x v="1"/>
  </r>
  <r>
    <x v="567"/>
    <n v="4"/>
    <n v="4"/>
    <n v="116"/>
    <n v="2778.2"/>
    <x v="1"/>
    <x v="1"/>
    <x v="0"/>
  </r>
  <r>
    <x v="491"/>
    <n v="2"/>
    <n v="2"/>
    <n v="30"/>
    <n v="898.5"/>
    <x v="0"/>
    <x v="0"/>
    <x v="1"/>
  </r>
  <r>
    <x v="545"/>
    <n v="3"/>
    <n v="1"/>
    <n v="107"/>
    <n v="2776.65"/>
    <x v="3"/>
    <x v="1"/>
    <x v="1"/>
  </r>
  <r>
    <x v="568"/>
    <n v="2"/>
    <n v="4"/>
    <n v="252"/>
    <n v="7547.4"/>
    <x v="0"/>
    <x v="0"/>
    <x v="0"/>
  </r>
  <r>
    <x v="452"/>
    <n v="3"/>
    <n v="4"/>
    <n v="3"/>
    <n v="77.849999999999994"/>
    <x v="3"/>
    <x v="1"/>
    <x v="0"/>
  </r>
  <r>
    <x v="433"/>
    <n v="1"/>
    <n v="4"/>
    <n v="4"/>
    <n v="175.8"/>
    <x v="2"/>
    <x v="0"/>
    <x v="0"/>
  </r>
  <r>
    <x v="569"/>
    <n v="2"/>
    <n v="4"/>
    <n v="63"/>
    <n v="1886.85"/>
    <x v="0"/>
    <x v="0"/>
    <x v="0"/>
  </r>
  <r>
    <x v="570"/>
    <n v="2"/>
    <n v="2"/>
    <n v="4"/>
    <n v="119.8"/>
    <x v="0"/>
    <x v="0"/>
    <x v="1"/>
  </r>
  <r>
    <x v="571"/>
    <n v="2"/>
    <n v="4"/>
    <n v="5"/>
    <n v="149.75"/>
    <x v="0"/>
    <x v="0"/>
    <x v="0"/>
  </r>
  <r>
    <x v="490"/>
    <n v="4"/>
    <n v="2"/>
    <n v="1"/>
    <n v="23.95"/>
    <x v="1"/>
    <x v="1"/>
    <x v="1"/>
  </r>
  <r>
    <x v="517"/>
    <n v="2"/>
    <n v="2"/>
    <n v="62"/>
    <n v="1856.8999999999999"/>
    <x v="0"/>
    <x v="0"/>
    <x v="1"/>
  </r>
  <r>
    <x v="572"/>
    <n v="2"/>
    <n v="4"/>
    <n v="163"/>
    <n v="4881.8499999999995"/>
    <x v="0"/>
    <x v="0"/>
    <x v="0"/>
  </r>
  <r>
    <x v="518"/>
    <n v="2"/>
    <n v="3"/>
    <n v="85"/>
    <n v="2545.75"/>
    <x v="0"/>
    <x v="0"/>
    <x v="0"/>
  </r>
  <r>
    <x v="573"/>
    <n v="2"/>
    <n v="4"/>
    <n v="2"/>
    <n v="59.9"/>
    <x v="0"/>
    <x v="0"/>
    <x v="0"/>
  </r>
  <r>
    <x v="574"/>
    <n v="4"/>
    <n v="2"/>
    <n v="294"/>
    <n v="7041.3"/>
    <x v="1"/>
    <x v="1"/>
    <x v="1"/>
  </r>
  <r>
    <x v="575"/>
    <n v="2"/>
    <n v="2"/>
    <n v="246"/>
    <n v="7367.7"/>
    <x v="0"/>
    <x v="0"/>
    <x v="1"/>
  </r>
  <r>
    <x v="576"/>
    <n v="3"/>
    <n v="2"/>
    <n v="1"/>
    <n v="25.95"/>
    <x v="3"/>
    <x v="1"/>
    <x v="1"/>
  </r>
  <r>
    <x v="577"/>
    <n v="4"/>
    <n v="2"/>
    <n v="97"/>
    <n v="2323.15"/>
    <x v="1"/>
    <x v="1"/>
    <x v="1"/>
  </r>
  <r>
    <x v="543"/>
    <n v="2"/>
    <n v="2"/>
    <n v="6"/>
    <n v="179.7"/>
    <x v="0"/>
    <x v="0"/>
    <x v="1"/>
  </r>
  <r>
    <x v="530"/>
    <n v="2"/>
    <n v="4"/>
    <n v="5"/>
    <n v="149.75"/>
    <x v="0"/>
    <x v="0"/>
    <x v="0"/>
  </r>
  <r>
    <x v="516"/>
    <n v="4"/>
    <n v="2"/>
    <n v="291"/>
    <n v="6969.45"/>
    <x v="1"/>
    <x v="1"/>
    <x v="1"/>
  </r>
  <r>
    <x v="578"/>
    <n v="2"/>
    <n v="3"/>
    <n v="161"/>
    <n v="4821.95"/>
    <x v="0"/>
    <x v="0"/>
    <x v="0"/>
  </r>
  <r>
    <x v="436"/>
    <n v="4"/>
    <n v="2"/>
    <n v="70"/>
    <n v="1676.5"/>
    <x v="1"/>
    <x v="1"/>
    <x v="1"/>
  </r>
  <r>
    <x v="430"/>
    <n v="2"/>
    <n v="2"/>
    <n v="4"/>
    <n v="119.8"/>
    <x v="0"/>
    <x v="0"/>
    <x v="1"/>
  </r>
  <r>
    <x v="579"/>
    <n v="2"/>
    <n v="4"/>
    <n v="2"/>
    <n v="59.9"/>
    <x v="0"/>
    <x v="0"/>
    <x v="0"/>
  </r>
  <r>
    <x v="527"/>
    <n v="2"/>
    <n v="2"/>
    <n v="26"/>
    <n v="778.69999999999993"/>
    <x v="0"/>
    <x v="0"/>
    <x v="1"/>
  </r>
  <r>
    <x v="580"/>
    <n v="1"/>
    <n v="2"/>
    <n v="102"/>
    <n v="4482.9000000000005"/>
    <x v="2"/>
    <x v="0"/>
    <x v="1"/>
  </r>
  <r>
    <x v="581"/>
    <n v="2"/>
    <n v="4"/>
    <n v="94"/>
    <n v="2815.2999999999997"/>
    <x v="0"/>
    <x v="0"/>
    <x v="0"/>
  </r>
  <r>
    <x v="582"/>
    <n v="4"/>
    <n v="2"/>
    <n v="263"/>
    <n v="6298.8499999999995"/>
    <x v="1"/>
    <x v="1"/>
    <x v="1"/>
  </r>
  <r>
    <x v="583"/>
    <n v="4"/>
    <n v="1"/>
    <n v="72"/>
    <n v="1724.3999999999999"/>
    <x v="1"/>
    <x v="1"/>
    <x v="1"/>
  </r>
  <r>
    <x v="559"/>
    <n v="1"/>
    <n v="2"/>
    <n v="6"/>
    <n v="263.70000000000005"/>
    <x v="2"/>
    <x v="0"/>
    <x v="1"/>
  </r>
  <r>
    <x v="430"/>
    <n v="2"/>
    <n v="4"/>
    <n v="4"/>
    <n v="119.8"/>
    <x v="0"/>
    <x v="0"/>
    <x v="0"/>
  </r>
  <r>
    <x v="584"/>
    <n v="1"/>
    <n v="4"/>
    <n v="4"/>
    <n v="175.8"/>
    <x v="2"/>
    <x v="0"/>
    <x v="0"/>
  </r>
  <r>
    <x v="578"/>
    <n v="1"/>
    <n v="4"/>
    <n v="64"/>
    <n v="2812.8"/>
    <x v="2"/>
    <x v="0"/>
    <x v="0"/>
  </r>
  <r>
    <x v="581"/>
    <n v="2"/>
    <n v="2"/>
    <n v="4"/>
    <n v="119.8"/>
    <x v="0"/>
    <x v="0"/>
    <x v="1"/>
  </r>
  <r>
    <x v="497"/>
    <n v="2"/>
    <n v="4"/>
    <n v="1"/>
    <n v="29.95"/>
    <x v="0"/>
    <x v="0"/>
    <x v="0"/>
  </r>
  <r>
    <x v="585"/>
    <n v="1"/>
    <n v="4"/>
    <n v="6"/>
    <n v="263.70000000000005"/>
    <x v="2"/>
    <x v="0"/>
    <x v="0"/>
  </r>
  <r>
    <x v="586"/>
    <n v="2"/>
    <n v="1"/>
    <n v="122"/>
    <n v="3653.9"/>
    <x v="0"/>
    <x v="0"/>
    <x v="1"/>
  </r>
  <r>
    <x v="439"/>
    <n v="4"/>
    <n v="3"/>
    <n v="63"/>
    <n v="1508.85"/>
    <x v="1"/>
    <x v="1"/>
    <x v="0"/>
  </r>
  <r>
    <x v="587"/>
    <n v="3"/>
    <n v="4"/>
    <n v="146"/>
    <n v="3788.7"/>
    <x v="3"/>
    <x v="1"/>
    <x v="0"/>
  </r>
  <r>
    <x v="588"/>
    <n v="2"/>
    <n v="4"/>
    <n v="92"/>
    <n v="2755.4"/>
    <x v="0"/>
    <x v="0"/>
    <x v="0"/>
  </r>
  <r>
    <x v="432"/>
    <n v="4"/>
    <n v="4"/>
    <n v="3"/>
    <n v="71.849999999999994"/>
    <x v="1"/>
    <x v="1"/>
    <x v="0"/>
  </r>
  <r>
    <x v="444"/>
    <n v="1"/>
    <n v="4"/>
    <n v="71"/>
    <n v="3120.4500000000003"/>
    <x v="2"/>
    <x v="0"/>
    <x v="0"/>
  </r>
  <r>
    <x v="589"/>
    <n v="4"/>
    <n v="2"/>
    <n v="221"/>
    <n v="5292.95"/>
    <x v="1"/>
    <x v="1"/>
    <x v="1"/>
  </r>
  <r>
    <x v="488"/>
    <n v="1"/>
    <n v="3"/>
    <n v="151"/>
    <n v="6636.4500000000007"/>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DB96F-D1AE-4B01-95B0-5DFF97736DCD}" name="PivotTable4"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H21:K27" firstHeaderRow="1" firstDataRow="2" firstDataCol="1"/>
  <pivotFields count="11">
    <pivotField compact="0" outline="0" showAll="0">
      <items count="591">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x="509"/>
        <item x="501"/>
        <item x="534"/>
        <item x="589"/>
        <item x="569"/>
        <item x="480"/>
        <item x="544"/>
        <item x="469"/>
        <item x="566"/>
        <item x="574"/>
        <item x="472"/>
        <item x="550"/>
        <item x="545"/>
        <item x="576"/>
        <item x="438"/>
        <item x="524"/>
        <item x="579"/>
        <item x="542"/>
        <item x="502"/>
        <item x="474"/>
        <item x="506"/>
        <item x="530"/>
        <item x="427"/>
        <item x="557"/>
        <item x="512"/>
        <item x="540"/>
        <item x="455"/>
        <item x="515"/>
        <item x="561"/>
        <item x="587"/>
        <item x="586"/>
        <item x="514"/>
        <item x="507"/>
        <item x="522"/>
        <item x="454"/>
        <item x="578"/>
        <item x="435"/>
        <item x="588"/>
        <item x="558"/>
        <item x="535"/>
        <item x="484"/>
        <item x="463"/>
        <item x="436"/>
        <item x="439"/>
        <item x="450"/>
        <item x="567"/>
        <item x="489"/>
        <item x="582"/>
        <item x="478"/>
        <item x="555"/>
        <item x="580"/>
        <item x="553"/>
        <item x="488"/>
        <item x="541"/>
        <item x="556"/>
        <item x="443"/>
        <item x="459"/>
        <item x="575"/>
        <item x="464"/>
        <item x="482"/>
        <item x="476"/>
        <item x="487"/>
        <item x="538"/>
        <item x="521"/>
        <item x="461"/>
        <item x="552"/>
        <item x="577"/>
        <item x="564"/>
        <item x="525"/>
        <item x="547"/>
        <item x="473"/>
        <item x="437"/>
        <item x="491"/>
        <item x="513"/>
        <item x="477"/>
        <item x="440"/>
        <item x="446"/>
        <item x="529"/>
        <item x="483"/>
        <item x="523"/>
        <item x="448"/>
        <item x="467"/>
        <item x="451"/>
        <item x="565"/>
        <item x="573"/>
        <item x="498"/>
        <item x="583"/>
        <item x="499"/>
        <item x="570"/>
        <item x="495"/>
        <item x="442"/>
        <item x="562"/>
        <item x="431"/>
        <item x="531"/>
        <item x="504"/>
        <item x="426"/>
        <item x="458"/>
        <item x="452"/>
        <item x="551"/>
        <item x="510"/>
        <item x="585"/>
        <item x="447"/>
        <item x="492"/>
        <item x="432"/>
        <item x="479"/>
        <item x="460"/>
        <item x="462"/>
        <item x="546"/>
        <item x="520"/>
        <item x="485"/>
        <item x="471"/>
        <item x="497"/>
        <item x="453"/>
        <item x="533"/>
        <item x="433"/>
        <item x="532"/>
        <item x="486"/>
        <item x="466"/>
        <item x="584"/>
        <item x="519"/>
        <item x="470"/>
        <item x="549"/>
        <item x="445"/>
        <item x="428"/>
        <item x="526"/>
        <item x="449"/>
        <item x="516"/>
        <item x="444"/>
        <item x="527"/>
        <item x="517"/>
        <item x="568"/>
        <item x="543"/>
        <item x="441"/>
        <item x="539"/>
        <item x="508"/>
        <item x="465"/>
        <item x="572"/>
        <item x="581"/>
        <item x="434"/>
        <item x="500"/>
        <item x="548"/>
        <item x="481"/>
        <item x="571"/>
        <item x="475"/>
        <item x="518"/>
        <item x="528"/>
        <item x="490"/>
        <item x="429"/>
        <item x="496"/>
        <item x="559"/>
        <item x="554"/>
        <item x="560"/>
        <item x="503"/>
        <item x="457"/>
        <item x="430"/>
        <item x="536"/>
        <item x="493"/>
        <item x="494"/>
        <item x="456"/>
        <item x="563"/>
        <item x="511"/>
        <item x="505"/>
        <item x="537"/>
        <item x="468"/>
        <item t="default"/>
      </items>
    </pivotField>
    <pivotField compact="0" outline="0" showAll="0"/>
    <pivotField compact="0" outline="0" showAll="0"/>
    <pivotField compact="0" outline="0" showAll="0"/>
    <pivotField dataField="1" compact="0" outline="0" showAll="0"/>
    <pivotField compact="0" outline="0" showAll="0">
      <items count="5">
        <item x="3"/>
        <item x="0"/>
        <item x="2"/>
        <item x="1"/>
        <item t="default"/>
      </items>
    </pivotField>
    <pivotField axis="axisCol" compact="0" outline="0" showAll="0">
      <items count="3">
        <item x="1"/>
        <item x="0"/>
        <item t="default"/>
      </items>
    </pivotField>
    <pivotField compact="0" outline="0" showAll="0">
      <items count="3">
        <item x="1"/>
        <item x="0"/>
        <item t="default"/>
      </items>
    </pivotField>
    <pivotField name="Month"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name="Years" axis="axisRow" compact="0" outline="0" showAll="0">
      <items count="8">
        <item sd="0" x="0"/>
        <item x="1"/>
        <item x="2"/>
        <item x="3"/>
        <item x="4"/>
        <item sd="0" x="5"/>
        <item sd="0" x="6"/>
        <item t="default"/>
      </items>
    </pivotField>
  </pivotFields>
  <rowFields count="1">
    <field x="10"/>
  </rowFields>
  <rowItems count="5">
    <i>
      <x v="1"/>
    </i>
    <i>
      <x v="2"/>
    </i>
    <i>
      <x v="3"/>
    </i>
    <i>
      <x v="4"/>
    </i>
    <i t="grand">
      <x/>
    </i>
  </rowItems>
  <colFields count="1">
    <field x="6"/>
  </colFields>
  <colItems count="3">
    <i>
      <x/>
    </i>
    <i>
      <x v="1"/>
    </i>
    <i t="grand">
      <x/>
    </i>
  </colItems>
  <dataFields count="1">
    <dataField name="Sum of Sales" fld="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6D26A-8E52-4EA1-B07E-407D9BBAB660}" name="PivotTable3"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M3:P14" firstHeaderRow="0" firstDataRow="1" firstDataCol="2"/>
  <pivotFields count="11">
    <pivotField compact="0" outline="0" showAll="0">
      <items count="591">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x="509"/>
        <item x="501"/>
        <item x="534"/>
        <item x="589"/>
        <item x="569"/>
        <item x="480"/>
        <item x="544"/>
        <item x="469"/>
        <item x="566"/>
        <item x="574"/>
        <item x="472"/>
        <item x="550"/>
        <item x="545"/>
        <item x="576"/>
        <item x="438"/>
        <item x="524"/>
        <item x="579"/>
        <item x="542"/>
        <item x="502"/>
        <item x="474"/>
        <item x="506"/>
        <item x="530"/>
        <item x="427"/>
        <item x="557"/>
        <item x="512"/>
        <item x="540"/>
        <item x="455"/>
        <item x="515"/>
        <item x="561"/>
        <item x="587"/>
        <item x="586"/>
        <item x="514"/>
        <item x="507"/>
        <item x="522"/>
        <item x="454"/>
        <item x="578"/>
        <item x="435"/>
        <item x="588"/>
        <item x="558"/>
        <item x="535"/>
        <item x="484"/>
        <item x="463"/>
        <item x="436"/>
        <item x="439"/>
        <item x="450"/>
        <item x="567"/>
        <item x="489"/>
        <item x="582"/>
        <item x="478"/>
        <item x="555"/>
        <item x="580"/>
        <item x="553"/>
        <item x="488"/>
        <item x="541"/>
        <item x="556"/>
        <item x="443"/>
        <item x="459"/>
        <item x="575"/>
        <item x="464"/>
        <item x="482"/>
        <item x="476"/>
        <item x="487"/>
        <item x="538"/>
        <item x="521"/>
        <item x="461"/>
        <item x="552"/>
        <item x="577"/>
        <item x="564"/>
        <item x="525"/>
        <item x="547"/>
        <item x="473"/>
        <item x="437"/>
        <item x="491"/>
        <item x="513"/>
        <item x="477"/>
        <item x="440"/>
        <item x="446"/>
        <item x="529"/>
        <item x="483"/>
        <item x="523"/>
        <item x="448"/>
        <item x="467"/>
        <item x="451"/>
        <item x="565"/>
        <item x="573"/>
        <item x="498"/>
        <item x="583"/>
        <item x="499"/>
        <item x="570"/>
        <item x="495"/>
        <item x="442"/>
        <item x="562"/>
        <item x="431"/>
        <item x="531"/>
        <item x="504"/>
        <item x="426"/>
        <item x="458"/>
        <item x="452"/>
        <item x="551"/>
        <item x="510"/>
        <item x="585"/>
        <item x="447"/>
        <item x="492"/>
        <item x="432"/>
        <item x="479"/>
        <item x="460"/>
        <item x="462"/>
        <item x="546"/>
        <item x="520"/>
        <item x="485"/>
        <item x="471"/>
        <item x="497"/>
        <item x="453"/>
        <item x="533"/>
        <item x="433"/>
        <item x="532"/>
        <item x="486"/>
        <item x="466"/>
        <item x="584"/>
        <item x="519"/>
        <item x="470"/>
        <item x="549"/>
        <item x="445"/>
        <item x="428"/>
        <item x="526"/>
        <item x="449"/>
        <item x="516"/>
        <item x="444"/>
        <item x="527"/>
        <item x="517"/>
        <item x="568"/>
        <item x="543"/>
        <item x="441"/>
        <item x="539"/>
        <item x="508"/>
        <item x="465"/>
        <item x="572"/>
        <item x="581"/>
        <item x="434"/>
        <item x="500"/>
        <item x="548"/>
        <item x="481"/>
        <item x="571"/>
        <item x="475"/>
        <item x="518"/>
        <item x="528"/>
        <item x="490"/>
        <item x="429"/>
        <item x="496"/>
        <item x="559"/>
        <item x="554"/>
        <item x="560"/>
        <item x="503"/>
        <item x="457"/>
        <item x="430"/>
        <item x="536"/>
        <item x="493"/>
        <item x="494"/>
        <item x="456"/>
        <item x="563"/>
        <item x="511"/>
        <item x="505"/>
        <item x="537"/>
        <item x="468"/>
        <item t="default"/>
      </items>
    </pivotField>
    <pivotField compact="0" outline="0" showAll="0"/>
    <pivotField compact="0" outline="0" showAll="0"/>
    <pivotField compact="0" outline="0" showAll="0"/>
    <pivotField compact="0" outline="0" showAll="0"/>
    <pivotField dataField="1" compact="0" outline="0" showAll="0">
      <items count="5">
        <item x="3"/>
        <item x="0"/>
        <item x="2"/>
        <item x="1"/>
        <item t="default"/>
      </items>
    </pivotField>
    <pivotField compact="0" outline="0" showAll="0"/>
    <pivotField axis="axisRow" compact="0" outline="0" showAll="0">
      <items count="3">
        <item x="1"/>
        <item x="0"/>
        <item t="default"/>
      </items>
    </pivotField>
    <pivotField name="Month"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name="Years" axis="axisRow" compact="0" outline="0" showAll="0">
      <items count="8">
        <item sd="0" x="0"/>
        <item x="1"/>
        <item x="2"/>
        <item x="3"/>
        <item x="4"/>
        <item sd="0" x="5"/>
        <item sd="0" x="6"/>
        <item t="default"/>
      </items>
    </pivotField>
  </pivotFields>
  <rowFields count="2">
    <field x="7"/>
    <field x="10"/>
  </rowFields>
  <rowItems count="11">
    <i>
      <x/>
      <x v="1"/>
    </i>
    <i r="1">
      <x v="2"/>
    </i>
    <i r="1">
      <x v="3"/>
    </i>
    <i r="1">
      <x v="4"/>
    </i>
    <i t="default">
      <x/>
    </i>
    <i>
      <x v="1"/>
      <x v="1"/>
    </i>
    <i r="1">
      <x v="2"/>
    </i>
    <i r="1">
      <x v="3"/>
    </i>
    <i r="1">
      <x v="4"/>
    </i>
    <i t="default">
      <x v="1"/>
    </i>
    <i t="grand">
      <x/>
    </i>
  </rowItems>
  <colFields count="1">
    <field x="-2"/>
  </colFields>
  <colItems count="2">
    <i>
      <x/>
    </i>
    <i i="1">
      <x v="1"/>
    </i>
  </colItems>
  <dataFields count="2">
    <dataField name="Number of transaction" fld="5" subtotal="count" baseField="0" baseItem="0"/>
    <dataField name="% change" fld="5" subtotal="count" showDataAs="percentDiff" baseField="10"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6F4C3-9DA2-4E6C-BA85-EB4525820DF6}" name="PivotTable2"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H3:K14" firstHeaderRow="0" firstDataRow="1" firstDataCol="2"/>
  <pivotFields count="11">
    <pivotField compact="0" outline="0" showAll="0">
      <items count="591">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x="509"/>
        <item x="501"/>
        <item x="534"/>
        <item x="589"/>
        <item x="569"/>
        <item x="480"/>
        <item x="544"/>
        <item x="469"/>
        <item x="566"/>
        <item x="574"/>
        <item x="472"/>
        <item x="550"/>
        <item x="545"/>
        <item x="576"/>
        <item x="438"/>
        <item x="524"/>
        <item x="579"/>
        <item x="542"/>
        <item x="502"/>
        <item x="474"/>
        <item x="506"/>
        <item x="530"/>
        <item x="427"/>
        <item x="557"/>
        <item x="512"/>
        <item x="540"/>
        <item x="455"/>
        <item x="515"/>
        <item x="561"/>
        <item x="587"/>
        <item x="586"/>
        <item x="514"/>
        <item x="507"/>
        <item x="522"/>
        <item x="454"/>
        <item x="578"/>
        <item x="435"/>
        <item x="588"/>
        <item x="558"/>
        <item x="535"/>
        <item x="484"/>
        <item x="463"/>
        <item x="436"/>
        <item x="439"/>
        <item x="450"/>
        <item x="567"/>
        <item x="489"/>
        <item x="582"/>
        <item x="478"/>
        <item x="555"/>
        <item x="580"/>
        <item x="553"/>
        <item x="488"/>
        <item x="541"/>
        <item x="556"/>
        <item x="443"/>
        <item x="459"/>
        <item x="575"/>
        <item x="464"/>
        <item x="482"/>
        <item x="476"/>
        <item x="487"/>
        <item x="538"/>
        <item x="521"/>
        <item x="461"/>
        <item x="552"/>
        <item x="577"/>
        <item x="564"/>
        <item x="525"/>
        <item x="547"/>
        <item x="473"/>
        <item x="437"/>
        <item x="491"/>
        <item x="513"/>
        <item x="477"/>
        <item x="440"/>
        <item x="446"/>
        <item x="529"/>
        <item x="483"/>
        <item x="523"/>
        <item x="448"/>
        <item x="467"/>
        <item x="451"/>
        <item x="565"/>
        <item x="573"/>
        <item x="498"/>
        <item x="583"/>
        <item x="499"/>
        <item x="570"/>
        <item x="495"/>
        <item x="442"/>
        <item x="562"/>
        <item x="431"/>
        <item x="531"/>
        <item x="504"/>
        <item x="426"/>
        <item x="458"/>
        <item x="452"/>
        <item x="551"/>
        <item x="510"/>
        <item x="585"/>
        <item x="447"/>
        <item x="492"/>
        <item x="432"/>
        <item x="479"/>
        <item x="460"/>
        <item x="462"/>
        <item x="546"/>
        <item x="520"/>
        <item x="485"/>
        <item x="471"/>
        <item x="497"/>
        <item x="453"/>
        <item x="533"/>
        <item x="433"/>
        <item x="532"/>
        <item x="486"/>
        <item x="466"/>
        <item x="584"/>
        <item x="519"/>
        <item x="470"/>
        <item x="549"/>
        <item x="445"/>
        <item x="428"/>
        <item x="526"/>
        <item x="449"/>
        <item x="516"/>
        <item x="444"/>
        <item x="527"/>
        <item x="517"/>
        <item x="568"/>
        <item x="543"/>
        <item x="441"/>
        <item x="539"/>
        <item x="508"/>
        <item x="465"/>
        <item x="572"/>
        <item x="581"/>
        <item x="434"/>
        <item x="500"/>
        <item x="548"/>
        <item x="481"/>
        <item x="571"/>
        <item x="475"/>
        <item x="518"/>
        <item x="528"/>
        <item x="490"/>
        <item x="429"/>
        <item x="496"/>
        <item x="559"/>
        <item x="554"/>
        <item x="560"/>
        <item x="503"/>
        <item x="457"/>
        <item x="430"/>
        <item x="536"/>
        <item x="493"/>
        <item x="494"/>
        <item x="456"/>
        <item x="563"/>
        <item x="511"/>
        <item x="505"/>
        <item x="537"/>
        <item x="468"/>
        <item t="default"/>
      </items>
    </pivotField>
    <pivotField compact="0" outline="0" showAll="0"/>
    <pivotField compact="0" outline="0" showAll="0"/>
    <pivotField compact="0" outline="0" showAll="0"/>
    <pivotField dataField="1" compact="0" outline="0" showAll="0"/>
    <pivotField compact="0" outline="0" showAll="0">
      <items count="5">
        <item x="3"/>
        <item x="0"/>
        <item x="2"/>
        <item x="1"/>
        <item t="default"/>
      </items>
    </pivotField>
    <pivotField compact="0" outline="0" showAll="0"/>
    <pivotField axis="axisRow" compact="0" outline="0" showAll="0">
      <items count="3">
        <item x="1"/>
        <item x="0"/>
        <item t="default"/>
      </items>
    </pivotField>
    <pivotField name="Month"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name="Years" axis="axisRow" compact="0" outline="0" showAll="0">
      <items count="8">
        <item sd="0" x="0"/>
        <item x="1"/>
        <item x="2"/>
        <item x="3"/>
        <item x="4"/>
        <item sd="0" x="5"/>
        <item sd="0" x="6"/>
        <item t="default"/>
      </items>
    </pivotField>
  </pivotFields>
  <rowFields count="2">
    <field x="7"/>
    <field x="10"/>
  </rowFields>
  <rowItems count="11">
    <i>
      <x/>
      <x v="1"/>
    </i>
    <i r="1">
      <x v="2"/>
    </i>
    <i r="1">
      <x v="3"/>
    </i>
    <i r="1">
      <x v="4"/>
    </i>
    <i t="default">
      <x/>
    </i>
    <i>
      <x v="1"/>
      <x v="1"/>
    </i>
    <i r="1">
      <x v="2"/>
    </i>
    <i r="1">
      <x v="3"/>
    </i>
    <i r="1">
      <x v="4"/>
    </i>
    <i t="default">
      <x v="1"/>
    </i>
    <i t="grand">
      <x/>
    </i>
  </rowItems>
  <colFields count="1">
    <field x="-2"/>
  </colFields>
  <colItems count="2">
    <i>
      <x/>
    </i>
    <i i="1">
      <x v="1"/>
    </i>
  </colItems>
  <dataFields count="2">
    <dataField name="Sum of Sales ($)" fld="4" baseField="0" baseItem="0" numFmtId="4"/>
    <dataField name="% change" fld="4" showDataAs="percentDiff" baseField="10" baseItem="1048828"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495E20-CCA5-4458-8393-C242B0894297}" name="PivotTable1"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56" firstHeaderRow="1" firstDataRow="1" firstDataCol="2"/>
  <pivotFields count="11">
    <pivotField compact="0" outline="0" showAll="0">
      <items count="591">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x="509"/>
        <item x="501"/>
        <item x="534"/>
        <item x="589"/>
        <item x="569"/>
        <item x="480"/>
        <item x="544"/>
        <item x="469"/>
        <item x="566"/>
        <item x="574"/>
        <item x="472"/>
        <item x="550"/>
        <item x="545"/>
        <item x="576"/>
        <item x="438"/>
        <item x="524"/>
        <item x="579"/>
        <item x="542"/>
        <item x="502"/>
        <item x="474"/>
        <item x="506"/>
        <item x="530"/>
        <item x="427"/>
        <item x="557"/>
        <item x="512"/>
        <item x="540"/>
        <item x="455"/>
        <item x="515"/>
        <item x="561"/>
        <item x="587"/>
        <item x="586"/>
        <item x="514"/>
        <item x="507"/>
        <item x="522"/>
        <item x="454"/>
        <item x="578"/>
        <item x="435"/>
        <item x="588"/>
        <item x="558"/>
        <item x="535"/>
        <item x="484"/>
        <item x="463"/>
        <item x="436"/>
        <item x="439"/>
        <item x="450"/>
        <item x="567"/>
        <item x="489"/>
        <item x="582"/>
        <item x="478"/>
        <item x="555"/>
        <item x="580"/>
        <item x="553"/>
        <item x="488"/>
        <item x="541"/>
        <item x="556"/>
        <item x="443"/>
        <item x="459"/>
        <item x="575"/>
        <item x="464"/>
        <item x="482"/>
        <item x="476"/>
        <item x="487"/>
        <item x="538"/>
        <item x="521"/>
        <item x="461"/>
        <item x="552"/>
        <item x="577"/>
        <item x="564"/>
        <item x="525"/>
        <item x="547"/>
        <item x="473"/>
        <item x="437"/>
        <item x="491"/>
        <item x="513"/>
        <item x="477"/>
        <item x="440"/>
        <item x="446"/>
        <item x="529"/>
        <item x="483"/>
        <item x="523"/>
        <item x="448"/>
        <item x="467"/>
        <item x="451"/>
        <item x="565"/>
        <item x="573"/>
        <item x="498"/>
        <item x="583"/>
        <item x="499"/>
        <item x="570"/>
        <item x="495"/>
        <item x="442"/>
        <item x="562"/>
        <item x="431"/>
        <item x="531"/>
        <item x="504"/>
        <item x="426"/>
        <item x="458"/>
        <item x="452"/>
        <item x="551"/>
        <item x="510"/>
        <item x="585"/>
        <item x="447"/>
        <item x="492"/>
        <item x="432"/>
        <item x="479"/>
        <item x="460"/>
        <item x="462"/>
        <item x="546"/>
        <item x="520"/>
        <item x="485"/>
        <item x="471"/>
        <item x="497"/>
        <item x="453"/>
        <item x="533"/>
        <item x="433"/>
        <item x="532"/>
        <item x="486"/>
        <item x="466"/>
        <item x="584"/>
        <item x="519"/>
        <item x="470"/>
        <item x="549"/>
        <item x="445"/>
        <item x="428"/>
        <item x="526"/>
        <item x="449"/>
        <item x="516"/>
        <item x="444"/>
        <item x="527"/>
        <item x="517"/>
        <item x="568"/>
        <item x="543"/>
        <item x="441"/>
        <item x="539"/>
        <item x="508"/>
        <item x="465"/>
        <item x="572"/>
        <item x="581"/>
        <item x="434"/>
        <item x="500"/>
        <item x="548"/>
        <item x="481"/>
        <item x="571"/>
        <item x="475"/>
        <item x="518"/>
        <item x="528"/>
        <item x="490"/>
        <item x="429"/>
        <item x="496"/>
        <item x="559"/>
        <item x="554"/>
        <item x="560"/>
        <item x="503"/>
        <item x="457"/>
        <item x="430"/>
        <item x="536"/>
        <item x="493"/>
        <item x="494"/>
        <item x="456"/>
        <item x="563"/>
        <item x="511"/>
        <item x="505"/>
        <item x="537"/>
        <item x="468"/>
        <item t="default"/>
      </items>
    </pivotField>
    <pivotField compact="0" outline="0" showAll="0"/>
    <pivotField compact="0" outline="0" showAll="0"/>
    <pivotField compact="0" outline="0" showAll="0"/>
    <pivotField dataField="1" compact="0" outline="0" showAll="0"/>
    <pivotField compact="0" outline="0" showAll="0">
      <items count="5">
        <item x="3"/>
        <item x="0"/>
        <item x="2"/>
        <item x="1"/>
        <item t="default"/>
      </items>
    </pivotField>
    <pivotField compact="0" outline="0" showAll="0"/>
    <pivotField compact="0" outline="0" showAll="0"/>
    <pivotField name="Month"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name="Years" axis="axisRow" compact="0" outline="0" showAll="0">
      <items count="8">
        <item sd="0" x="0"/>
        <item x="1"/>
        <item x="2"/>
        <item x="3"/>
        <item x="4"/>
        <item sd="0" x="5"/>
        <item sd="0" x="6"/>
        <item t="default"/>
      </items>
    </pivotField>
  </pivotFields>
  <rowFields count="2">
    <field x="10"/>
    <field x="8"/>
  </rowFields>
  <rowItems count="53">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i t="grand">
      <x/>
    </i>
  </rowItems>
  <colItems count="1">
    <i/>
  </colItems>
  <dataFields count="1">
    <dataField name="Sum of Sales ($)" fld="4"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798EFB-1249-43D6-81E6-F23C6EB3B74B}" autoFormatId="16" applyNumberFormats="0" applyBorderFormats="0" applyFontFormats="0" applyPatternFormats="0" applyAlignmentFormats="0" applyWidthHeightFormats="0">
  <queryTableRefresh nextId="9" unboundColumnsRight="4">
    <queryTableFields count="8">
      <queryTableField id="1" name="Date" tableColumnId="1"/>
      <queryTableField id="2" name="ProductID" tableColumnId="2"/>
      <queryTableField id="3" name="SalesRepID" tableColumnId="3"/>
      <queryTableField id="4" name="Units" tableColumnId="4"/>
      <queryTableField id="5" dataBound="0" tableColumnId="5"/>
      <queryTableField id="6" dataBound="0"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3990EFC-D665-4DFA-A2A9-EC95634C4222}" sourceName="Product">
  <pivotTables>
    <pivotTable tabId="3" name="PivotTable1"/>
  </pivotTables>
  <data>
    <tabular pivotCacheId="71225216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290A56B-0D4E-462A-B37E-E6B5663CACE4}"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EC206-0C27-4FE8-9D11-DB42E0301991}" name="fsales" displayName="fsales" ref="A15:H873" tableType="queryTable" totalsRowShown="0">
  <autoFilter ref="A15:H873" xr:uid="{9ABEC206-0C27-4FE8-9D11-DB42E0301991}"/>
  <tableColumns count="8">
    <tableColumn id="1" xr3:uid="{96951D4D-E7BA-4762-A499-93DEEE5FAE18}" uniqueName="1" name="Date" queryTableFieldId="1" dataDxfId="4"/>
    <tableColumn id="2" xr3:uid="{16CD59B9-02F8-41E6-A610-22FAABB110B6}" uniqueName="2" name="ProductID" queryTableFieldId="2"/>
    <tableColumn id="3" xr3:uid="{2C6CB567-E1C2-4763-B41D-D496FE8AF228}" uniqueName="3" name="SalesRepID" queryTableFieldId="3"/>
    <tableColumn id="4" xr3:uid="{A4F2A48B-D1F8-40CB-AF29-BE387D94F7AC}" uniqueName="4" name="Units" queryTableFieldId="4"/>
    <tableColumn id="5" xr3:uid="{C9532CB6-0C54-4529-88B7-DF2361E97DCE}" uniqueName="5" name="Sales" queryTableFieldId="5" dataDxfId="3">
      <calculatedColumnFormula array="1">_xlfn.XLOOKUP(fsales[[#This Row],[ProductID]],dProduct[[#All],[ProductID]],dProduct[[#All],[Price]])*fsales[[#This Row],[Units]]</calculatedColumnFormula>
    </tableColumn>
    <tableColumn id="6" xr3:uid="{30B87575-1ABA-4EA7-8D95-8A9DD5A6A0B5}" uniqueName="6" name="Product" queryTableFieldId="6" dataDxfId="2">
      <calculatedColumnFormula array="1">_xlfn.XLOOKUP(fsales[[#This Row],[ProductID]],dProduct[[#All],[ProductID]],dProduct[[#All],[Product]])</calculatedColumnFormula>
    </tableColumn>
    <tableColumn id="7" xr3:uid="{68548C29-1212-47E8-86D8-04E8785B9386}" uniqueName="7" name="Supplier" queryTableFieldId="7" dataDxfId="1">
      <calculatedColumnFormula array="1">_xlfn.XLOOKUP(fsales[[#This Row],[ProductID]],dProduct[[#All],[ProductID]],dProduct[[#All],[Supplier]])</calculatedColumnFormula>
    </tableColumn>
    <tableColumn id="8" xr3:uid="{55D93531-BDD5-4905-A176-3D5942E2D95F}" uniqueName="8" name="Region" queryTableFieldId="8" dataDxfId="0">
      <calculatedColumnFormula array="1">_xlfn.XLOOKUP(fsales[[#This Row],[SalesRepID]],dSalesRep[[#All],[SalesRepID]],dSalesRep[[#All],[Region]])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8674E7-6373-4E10-A175-A8321EF54094}" name="dProduct" displayName="dProduct" ref="L9:P13" totalsRowShown="0" headerRowDxfId="6">
  <autoFilter ref="L9:P13" xr:uid="{1C8674E7-6373-4E10-A175-A8321EF54094}"/>
  <tableColumns count="5">
    <tableColumn id="1" xr3:uid="{CB36014A-8736-4D90-B8E8-E100CF4E6B10}" name="ProductID"/>
    <tableColumn id="2" xr3:uid="{2B3B7775-506C-4E39-83D4-96CCCA2ADAEC}" name="Product"/>
    <tableColumn id="3" xr3:uid="{0B5F5A93-62F9-435D-A5AE-3576328E00E2}" name="Supplier"/>
    <tableColumn id="4" xr3:uid="{02AC5A38-4E70-4597-A5E9-A87E362C0223}" name="Cost"/>
    <tableColumn id="5" xr3:uid="{ACC4192D-BD9D-4231-869C-46474F67E548}" name="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1E1951-44D5-48FC-8947-EFCB42BB4783}" name="dSalesRep" displayName="dSalesRep" ref="R9:T13" totalsRowShown="0" headerRowDxfId="5">
  <autoFilter ref="R9:T13" xr:uid="{2B1E1951-44D5-48FC-8947-EFCB42BB4783}"/>
  <tableColumns count="3">
    <tableColumn id="1" xr3:uid="{0341A422-FFA9-4D69-84BC-00DA496FCDF8}" name="SalesRepID"/>
    <tableColumn id="2" xr3:uid="{FB1EB66A-72CE-4C08-8475-080307317BB6}" name="SalesRep"/>
    <tableColumn id="3" xr3:uid="{22B33D9D-3DAB-4B86-823A-7D3221B24714}"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607A7-8EB0-47B2-BCB4-E62D2B8A7207}">
  <dimension ref="B1:I14"/>
  <sheetViews>
    <sheetView showGridLines="0" topLeftCell="D2" zoomScale="104" workbookViewId="0">
      <selection activeCell="O18" sqref="O18"/>
    </sheetView>
  </sheetViews>
  <sheetFormatPr defaultRowHeight="14.4" x14ac:dyDescent="0.3"/>
  <sheetData>
    <row r="1" spans="2:9" ht="18" x14ac:dyDescent="0.35">
      <c r="B1" s="2"/>
      <c r="C1" s="2"/>
      <c r="D1" s="2"/>
      <c r="E1" s="2"/>
      <c r="F1" s="2"/>
      <c r="G1" s="2"/>
      <c r="H1" s="2"/>
      <c r="I1" s="2"/>
    </row>
    <row r="2" spans="2:9" ht="18" x14ac:dyDescent="0.35">
      <c r="B2" s="2" t="s">
        <v>5</v>
      </c>
      <c r="C2" s="2"/>
      <c r="D2" s="2"/>
      <c r="E2" s="2"/>
      <c r="F2" s="2"/>
      <c r="G2" s="2"/>
      <c r="H2" s="2"/>
      <c r="I2" s="2"/>
    </row>
    <row r="3" spans="2:9" ht="18" x14ac:dyDescent="0.35">
      <c r="B3" s="2"/>
      <c r="C3" s="2"/>
      <c r="D3" s="2"/>
      <c r="E3" s="2"/>
      <c r="F3" s="2"/>
      <c r="G3" s="2"/>
      <c r="H3" s="2"/>
      <c r="I3" s="2"/>
    </row>
    <row r="4" spans="2:9" ht="18" x14ac:dyDescent="0.35">
      <c r="B4" s="2" t="s">
        <v>42</v>
      </c>
      <c r="C4" s="2"/>
      <c r="D4" s="2"/>
      <c r="E4" s="2"/>
      <c r="F4" s="2"/>
      <c r="G4" s="2"/>
      <c r="H4" s="2"/>
      <c r="I4" s="2"/>
    </row>
    <row r="5" spans="2:9" ht="18" x14ac:dyDescent="0.35">
      <c r="B5" s="2"/>
      <c r="C5" s="2"/>
      <c r="D5" s="2"/>
      <c r="E5" s="2"/>
      <c r="F5" s="2"/>
      <c r="G5" s="2"/>
      <c r="H5" s="2"/>
      <c r="I5" s="2"/>
    </row>
    <row r="6" spans="2:9" ht="18" x14ac:dyDescent="0.35">
      <c r="B6" s="2" t="s">
        <v>6</v>
      </c>
      <c r="C6" s="2"/>
      <c r="D6" s="2"/>
      <c r="E6" s="2"/>
      <c r="F6" s="2"/>
      <c r="G6" s="2"/>
      <c r="H6" s="2"/>
      <c r="I6" s="2"/>
    </row>
    <row r="7" spans="2:9" ht="18" x14ac:dyDescent="0.35">
      <c r="B7" s="2"/>
      <c r="C7" s="2"/>
      <c r="D7" s="2"/>
      <c r="E7" s="2"/>
      <c r="F7" s="2"/>
      <c r="G7" s="2"/>
      <c r="H7" s="2"/>
      <c r="I7" s="2"/>
    </row>
    <row r="8" spans="2:9" ht="18" x14ac:dyDescent="0.35">
      <c r="B8" s="2" t="s">
        <v>7</v>
      </c>
      <c r="C8" s="2"/>
      <c r="D8" s="2"/>
      <c r="E8" s="2"/>
      <c r="F8" s="2"/>
      <c r="G8" s="2"/>
      <c r="H8" s="2"/>
      <c r="I8" s="2"/>
    </row>
    <row r="9" spans="2:9" ht="18" x14ac:dyDescent="0.35">
      <c r="B9" s="2"/>
      <c r="C9" s="2"/>
      <c r="D9" s="2"/>
      <c r="E9" s="2"/>
      <c r="F9" s="2"/>
      <c r="G9" s="2"/>
      <c r="H9" s="2"/>
      <c r="I9" s="2"/>
    </row>
    <row r="10" spans="2:9" ht="18" x14ac:dyDescent="0.35">
      <c r="B10" s="2" t="s">
        <v>8</v>
      </c>
      <c r="C10" s="2"/>
      <c r="D10" s="2"/>
      <c r="E10" s="2"/>
      <c r="F10" s="2"/>
      <c r="G10" s="2"/>
      <c r="H10" s="2"/>
      <c r="I10" s="2"/>
    </row>
    <row r="11" spans="2:9" ht="18" x14ac:dyDescent="0.35">
      <c r="B11" s="2"/>
      <c r="C11" s="2"/>
      <c r="D11" s="2"/>
      <c r="E11" s="2"/>
      <c r="F11" s="2"/>
      <c r="G11" s="2"/>
      <c r="H11" s="2"/>
      <c r="I11" s="2"/>
    </row>
    <row r="12" spans="2:9" ht="18" x14ac:dyDescent="0.35">
      <c r="B12" s="2"/>
      <c r="C12" s="2"/>
      <c r="D12" s="2"/>
      <c r="E12" s="2"/>
      <c r="F12" s="2"/>
      <c r="G12" s="2"/>
      <c r="H12" s="2"/>
      <c r="I12" s="2"/>
    </row>
    <row r="13" spans="2:9" ht="18" x14ac:dyDescent="0.35">
      <c r="B13" s="2"/>
      <c r="C13" s="2"/>
      <c r="D13" s="2"/>
      <c r="E13" s="2"/>
      <c r="F13" s="2"/>
      <c r="G13" s="2"/>
      <c r="H13" s="2"/>
      <c r="I13" s="2"/>
    </row>
    <row r="14" spans="2:9" ht="18" x14ac:dyDescent="0.35">
      <c r="B14" s="2"/>
      <c r="C14" s="2"/>
      <c r="D14" s="2"/>
      <c r="E14" s="2"/>
      <c r="F14" s="2"/>
      <c r="G14" s="2"/>
      <c r="H14" s="2"/>
      <c r="I14"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884-1409-438F-9B4B-113C6FB07F69}">
  <dimension ref="A2:P56"/>
  <sheetViews>
    <sheetView tabSelected="1" topLeftCell="B1" zoomScale="85" workbookViewId="0">
      <selection activeCell="Q17" sqref="Q17"/>
    </sheetView>
  </sheetViews>
  <sheetFormatPr defaultRowHeight="14.4" x14ac:dyDescent="0.3"/>
  <cols>
    <col min="1" max="1" width="13.33203125" bestFit="1" customWidth="1"/>
    <col min="2" max="2" width="9.109375" bestFit="1" customWidth="1"/>
    <col min="3" max="4" width="14.5546875" bestFit="1" customWidth="1"/>
    <col min="8" max="8" width="11.6640625" bestFit="1" customWidth="1"/>
    <col min="9" max="10" width="15" bestFit="1" customWidth="1"/>
    <col min="11" max="11" width="12.88671875" customWidth="1"/>
    <col min="14" max="14" width="8" bestFit="1" customWidth="1"/>
    <col min="15" max="15" width="20.21875" bestFit="1" customWidth="1"/>
    <col min="16" max="16" width="15.5546875" bestFit="1" customWidth="1"/>
  </cols>
  <sheetData>
    <row r="2" spans="1:16" ht="15.6" x14ac:dyDescent="0.3">
      <c r="A2" s="4" t="s">
        <v>11</v>
      </c>
      <c r="B2" s="3"/>
      <c r="C2" s="3"/>
      <c r="H2" s="4" t="s">
        <v>13</v>
      </c>
      <c r="I2" s="3"/>
      <c r="J2" s="3"/>
      <c r="K2" s="3"/>
    </row>
    <row r="3" spans="1:16" x14ac:dyDescent="0.3">
      <c r="A3" s="12" t="s">
        <v>67</v>
      </c>
      <c r="B3" s="12" t="s">
        <v>66</v>
      </c>
      <c r="C3" t="s">
        <v>65</v>
      </c>
      <c r="H3" s="12" t="s">
        <v>25</v>
      </c>
      <c r="I3" s="12" t="s">
        <v>67</v>
      </c>
      <c r="J3" t="s">
        <v>65</v>
      </c>
      <c r="K3" t="s">
        <v>71</v>
      </c>
      <c r="M3" s="12" t="s">
        <v>25</v>
      </c>
      <c r="N3" s="12" t="s">
        <v>67</v>
      </c>
      <c r="O3" t="s">
        <v>70</v>
      </c>
      <c r="P3" t="s">
        <v>71</v>
      </c>
    </row>
    <row r="4" spans="1:16" x14ac:dyDescent="0.3">
      <c r="A4" t="s">
        <v>44</v>
      </c>
      <c r="B4" t="s">
        <v>47</v>
      </c>
      <c r="C4" s="13">
        <v>12245.45</v>
      </c>
      <c r="H4" t="s">
        <v>29</v>
      </c>
      <c r="I4" t="s">
        <v>44</v>
      </c>
      <c r="J4" s="13">
        <v>197175.25</v>
      </c>
      <c r="K4" s="14"/>
      <c r="M4" t="s">
        <v>29</v>
      </c>
      <c r="N4" t="s">
        <v>44</v>
      </c>
      <c r="O4" s="11">
        <v>93</v>
      </c>
      <c r="P4" s="14"/>
    </row>
    <row r="5" spans="1:16" x14ac:dyDescent="0.3">
      <c r="B5" t="s">
        <v>48</v>
      </c>
      <c r="C5" s="13">
        <v>29.95</v>
      </c>
      <c r="I5" t="s">
        <v>45</v>
      </c>
      <c r="J5" s="13">
        <v>270049.20000000013</v>
      </c>
      <c r="K5" s="14">
        <v>0.36958974313459791</v>
      </c>
      <c r="N5" t="s">
        <v>45</v>
      </c>
      <c r="O5" s="11">
        <v>111</v>
      </c>
      <c r="P5" s="14">
        <v>0.19354838709677419</v>
      </c>
    </row>
    <row r="6" spans="1:16" x14ac:dyDescent="0.3">
      <c r="B6" t="s">
        <v>49</v>
      </c>
      <c r="C6" s="13">
        <v>11553.05</v>
      </c>
      <c r="I6" t="s">
        <v>46</v>
      </c>
      <c r="J6" s="13">
        <v>301886.2</v>
      </c>
      <c r="K6" s="14">
        <v>0.11789333202986667</v>
      </c>
      <c r="N6" t="s">
        <v>46</v>
      </c>
      <c r="O6" s="11">
        <v>99</v>
      </c>
      <c r="P6" s="14">
        <v>-0.10810810810810811</v>
      </c>
    </row>
    <row r="7" spans="1:16" x14ac:dyDescent="0.3">
      <c r="B7" t="s">
        <v>50</v>
      </c>
      <c r="C7" s="13">
        <v>24500</v>
      </c>
      <c r="I7" t="s">
        <v>59</v>
      </c>
      <c r="J7" s="13">
        <v>339533.50000000012</v>
      </c>
      <c r="K7" s="14">
        <v>0.12470692598734259</v>
      </c>
      <c r="N7" t="s">
        <v>59</v>
      </c>
      <c r="O7" s="11">
        <v>137</v>
      </c>
      <c r="P7" s="14">
        <v>0.38383838383838381</v>
      </c>
    </row>
    <row r="8" spans="1:16" x14ac:dyDescent="0.3">
      <c r="B8" t="s">
        <v>51</v>
      </c>
      <c r="C8" s="13">
        <v>16458.3</v>
      </c>
      <c r="H8" t="s">
        <v>68</v>
      </c>
      <c r="J8" s="13">
        <v>1108644.1500000004</v>
      </c>
      <c r="K8" s="14"/>
      <c r="M8" t="s">
        <v>68</v>
      </c>
      <c r="O8" s="11">
        <v>440</v>
      </c>
      <c r="P8" s="14"/>
    </row>
    <row r="9" spans="1:16" x14ac:dyDescent="0.3">
      <c r="B9" t="s">
        <v>52</v>
      </c>
      <c r="C9" s="13">
        <v>16939.699999999997</v>
      </c>
      <c r="H9" t="s">
        <v>35</v>
      </c>
      <c r="I9" t="s">
        <v>44</v>
      </c>
      <c r="J9" s="13">
        <v>207339.95000000004</v>
      </c>
      <c r="K9" s="14"/>
      <c r="M9" t="s">
        <v>35</v>
      </c>
      <c r="N9" t="s">
        <v>44</v>
      </c>
      <c r="O9" s="11">
        <v>96</v>
      </c>
      <c r="P9" s="14"/>
    </row>
    <row r="10" spans="1:16" x14ac:dyDescent="0.3">
      <c r="B10" t="s">
        <v>53</v>
      </c>
      <c r="C10" s="13">
        <v>24588.850000000006</v>
      </c>
      <c r="I10" t="s">
        <v>45</v>
      </c>
      <c r="J10" s="13">
        <v>216128.1</v>
      </c>
      <c r="K10" s="14">
        <v>4.238522291531354E-2</v>
      </c>
      <c r="N10" t="s">
        <v>45</v>
      </c>
      <c r="O10" s="11">
        <v>103</v>
      </c>
      <c r="P10" s="14">
        <v>7.2916666666666671E-2</v>
      </c>
    </row>
    <row r="11" spans="1:16" x14ac:dyDescent="0.3">
      <c r="B11" t="s">
        <v>54</v>
      </c>
      <c r="C11" s="13">
        <v>27298.25</v>
      </c>
      <c r="I11" t="s">
        <v>46</v>
      </c>
      <c r="J11" s="13">
        <v>278561.10000000003</v>
      </c>
      <c r="K11" s="14">
        <v>0.28887035050046722</v>
      </c>
      <c r="N11" t="s">
        <v>46</v>
      </c>
      <c r="O11" s="11">
        <v>104</v>
      </c>
      <c r="P11" s="14">
        <v>9.7087378640776691E-3</v>
      </c>
    </row>
    <row r="12" spans="1:16" x14ac:dyDescent="0.3">
      <c r="B12" t="s">
        <v>55</v>
      </c>
      <c r="C12" s="13">
        <v>23846.2</v>
      </c>
      <c r="I12" t="s">
        <v>59</v>
      </c>
      <c r="J12" s="13">
        <v>266148.75000000006</v>
      </c>
      <c r="K12" s="14">
        <v>-4.455880594957435E-2</v>
      </c>
      <c r="N12" t="s">
        <v>59</v>
      </c>
      <c r="O12" s="11">
        <v>115</v>
      </c>
      <c r="P12" s="14">
        <v>0.10576923076923077</v>
      </c>
    </row>
    <row r="13" spans="1:16" x14ac:dyDescent="0.3">
      <c r="B13" t="s">
        <v>56</v>
      </c>
      <c r="C13" s="13">
        <v>34787.5</v>
      </c>
      <c r="H13" t="s">
        <v>69</v>
      </c>
      <c r="J13" s="13">
        <v>968177.90000000014</v>
      </c>
      <c r="K13" s="14"/>
      <c r="M13" t="s">
        <v>69</v>
      </c>
      <c r="O13" s="11">
        <v>418</v>
      </c>
      <c r="P13" s="14"/>
    </row>
    <row r="14" spans="1:16" x14ac:dyDescent="0.3">
      <c r="B14" t="s">
        <v>57</v>
      </c>
      <c r="C14" s="13">
        <v>92606.45</v>
      </c>
      <c r="H14" t="s">
        <v>43</v>
      </c>
      <c r="J14" s="13">
        <v>2076822.0500000005</v>
      </c>
      <c r="K14" s="14"/>
      <c r="M14" t="s">
        <v>43</v>
      </c>
      <c r="O14" s="11">
        <v>858</v>
      </c>
      <c r="P14" s="14"/>
    </row>
    <row r="15" spans="1:16" x14ac:dyDescent="0.3">
      <c r="B15" t="s">
        <v>58</v>
      </c>
      <c r="C15" s="13">
        <v>119661.50000000001</v>
      </c>
    </row>
    <row r="16" spans="1:16" x14ac:dyDescent="0.3">
      <c r="A16" t="s">
        <v>61</v>
      </c>
      <c r="C16" s="13">
        <v>404515.2</v>
      </c>
    </row>
    <row r="17" spans="1:11" x14ac:dyDescent="0.3">
      <c r="A17" t="s">
        <v>45</v>
      </c>
      <c r="B17" t="s">
        <v>47</v>
      </c>
      <c r="C17" s="13">
        <v>25847.200000000001</v>
      </c>
    </row>
    <row r="18" spans="1:11" x14ac:dyDescent="0.3">
      <c r="B18" t="s">
        <v>48</v>
      </c>
      <c r="C18" s="13">
        <v>16595.8</v>
      </c>
    </row>
    <row r="19" spans="1:11" x14ac:dyDescent="0.3">
      <c r="B19" t="s">
        <v>49</v>
      </c>
      <c r="C19" s="13">
        <v>13423.6</v>
      </c>
    </row>
    <row r="20" spans="1:11" ht="15.6" x14ac:dyDescent="0.3">
      <c r="B20" t="s">
        <v>50</v>
      </c>
      <c r="C20" s="13">
        <v>15105.699999999997</v>
      </c>
      <c r="H20" s="4" t="s">
        <v>17</v>
      </c>
      <c r="I20" s="3"/>
      <c r="J20" s="3"/>
    </row>
    <row r="21" spans="1:11" x14ac:dyDescent="0.3">
      <c r="B21" t="s">
        <v>51</v>
      </c>
      <c r="C21" s="13">
        <v>44968.950000000004</v>
      </c>
      <c r="H21" s="12" t="s">
        <v>60</v>
      </c>
      <c r="I21" s="12" t="s">
        <v>21</v>
      </c>
    </row>
    <row r="22" spans="1:11" x14ac:dyDescent="0.3">
      <c r="B22" t="s">
        <v>52</v>
      </c>
      <c r="C22" s="13">
        <v>41624.450000000004</v>
      </c>
      <c r="H22" s="12" t="s">
        <v>67</v>
      </c>
      <c r="I22" t="s">
        <v>33</v>
      </c>
      <c r="J22" t="s">
        <v>27</v>
      </c>
      <c r="K22" t="s">
        <v>43</v>
      </c>
    </row>
    <row r="23" spans="1:11" x14ac:dyDescent="0.3">
      <c r="B23" t="s">
        <v>53</v>
      </c>
      <c r="C23" s="13">
        <v>29849.7</v>
      </c>
      <c r="H23" t="s">
        <v>44</v>
      </c>
      <c r="I23" s="13">
        <v>85272.500000000015</v>
      </c>
      <c r="J23" s="13">
        <v>319242.7</v>
      </c>
      <c r="K23" s="13">
        <v>404515.2</v>
      </c>
    </row>
    <row r="24" spans="1:11" x14ac:dyDescent="0.3">
      <c r="B24" t="s">
        <v>54</v>
      </c>
      <c r="C24" s="13">
        <v>36166.999999999993</v>
      </c>
      <c r="H24" t="s">
        <v>45</v>
      </c>
      <c r="I24" s="13">
        <v>115945.94999999998</v>
      </c>
      <c r="J24" s="13">
        <v>370231.35</v>
      </c>
      <c r="K24" s="13">
        <v>486177.29999999993</v>
      </c>
    </row>
    <row r="25" spans="1:11" x14ac:dyDescent="0.3">
      <c r="B25" t="s">
        <v>55</v>
      </c>
      <c r="C25" s="13">
        <v>35967.5</v>
      </c>
      <c r="H25" t="s">
        <v>46</v>
      </c>
      <c r="I25" s="13">
        <v>119189.34999999998</v>
      </c>
      <c r="J25" s="13">
        <v>461257.95000000013</v>
      </c>
      <c r="K25" s="13">
        <v>580447.30000000005</v>
      </c>
    </row>
    <row r="26" spans="1:11" x14ac:dyDescent="0.3">
      <c r="B26" t="s">
        <v>56</v>
      </c>
      <c r="C26" s="13">
        <v>12572.55</v>
      </c>
      <c r="H26" t="s">
        <v>59</v>
      </c>
      <c r="I26" s="13">
        <v>149177.40000000002</v>
      </c>
      <c r="J26" s="13">
        <v>456504.85000000009</v>
      </c>
      <c r="K26" s="13">
        <v>605682.25000000012</v>
      </c>
    </row>
    <row r="27" spans="1:11" x14ac:dyDescent="0.3">
      <c r="B27" t="s">
        <v>57</v>
      </c>
      <c r="C27" s="13">
        <v>106143.84999999998</v>
      </c>
      <c r="H27" t="s">
        <v>43</v>
      </c>
      <c r="I27" s="13">
        <v>469585.2</v>
      </c>
      <c r="J27" s="13">
        <v>1607236.8500000003</v>
      </c>
      <c r="K27" s="13">
        <v>2076822.0500000003</v>
      </c>
    </row>
    <row r="28" spans="1:11" x14ac:dyDescent="0.3">
      <c r="B28" t="s">
        <v>58</v>
      </c>
      <c r="C28" s="13">
        <v>107911</v>
      </c>
    </row>
    <row r="29" spans="1:11" x14ac:dyDescent="0.3">
      <c r="A29" t="s">
        <v>62</v>
      </c>
      <c r="C29" s="13">
        <v>486177.3</v>
      </c>
    </row>
    <row r="30" spans="1:11" x14ac:dyDescent="0.3">
      <c r="A30" t="s">
        <v>46</v>
      </c>
      <c r="B30" t="s">
        <v>47</v>
      </c>
      <c r="C30" s="13">
        <v>19871.099999999999</v>
      </c>
    </row>
    <row r="31" spans="1:11" x14ac:dyDescent="0.3">
      <c r="B31" t="s">
        <v>48</v>
      </c>
      <c r="C31" s="13">
        <v>32969.699999999997</v>
      </c>
    </row>
    <row r="32" spans="1:11" x14ac:dyDescent="0.3">
      <c r="B32" t="s">
        <v>49</v>
      </c>
      <c r="C32" s="13">
        <v>14772.95</v>
      </c>
    </row>
    <row r="33" spans="1:3" x14ac:dyDescent="0.3">
      <c r="B33" t="s">
        <v>50</v>
      </c>
      <c r="C33" s="13">
        <v>47650.500000000007</v>
      </c>
    </row>
    <row r="34" spans="1:3" x14ac:dyDescent="0.3">
      <c r="B34" t="s">
        <v>51</v>
      </c>
      <c r="C34" s="13">
        <v>19585</v>
      </c>
    </row>
    <row r="35" spans="1:3" x14ac:dyDescent="0.3">
      <c r="B35" t="s">
        <v>52</v>
      </c>
      <c r="C35" s="13">
        <v>5914.3499999999995</v>
      </c>
    </row>
    <row r="36" spans="1:3" x14ac:dyDescent="0.3">
      <c r="B36" t="s">
        <v>53</v>
      </c>
      <c r="C36" s="13">
        <v>31612.799999999999</v>
      </c>
    </row>
    <row r="37" spans="1:3" x14ac:dyDescent="0.3">
      <c r="B37" t="s">
        <v>54</v>
      </c>
      <c r="C37" s="13">
        <v>36882.9</v>
      </c>
    </row>
    <row r="38" spans="1:3" x14ac:dyDescent="0.3">
      <c r="B38" t="s">
        <v>55</v>
      </c>
      <c r="C38" s="13">
        <v>49449.299999999996</v>
      </c>
    </row>
    <row r="39" spans="1:3" x14ac:dyDescent="0.3">
      <c r="B39" t="s">
        <v>56</v>
      </c>
      <c r="C39" s="13">
        <v>80379.850000000006</v>
      </c>
    </row>
    <row r="40" spans="1:3" x14ac:dyDescent="0.3">
      <c r="B40" t="s">
        <v>57</v>
      </c>
      <c r="C40" s="13">
        <v>124052.69999999998</v>
      </c>
    </row>
    <row r="41" spans="1:3" x14ac:dyDescent="0.3">
      <c r="B41" t="s">
        <v>58</v>
      </c>
      <c r="C41" s="13">
        <v>117306.14999999998</v>
      </c>
    </row>
    <row r="42" spans="1:3" x14ac:dyDescent="0.3">
      <c r="A42" t="s">
        <v>63</v>
      </c>
      <c r="C42" s="13">
        <v>580447.29999999993</v>
      </c>
    </row>
    <row r="43" spans="1:3" x14ac:dyDescent="0.3">
      <c r="A43" t="s">
        <v>59</v>
      </c>
      <c r="B43" t="s">
        <v>47</v>
      </c>
      <c r="C43" s="13">
        <v>24940.149999999998</v>
      </c>
    </row>
    <row r="44" spans="1:3" x14ac:dyDescent="0.3">
      <c r="B44" t="s">
        <v>48</v>
      </c>
      <c r="C44" s="13">
        <v>15607.100000000002</v>
      </c>
    </row>
    <row r="45" spans="1:3" x14ac:dyDescent="0.3">
      <c r="B45" t="s">
        <v>49</v>
      </c>
      <c r="C45" s="13">
        <v>8091.7499999999991</v>
      </c>
    </row>
    <row r="46" spans="1:3" x14ac:dyDescent="0.3">
      <c r="B46" t="s">
        <v>50</v>
      </c>
      <c r="C46" s="13">
        <v>46408.899999999994</v>
      </c>
    </row>
    <row r="47" spans="1:3" x14ac:dyDescent="0.3">
      <c r="B47" t="s">
        <v>51</v>
      </c>
      <c r="C47" s="13">
        <v>37400.6</v>
      </c>
    </row>
    <row r="48" spans="1:3" x14ac:dyDescent="0.3">
      <c r="B48" t="s">
        <v>52</v>
      </c>
      <c r="C48" s="13">
        <v>48865.2</v>
      </c>
    </row>
    <row r="49" spans="1:3" x14ac:dyDescent="0.3">
      <c r="B49" t="s">
        <v>53</v>
      </c>
      <c r="C49" s="13">
        <v>61946.2</v>
      </c>
    </row>
    <row r="50" spans="1:3" x14ac:dyDescent="0.3">
      <c r="B50" t="s">
        <v>54</v>
      </c>
      <c r="C50" s="13">
        <v>32765.8</v>
      </c>
    </row>
    <row r="51" spans="1:3" x14ac:dyDescent="0.3">
      <c r="B51" t="s">
        <v>55</v>
      </c>
      <c r="C51" s="13">
        <v>33820.100000000006</v>
      </c>
    </row>
    <row r="52" spans="1:3" x14ac:dyDescent="0.3">
      <c r="B52" t="s">
        <v>56</v>
      </c>
      <c r="C52" s="13">
        <v>64287.799999999988</v>
      </c>
    </row>
    <row r="53" spans="1:3" x14ac:dyDescent="0.3">
      <c r="B53" t="s">
        <v>57</v>
      </c>
      <c r="C53" s="13">
        <v>141946.54999999999</v>
      </c>
    </row>
    <row r="54" spans="1:3" x14ac:dyDescent="0.3">
      <c r="B54" t="s">
        <v>58</v>
      </c>
      <c r="C54" s="13">
        <v>89602.099999999991</v>
      </c>
    </row>
    <row r="55" spans="1:3" x14ac:dyDescent="0.3">
      <c r="A55" t="s">
        <v>64</v>
      </c>
      <c r="C55" s="13">
        <v>605682.25</v>
      </c>
    </row>
    <row r="56" spans="1:3" x14ac:dyDescent="0.3">
      <c r="A56" t="s">
        <v>43</v>
      </c>
      <c r="C56" s="13">
        <v>2076822.05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6255-D371-4ED7-9EE1-7DB7B49F246F}">
  <dimension ref="A1:V873"/>
  <sheetViews>
    <sheetView zoomScale="91" zoomScaleNormal="74" workbookViewId="0">
      <selection activeCell="K5" sqref="K5"/>
    </sheetView>
  </sheetViews>
  <sheetFormatPr defaultRowHeight="14.4" x14ac:dyDescent="0.3"/>
  <cols>
    <col min="1" max="1" width="11.21875" bestFit="1" customWidth="1"/>
    <col min="2" max="2" width="12.21875" bestFit="1" customWidth="1"/>
    <col min="3" max="3" width="13.33203125" bestFit="1" customWidth="1"/>
    <col min="4" max="4" width="8" bestFit="1" customWidth="1"/>
    <col min="5" max="5" width="10" bestFit="1" customWidth="1"/>
    <col min="6" max="6" width="10.21875" bestFit="1" customWidth="1"/>
    <col min="7" max="7" width="15.33203125" bestFit="1" customWidth="1"/>
    <col min="8" max="8" width="9.5546875" bestFit="1" customWidth="1"/>
    <col min="12" max="12" width="18.109375" customWidth="1"/>
    <col min="13" max="13" width="11.33203125" customWidth="1"/>
    <col min="14" max="14" width="10.6640625" customWidth="1"/>
    <col min="18" max="18" width="16.21875" customWidth="1"/>
    <col min="19" max="19" width="12.33203125" customWidth="1"/>
    <col min="20" max="20" width="24.21875" bestFit="1" customWidth="1"/>
  </cols>
  <sheetData>
    <row r="1" spans="1:20" ht="18" x14ac:dyDescent="0.35">
      <c r="F1" s="7" t="s">
        <v>9</v>
      </c>
      <c r="G1" s="4"/>
      <c r="H1" s="4"/>
      <c r="I1" s="4"/>
      <c r="J1" s="6"/>
      <c r="K1" s="4"/>
      <c r="L1" s="4"/>
      <c r="M1" s="4"/>
      <c r="N1" s="4"/>
      <c r="O1" s="3"/>
    </row>
    <row r="2" spans="1:20" ht="15.6" x14ac:dyDescent="0.3">
      <c r="F2" s="4" t="s">
        <v>10</v>
      </c>
      <c r="G2" s="4"/>
      <c r="H2" s="4"/>
      <c r="I2" s="4"/>
      <c r="J2" s="4">
        <v>1</v>
      </c>
      <c r="K2" s="4" t="s">
        <v>11</v>
      </c>
      <c r="L2" s="4"/>
      <c r="M2" s="4"/>
      <c r="N2" s="4"/>
      <c r="O2" s="3"/>
    </row>
    <row r="3" spans="1:20" ht="15.6" x14ac:dyDescent="0.3">
      <c r="F3" s="4" t="s">
        <v>12</v>
      </c>
      <c r="G3" s="4"/>
      <c r="H3" s="4"/>
      <c r="I3" s="4"/>
      <c r="J3" s="4">
        <v>2</v>
      </c>
      <c r="K3" s="4" t="s">
        <v>13</v>
      </c>
      <c r="L3" s="4"/>
      <c r="M3" s="4"/>
      <c r="N3" s="4"/>
      <c r="O3" s="3"/>
    </row>
    <row r="4" spans="1:20" ht="15.6" x14ac:dyDescent="0.3">
      <c r="F4" s="4" t="s">
        <v>14</v>
      </c>
      <c r="G4" s="4"/>
      <c r="H4" s="4"/>
      <c r="I4" s="4"/>
      <c r="J4" s="4">
        <v>3</v>
      </c>
      <c r="K4" s="4" t="s">
        <v>15</v>
      </c>
      <c r="L4" s="4"/>
      <c r="M4" s="4"/>
      <c r="N4" s="4"/>
      <c r="O4" s="3"/>
    </row>
    <row r="5" spans="1:20" ht="15.6" x14ac:dyDescent="0.3">
      <c r="F5" s="4" t="s">
        <v>16</v>
      </c>
      <c r="G5" s="4"/>
      <c r="H5" s="4"/>
      <c r="I5" s="4"/>
      <c r="J5" s="4">
        <v>4</v>
      </c>
      <c r="K5" s="4" t="s">
        <v>17</v>
      </c>
      <c r="L5" s="4"/>
      <c r="M5" s="4"/>
      <c r="N5" s="4"/>
      <c r="O5" s="3"/>
    </row>
    <row r="7" spans="1:20" ht="15.6" x14ac:dyDescent="0.3">
      <c r="L7" s="9" t="s">
        <v>40</v>
      </c>
      <c r="M7" s="8" t="s">
        <v>39</v>
      </c>
      <c r="N7" s="8"/>
      <c r="O7" s="8"/>
      <c r="R7" s="9" t="s">
        <v>41</v>
      </c>
      <c r="S7" s="8" t="s">
        <v>19</v>
      </c>
      <c r="T7" s="8"/>
    </row>
    <row r="9" spans="1:20" x14ac:dyDescent="0.3">
      <c r="L9" s="5" t="s">
        <v>1</v>
      </c>
      <c r="M9" s="5" t="s">
        <v>20</v>
      </c>
      <c r="N9" s="5" t="s">
        <v>21</v>
      </c>
      <c r="O9" s="5" t="s">
        <v>22</v>
      </c>
      <c r="P9" s="5" t="s">
        <v>23</v>
      </c>
      <c r="R9" s="5" t="s">
        <v>2</v>
      </c>
      <c r="S9" s="5" t="s">
        <v>24</v>
      </c>
      <c r="T9" s="5" t="s">
        <v>25</v>
      </c>
    </row>
    <row r="10" spans="1:20" x14ac:dyDescent="0.3">
      <c r="L10">
        <v>1</v>
      </c>
      <c r="M10" t="s">
        <v>26</v>
      </c>
      <c r="N10" t="s">
        <v>27</v>
      </c>
      <c r="O10">
        <v>23.75</v>
      </c>
      <c r="P10">
        <v>43.95</v>
      </c>
      <c r="R10">
        <v>1</v>
      </c>
      <c r="S10" t="s">
        <v>28</v>
      </c>
      <c r="T10" t="s">
        <v>29</v>
      </c>
    </row>
    <row r="11" spans="1:20" x14ac:dyDescent="0.3">
      <c r="L11">
        <v>2</v>
      </c>
      <c r="M11" t="s">
        <v>30</v>
      </c>
      <c r="N11" t="s">
        <v>27</v>
      </c>
      <c r="O11">
        <v>13.52</v>
      </c>
      <c r="P11">
        <v>29.95</v>
      </c>
      <c r="R11">
        <v>2</v>
      </c>
      <c r="S11" t="s">
        <v>31</v>
      </c>
      <c r="T11" t="s">
        <v>29</v>
      </c>
    </row>
    <row r="12" spans="1:20" x14ac:dyDescent="0.3">
      <c r="L12">
        <v>3</v>
      </c>
      <c r="M12" t="s">
        <v>32</v>
      </c>
      <c r="N12" t="s">
        <v>33</v>
      </c>
      <c r="O12">
        <v>12.48</v>
      </c>
      <c r="P12">
        <v>25.95</v>
      </c>
      <c r="R12">
        <v>3</v>
      </c>
      <c r="S12" t="s">
        <v>34</v>
      </c>
      <c r="T12" t="s">
        <v>35</v>
      </c>
    </row>
    <row r="13" spans="1:20" ht="21" x14ac:dyDescent="0.4">
      <c r="A13" s="10" t="s">
        <v>18</v>
      </c>
      <c r="B13" s="8" t="s">
        <v>38</v>
      </c>
      <c r="C13" s="8"/>
      <c r="D13" s="8"/>
      <c r="E13" s="8"/>
      <c r="F13" s="8"/>
      <c r="G13" s="8"/>
      <c r="H13" s="8"/>
      <c r="L13">
        <v>4</v>
      </c>
      <c r="M13" t="s">
        <v>36</v>
      </c>
      <c r="N13" t="s">
        <v>33</v>
      </c>
      <c r="O13">
        <v>11.67</v>
      </c>
      <c r="P13">
        <v>23.95</v>
      </c>
      <c r="R13">
        <v>4</v>
      </c>
      <c r="S13" t="s">
        <v>37</v>
      </c>
      <c r="T13" t="s">
        <v>35</v>
      </c>
    </row>
    <row r="15" spans="1:20" x14ac:dyDescent="0.3">
      <c r="A15" t="s">
        <v>0</v>
      </c>
      <c r="B15" t="s">
        <v>1</v>
      </c>
      <c r="C15" t="s">
        <v>2</v>
      </c>
      <c r="D15" t="s">
        <v>3</v>
      </c>
      <c r="E15" t="s">
        <v>4</v>
      </c>
      <c r="F15" t="s">
        <v>20</v>
      </c>
      <c r="G15" t="s">
        <v>21</v>
      </c>
      <c r="H15" t="s">
        <v>25</v>
      </c>
    </row>
    <row r="16" spans="1:20" x14ac:dyDescent="0.3">
      <c r="A16" s="1">
        <v>44795</v>
      </c>
      <c r="B16">
        <v>2</v>
      </c>
      <c r="C16">
        <v>4</v>
      </c>
      <c r="D16">
        <v>144</v>
      </c>
      <c r="E16" s="11" cm="1">
        <f t="array" ref="E16">_xlfn.XLOOKUP(fsales[[#This Row],[ProductID]],dProduct[[#All],[ProductID]],dProduct[[#All],[Price]])*fsales[[#This Row],[Units]]</f>
        <v>4312.8</v>
      </c>
      <c r="F16" s="11" t="str" cm="1">
        <f t="array" ref="F16">_xlfn.XLOOKUP(fsales[[#This Row],[ProductID]],dProduct[[#All],[ProductID]],dProduct[[#All],[Product]])</f>
        <v>Carlota</v>
      </c>
      <c r="G16" s="11" t="str" cm="1">
        <f t="array" ref="G16">_xlfn.XLOOKUP(fsales[[#This Row],[ProductID]],dProduct[[#All],[ProductID]],dProduct[[#All],[Supplier]])</f>
        <v>Gel Booms</v>
      </c>
      <c r="H16" s="11" t="str" cm="1">
        <f t="array" ref="H16">_xlfn.XLOOKUP(fsales[[#This Row],[SalesRepID]],dSalesRep[[#All],[SalesRepID]],dSalesRep[[#All],[Region]])</f>
        <v>WA</v>
      </c>
    </row>
    <row r="17" spans="1:22" x14ac:dyDescent="0.3">
      <c r="A17" s="1">
        <v>45049</v>
      </c>
      <c r="B17">
        <v>4</v>
      </c>
      <c r="C17">
        <v>4</v>
      </c>
      <c r="D17">
        <v>6</v>
      </c>
      <c r="E17" s="11" cm="1">
        <f t="array" ref="E17">_xlfn.XLOOKUP(fsales[[#This Row],[ProductID]],dProduct[[#All],[ProductID]],dProduct[[#All],[Price]])*fsales[[#This Row],[Units]]</f>
        <v>143.69999999999999</v>
      </c>
      <c r="F17" s="11" t="str" cm="1">
        <f t="array" ref="F17">_xlfn.XLOOKUP(fsales[[#This Row],[ProductID]],dProduct[[#All],[ProductID]],dProduct[[#All],[Product]])</f>
        <v>Yanaki</v>
      </c>
      <c r="G17" s="11" t="str" cm="1">
        <f t="array" ref="G17">_xlfn.XLOOKUP(fsales[[#This Row],[ProductID]],dProduct[[#All],[ProductID]],dProduct[[#All],[Supplier]])</f>
        <v>Colorado Booms</v>
      </c>
      <c r="H17" s="11" t="str" cm="1">
        <f t="array" ref="H17">_xlfn.XLOOKUP(fsales[[#This Row],[SalesRepID]],dSalesRep[[#All],[SalesRepID]],dSalesRep[[#All],[Region]])</f>
        <v>WA</v>
      </c>
      <c r="S17" s="5" t="s">
        <v>0</v>
      </c>
      <c r="T17" s="5" t="s">
        <v>1</v>
      </c>
      <c r="U17" s="5" t="s">
        <v>2</v>
      </c>
      <c r="V17" s="5" t="s">
        <v>3</v>
      </c>
    </row>
    <row r="18" spans="1:22" x14ac:dyDescent="0.3">
      <c r="A18" s="1">
        <v>45238</v>
      </c>
      <c r="B18">
        <v>1</v>
      </c>
      <c r="C18">
        <v>2</v>
      </c>
      <c r="D18">
        <v>73</v>
      </c>
      <c r="E18" s="11" cm="1">
        <f t="array" ref="E18">_xlfn.XLOOKUP(fsales[[#This Row],[ProductID]],dProduct[[#All],[ProductID]],dProduct[[#All],[Price]])*fsales[[#This Row],[Units]]</f>
        <v>3208.3500000000004</v>
      </c>
      <c r="F18" s="11" t="str" cm="1">
        <f t="array" ref="F18">_xlfn.XLOOKUP(fsales[[#This Row],[ProductID]],dProduct[[#All],[ProductID]],dProduct[[#All],[Product]])</f>
        <v>Quad</v>
      </c>
      <c r="G18" s="11" t="str" cm="1">
        <f t="array" ref="G18">_xlfn.XLOOKUP(fsales[[#This Row],[ProductID]],dProduct[[#All],[ProductID]],dProduct[[#All],[Supplier]])</f>
        <v>Gel Booms</v>
      </c>
      <c r="H18" s="11" t="str" cm="1">
        <f t="array" ref="H18">_xlfn.XLOOKUP(fsales[[#This Row],[SalesRepID]],dSalesRep[[#All],[SalesRepID]],dSalesRep[[#All],[Region]])</f>
        <v>CA</v>
      </c>
      <c r="S18" s="1" t="e">
        <f ca="1">CHOOSE(RANDBETWEEN(1,9),RANDBETWEEN("1/1/2021","12/31/2021"),RANDBETWEEN("4/10/2021","12/31/2021"),RANDBETWEEN("11/8/2021","12/31/2021"),RANDBETWEEN("1/1/2022","12/31/2022"),RANDBETWEEN("4/5/2022","12/31/2022"),RANDBETWEEN("11/1/2022","12/31/2022"),RANDBETWEEN("1/1/2023","12/31/2023"),RANDBETWEEN("4/1/2023","12/31/2023"),RANDBETWEEN("10/20/2023","12/31/2023"))</f>
        <v>#VALUE!</v>
      </c>
      <c r="T18">
        <f ca="1">CHOOSE(RANDBETWEEN(1,2),RANDBETWEEN(1,4),2)</f>
        <v>2</v>
      </c>
      <c r="U18">
        <f ca="1">CHOOSE(RANDBETWEEN(1,3),RANDBETWEEN(1,4),2,4)</f>
        <v>4</v>
      </c>
      <c r="V18">
        <f ca="1">CHOOSE(RANDBETWEEN(1,3),RANDBETWEEN(1,300),ABS(INT(_xlfn.NORM.INV(RAND(),85,20))),RANDBETWEEN(1,6))</f>
        <v>6</v>
      </c>
    </row>
    <row r="19" spans="1:22" x14ac:dyDescent="0.3">
      <c r="A19" s="1">
        <v>44529</v>
      </c>
      <c r="B19">
        <v>2</v>
      </c>
      <c r="C19">
        <v>4</v>
      </c>
      <c r="D19">
        <v>95</v>
      </c>
      <c r="E19" s="11" cm="1">
        <f t="array" ref="E19">_xlfn.XLOOKUP(fsales[[#This Row],[ProductID]],dProduct[[#All],[ProductID]],dProduct[[#All],[Price]])*fsales[[#This Row],[Units]]</f>
        <v>2845.25</v>
      </c>
      <c r="F19" s="11" t="str" cm="1">
        <f t="array" ref="F19">_xlfn.XLOOKUP(fsales[[#This Row],[ProductID]],dProduct[[#All],[ProductID]],dProduct[[#All],[Product]])</f>
        <v>Carlota</v>
      </c>
      <c r="G19" s="11" t="str" cm="1">
        <f t="array" ref="G19">_xlfn.XLOOKUP(fsales[[#This Row],[ProductID]],dProduct[[#All],[ProductID]],dProduct[[#All],[Supplier]])</f>
        <v>Gel Booms</v>
      </c>
      <c r="H19" s="11" t="str" cm="1">
        <f t="array" ref="H19">_xlfn.XLOOKUP(fsales[[#This Row],[SalesRepID]],dSalesRep[[#All],[SalesRepID]],dSalesRep[[#All],[Region]])</f>
        <v>WA</v>
      </c>
    </row>
    <row r="20" spans="1:22" x14ac:dyDescent="0.3">
      <c r="A20" s="1">
        <v>44435</v>
      </c>
      <c r="B20">
        <v>2</v>
      </c>
      <c r="C20">
        <v>2</v>
      </c>
      <c r="D20">
        <v>5</v>
      </c>
      <c r="E20" s="11" cm="1">
        <f t="array" ref="E20">_xlfn.XLOOKUP(fsales[[#This Row],[ProductID]],dProduct[[#All],[ProductID]],dProduct[[#All],[Price]])*fsales[[#This Row],[Units]]</f>
        <v>149.75</v>
      </c>
      <c r="F20" s="11" t="str" cm="1">
        <f t="array" ref="F20">_xlfn.XLOOKUP(fsales[[#This Row],[ProductID]],dProduct[[#All],[ProductID]],dProduct[[#All],[Product]])</f>
        <v>Carlota</v>
      </c>
      <c r="G20" s="11" t="str" cm="1">
        <f t="array" ref="G20">_xlfn.XLOOKUP(fsales[[#This Row],[ProductID]],dProduct[[#All],[ProductID]],dProduct[[#All],[Supplier]])</f>
        <v>Gel Booms</v>
      </c>
      <c r="H20" s="11" t="str" cm="1">
        <f t="array" ref="H20">_xlfn.XLOOKUP(fsales[[#This Row],[SalesRepID]],dSalesRep[[#All],[SalesRepID]],dSalesRep[[#All],[Region]])</f>
        <v>CA</v>
      </c>
    </row>
    <row r="21" spans="1:22" x14ac:dyDescent="0.3">
      <c r="A21" s="1">
        <v>44896</v>
      </c>
      <c r="B21">
        <v>2</v>
      </c>
      <c r="C21">
        <v>2</v>
      </c>
      <c r="D21">
        <v>4</v>
      </c>
      <c r="E21" s="11" cm="1">
        <f t="array" ref="E21">_xlfn.XLOOKUP(fsales[[#This Row],[ProductID]],dProduct[[#All],[ProductID]],dProduct[[#All],[Price]])*fsales[[#This Row],[Units]]</f>
        <v>119.8</v>
      </c>
      <c r="F21" s="11" t="str" cm="1">
        <f t="array" ref="F21">_xlfn.XLOOKUP(fsales[[#This Row],[ProductID]],dProduct[[#All],[ProductID]],dProduct[[#All],[Product]])</f>
        <v>Carlota</v>
      </c>
      <c r="G21" s="11" t="str" cm="1">
        <f t="array" ref="G21">_xlfn.XLOOKUP(fsales[[#This Row],[ProductID]],dProduct[[#All],[ProductID]],dProduct[[#All],[Supplier]])</f>
        <v>Gel Booms</v>
      </c>
      <c r="H21" s="11" t="str" cm="1">
        <f t="array" ref="H21">_xlfn.XLOOKUP(fsales[[#This Row],[SalesRepID]],dSalesRep[[#All],[SalesRepID]],dSalesRep[[#All],[Region]])</f>
        <v>CA</v>
      </c>
    </row>
    <row r="22" spans="1:22" x14ac:dyDescent="0.3">
      <c r="A22" s="1">
        <v>44789</v>
      </c>
      <c r="B22">
        <v>2</v>
      </c>
      <c r="C22">
        <v>1</v>
      </c>
      <c r="D22">
        <v>91</v>
      </c>
      <c r="E22" s="11" cm="1">
        <f t="array" ref="E22">_xlfn.XLOOKUP(fsales[[#This Row],[ProductID]],dProduct[[#All],[ProductID]],dProduct[[#All],[Price]])*fsales[[#This Row],[Units]]</f>
        <v>2725.45</v>
      </c>
      <c r="F22" s="11" t="str" cm="1">
        <f t="array" ref="F22">_xlfn.XLOOKUP(fsales[[#This Row],[ProductID]],dProduct[[#All],[ProductID]],dProduct[[#All],[Product]])</f>
        <v>Carlota</v>
      </c>
      <c r="G22" s="11" t="str" cm="1">
        <f t="array" ref="G22">_xlfn.XLOOKUP(fsales[[#This Row],[ProductID]],dProduct[[#All],[ProductID]],dProduct[[#All],[Supplier]])</f>
        <v>Gel Booms</v>
      </c>
      <c r="H22" s="11" t="str" cm="1">
        <f t="array" ref="H22">_xlfn.XLOOKUP(fsales[[#This Row],[SalesRepID]],dSalesRep[[#All],[SalesRepID]],dSalesRep[[#All],[Region]])</f>
        <v>CA</v>
      </c>
    </row>
    <row r="23" spans="1:22" x14ac:dyDescent="0.3">
      <c r="A23" s="1">
        <v>45161</v>
      </c>
      <c r="B23">
        <v>2</v>
      </c>
      <c r="C23">
        <v>4</v>
      </c>
      <c r="D23">
        <v>1</v>
      </c>
      <c r="E23" s="11" cm="1">
        <f t="array" ref="E23">_xlfn.XLOOKUP(fsales[[#This Row],[ProductID]],dProduct[[#All],[ProductID]],dProduct[[#All],[Price]])*fsales[[#This Row],[Units]]</f>
        <v>29.95</v>
      </c>
      <c r="F23" s="11" t="str" cm="1">
        <f t="array" ref="F23">_xlfn.XLOOKUP(fsales[[#This Row],[ProductID]],dProduct[[#All],[ProductID]],dProduct[[#All],[Product]])</f>
        <v>Carlota</v>
      </c>
      <c r="G23" s="11" t="str" cm="1">
        <f t="array" ref="G23">_xlfn.XLOOKUP(fsales[[#This Row],[ProductID]],dProduct[[#All],[ProductID]],dProduct[[#All],[Supplier]])</f>
        <v>Gel Booms</v>
      </c>
      <c r="H23" s="11" t="str" cm="1">
        <f t="array" ref="H23">_xlfn.XLOOKUP(fsales[[#This Row],[SalesRepID]],dSalesRep[[#All],[SalesRepID]],dSalesRep[[#All],[Region]])</f>
        <v>WA</v>
      </c>
    </row>
    <row r="24" spans="1:22" x14ac:dyDescent="0.3">
      <c r="A24" s="1">
        <v>44567</v>
      </c>
      <c r="B24">
        <v>1</v>
      </c>
      <c r="C24">
        <v>2</v>
      </c>
      <c r="D24">
        <v>187</v>
      </c>
      <c r="E24" s="11" cm="1">
        <f t="array" ref="E24">_xlfn.XLOOKUP(fsales[[#This Row],[ProductID]],dProduct[[#All],[ProductID]],dProduct[[#All],[Price]])*fsales[[#This Row],[Units]]</f>
        <v>8218.65</v>
      </c>
      <c r="F24" s="11" t="str" cm="1">
        <f t="array" ref="F24">_xlfn.XLOOKUP(fsales[[#This Row],[ProductID]],dProduct[[#All],[ProductID]],dProduct[[#All],[Product]])</f>
        <v>Quad</v>
      </c>
      <c r="G24" s="11" t="str" cm="1">
        <f t="array" ref="G24">_xlfn.XLOOKUP(fsales[[#This Row],[ProductID]],dProduct[[#All],[ProductID]],dProduct[[#All],[Supplier]])</f>
        <v>Gel Booms</v>
      </c>
      <c r="H24" s="11" t="str" cm="1">
        <f t="array" ref="H24">_xlfn.XLOOKUP(fsales[[#This Row],[SalesRepID]],dSalesRep[[#All],[SalesRepID]],dSalesRep[[#All],[Region]])</f>
        <v>CA</v>
      </c>
    </row>
    <row r="25" spans="1:22" x14ac:dyDescent="0.3">
      <c r="A25" s="1">
        <v>45083</v>
      </c>
      <c r="B25">
        <v>2</v>
      </c>
      <c r="C25">
        <v>2</v>
      </c>
      <c r="D25">
        <v>81</v>
      </c>
      <c r="E25" s="11" cm="1">
        <f t="array" ref="E25">_xlfn.XLOOKUP(fsales[[#This Row],[ProductID]],dProduct[[#All],[ProductID]],dProduct[[#All],[Price]])*fsales[[#This Row],[Units]]</f>
        <v>2425.9499999999998</v>
      </c>
      <c r="F25" s="11" t="str" cm="1">
        <f t="array" ref="F25">_xlfn.XLOOKUP(fsales[[#This Row],[ProductID]],dProduct[[#All],[ProductID]],dProduct[[#All],[Product]])</f>
        <v>Carlota</v>
      </c>
      <c r="G25" s="11" t="str" cm="1">
        <f t="array" ref="G25">_xlfn.XLOOKUP(fsales[[#This Row],[ProductID]],dProduct[[#All],[ProductID]],dProduct[[#All],[Supplier]])</f>
        <v>Gel Booms</v>
      </c>
      <c r="H25" s="11" t="str" cm="1">
        <f t="array" ref="H25">_xlfn.XLOOKUP(fsales[[#This Row],[SalesRepID]],dSalesRep[[#All],[SalesRepID]],dSalesRep[[#All],[Region]])</f>
        <v>CA</v>
      </c>
    </row>
    <row r="26" spans="1:22" x14ac:dyDescent="0.3">
      <c r="A26" s="1">
        <v>44274</v>
      </c>
      <c r="B26">
        <v>2</v>
      </c>
      <c r="C26">
        <v>4</v>
      </c>
      <c r="D26">
        <v>80</v>
      </c>
      <c r="E26" s="11" cm="1">
        <f t="array" ref="E26">_xlfn.XLOOKUP(fsales[[#This Row],[ProductID]],dProduct[[#All],[ProductID]],dProduct[[#All],[Price]])*fsales[[#This Row],[Units]]</f>
        <v>2396</v>
      </c>
      <c r="F26" s="11" t="str" cm="1">
        <f t="array" ref="F26">_xlfn.XLOOKUP(fsales[[#This Row],[ProductID]],dProduct[[#All],[ProductID]],dProduct[[#All],[Product]])</f>
        <v>Carlota</v>
      </c>
      <c r="G26" s="11" t="str" cm="1">
        <f t="array" ref="G26">_xlfn.XLOOKUP(fsales[[#This Row],[ProductID]],dProduct[[#All],[ProductID]],dProduct[[#All],[Supplier]])</f>
        <v>Gel Booms</v>
      </c>
      <c r="H26" s="11" t="str" cm="1">
        <f t="array" ref="H26">_xlfn.XLOOKUP(fsales[[#This Row],[SalesRepID]],dSalesRep[[#All],[SalesRepID]],dSalesRep[[#All],[Region]])</f>
        <v>WA</v>
      </c>
    </row>
    <row r="27" spans="1:22" x14ac:dyDescent="0.3">
      <c r="A27" s="1">
        <v>44970</v>
      </c>
      <c r="B27">
        <v>3</v>
      </c>
      <c r="C27">
        <v>2</v>
      </c>
      <c r="D27">
        <v>125</v>
      </c>
      <c r="E27" s="11" cm="1">
        <f t="array" ref="E27">_xlfn.XLOOKUP(fsales[[#This Row],[ProductID]],dProduct[[#All],[ProductID]],dProduct[[#All],[Price]])*fsales[[#This Row],[Units]]</f>
        <v>3243.75</v>
      </c>
      <c r="F27" s="11" t="str" cm="1">
        <f t="array" ref="F27">_xlfn.XLOOKUP(fsales[[#This Row],[ProductID]],dProduct[[#All],[ProductID]],dProduct[[#All],[Product]])</f>
        <v>Aspen</v>
      </c>
      <c r="G27" s="11" t="str" cm="1">
        <f t="array" ref="G27">_xlfn.XLOOKUP(fsales[[#This Row],[ProductID]],dProduct[[#All],[ProductID]],dProduct[[#All],[Supplier]])</f>
        <v>Colorado Booms</v>
      </c>
      <c r="H27" s="11" t="str" cm="1">
        <f t="array" ref="H27">_xlfn.XLOOKUP(fsales[[#This Row],[SalesRepID]],dSalesRep[[#All],[SalesRepID]],dSalesRep[[#All],[Region]])</f>
        <v>CA</v>
      </c>
    </row>
    <row r="28" spans="1:22" x14ac:dyDescent="0.3">
      <c r="A28" s="1">
        <v>44511</v>
      </c>
      <c r="B28">
        <v>4</v>
      </c>
      <c r="C28">
        <v>2</v>
      </c>
      <c r="D28">
        <v>3</v>
      </c>
      <c r="E28" s="11" cm="1">
        <f t="array" ref="E28">_xlfn.XLOOKUP(fsales[[#This Row],[ProductID]],dProduct[[#All],[ProductID]],dProduct[[#All],[Price]])*fsales[[#This Row],[Units]]</f>
        <v>71.849999999999994</v>
      </c>
      <c r="F28" s="11" t="str" cm="1">
        <f t="array" ref="F28">_xlfn.XLOOKUP(fsales[[#This Row],[ProductID]],dProduct[[#All],[ProductID]],dProduct[[#All],[Product]])</f>
        <v>Yanaki</v>
      </c>
      <c r="G28" s="11" t="str" cm="1">
        <f t="array" ref="G28">_xlfn.XLOOKUP(fsales[[#This Row],[ProductID]],dProduct[[#All],[ProductID]],dProduct[[#All],[Supplier]])</f>
        <v>Colorado Booms</v>
      </c>
      <c r="H28" s="11" t="str" cm="1">
        <f t="array" ref="H28">_xlfn.XLOOKUP(fsales[[#This Row],[SalesRepID]],dSalesRep[[#All],[SalesRepID]],dSalesRep[[#All],[Region]])</f>
        <v>CA</v>
      </c>
    </row>
    <row r="29" spans="1:22" x14ac:dyDescent="0.3">
      <c r="A29" s="1">
        <v>44536</v>
      </c>
      <c r="B29">
        <v>2</v>
      </c>
      <c r="C29">
        <v>1</v>
      </c>
      <c r="D29">
        <v>57</v>
      </c>
      <c r="E29" s="11" cm="1">
        <f t="array" ref="E29">_xlfn.XLOOKUP(fsales[[#This Row],[ProductID]],dProduct[[#All],[ProductID]],dProduct[[#All],[Price]])*fsales[[#This Row],[Units]]</f>
        <v>1707.1499999999999</v>
      </c>
      <c r="F29" s="11" t="str" cm="1">
        <f t="array" ref="F29">_xlfn.XLOOKUP(fsales[[#This Row],[ProductID]],dProduct[[#All],[ProductID]],dProduct[[#All],[Product]])</f>
        <v>Carlota</v>
      </c>
      <c r="G29" s="11" t="str" cm="1">
        <f t="array" ref="G29">_xlfn.XLOOKUP(fsales[[#This Row],[ProductID]],dProduct[[#All],[ProductID]],dProduct[[#All],[Supplier]])</f>
        <v>Gel Booms</v>
      </c>
      <c r="H29" s="11" t="str" cm="1">
        <f t="array" ref="H29">_xlfn.XLOOKUP(fsales[[#This Row],[SalesRepID]],dSalesRep[[#All],[SalesRepID]],dSalesRep[[#All],[Region]])</f>
        <v>CA</v>
      </c>
    </row>
    <row r="30" spans="1:22" x14ac:dyDescent="0.3">
      <c r="A30" s="1">
        <v>44483</v>
      </c>
      <c r="B30">
        <v>1</v>
      </c>
      <c r="C30">
        <v>2</v>
      </c>
      <c r="D30">
        <v>1</v>
      </c>
      <c r="E30" s="11" cm="1">
        <f t="array" ref="E30">_xlfn.XLOOKUP(fsales[[#This Row],[ProductID]],dProduct[[#All],[ProductID]],dProduct[[#All],[Price]])*fsales[[#This Row],[Units]]</f>
        <v>43.95</v>
      </c>
      <c r="F30" s="11" t="str" cm="1">
        <f t="array" ref="F30">_xlfn.XLOOKUP(fsales[[#This Row],[ProductID]],dProduct[[#All],[ProductID]],dProduct[[#All],[Product]])</f>
        <v>Quad</v>
      </c>
      <c r="G30" s="11" t="str" cm="1">
        <f t="array" ref="G30">_xlfn.XLOOKUP(fsales[[#This Row],[ProductID]],dProduct[[#All],[ProductID]],dProduct[[#All],[Supplier]])</f>
        <v>Gel Booms</v>
      </c>
      <c r="H30" s="11" t="str" cm="1">
        <f t="array" ref="H30">_xlfn.XLOOKUP(fsales[[#This Row],[SalesRepID]],dSalesRep[[#All],[SalesRepID]],dSalesRep[[#All],[Region]])</f>
        <v>CA</v>
      </c>
    </row>
    <row r="31" spans="1:22" x14ac:dyDescent="0.3">
      <c r="A31" s="1">
        <v>44886</v>
      </c>
      <c r="B31">
        <v>2</v>
      </c>
      <c r="C31">
        <v>4</v>
      </c>
      <c r="D31">
        <v>4</v>
      </c>
      <c r="E31" s="11" cm="1">
        <f t="array" ref="E31">_xlfn.XLOOKUP(fsales[[#This Row],[ProductID]],dProduct[[#All],[ProductID]],dProduct[[#All],[Price]])*fsales[[#This Row],[Units]]</f>
        <v>119.8</v>
      </c>
      <c r="F31" s="11" t="str" cm="1">
        <f t="array" ref="F31">_xlfn.XLOOKUP(fsales[[#This Row],[ProductID]],dProduct[[#All],[ProductID]],dProduct[[#All],[Product]])</f>
        <v>Carlota</v>
      </c>
      <c r="G31" s="11" t="str" cm="1">
        <f t="array" ref="G31">_xlfn.XLOOKUP(fsales[[#This Row],[ProductID]],dProduct[[#All],[ProductID]],dProduct[[#All],[Supplier]])</f>
        <v>Gel Booms</v>
      </c>
      <c r="H31" s="11" t="str" cm="1">
        <f t="array" ref="H31">_xlfn.XLOOKUP(fsales[[#This Row],[SalesRepID]],dSalesRep[[#All],[SalesRepID]],dSalesRep[[#All],[Region]])</f>
        <v>WA</v>
      </c>
    </row>
    <row r="32" spans="1:22" x14ac:dyDescent="0.3">
      <c r="A32" s="1">
        <v>44663</v>
      </c>
      <c r="B32">
        <v>2</v>
      </c>
      <c r="C32">
        <v>3</v>
      </c>
      <c r="D32">
        <v>2</v>
      </c>
      <c r="E32" s="11" cm="1">
        <f t="array" ref="E32">_xlfn.XLOOKUP(fsales[[#This Row],[ProductID]],dProduct[[#All],[ProductID]],dProduct[[#All],[Price]])*fsales[[#This Row],[Units]]</f>
        <v>59.9</v>
      </c>
      <c r="F32" s="11" t="str" cm="1">
        <f t="array" ref="F32">_xlfn.XLOOKUP(fsales[[#This Row],[ProductID]],dProduct[[#All],[ProductID]],dProduct[[#All],[Product]])</f>
        <v>Carlota</v>
      </c>
      <c r="G32" s="11" t="str" cm="1">
        <f t="array" ref="G32">_xlfn.XLOOKUP(fsales[[#This Row],[ProductID]],dProduct[[#All],[ProductID]],dProduct[[#All],[Supplier]])</f>
        <v>Gel Booms</v>
      </c>
      <c r="H32" s="11" t="str" cm="1">
        <f t="array" ref="H32">_xlfn.XLOOKUP(fsales[[#This Row],[SalesRepID]],dSalesRep[[#All],[SalesRepID]],dSalesRep[[#All],[Region]])</f>
        <v>WA</v>
      </c>
    </row>
    <row r="33" spans="1:8" x14ac:dyDescent="0.3">
      <c r="A33" s="1">
        <v>44588</v>
      </c>
      <c r="B33">
        <v>2</v>
      </c>
      <c r="C33">
        <v>2</v>
      </c>
      <c r="D33">
        <v>238</v>
      </c>
      <c r="E33" s="11" cm="1">
        <f t="array" ref="E33">_xlfn.XLOOKUP(fsales[[#This Row],[ProductID]],dProduct[[#All],[ProductID]],dProduct[[#All],[Price]])*fsales[[#This Row],[Units]]</f>
        <v>7128.0999999999995</v>
      </c>
      <c r="F33" s="11" t="str" cm="1">
        <f t="array" ref="F33">_xlfn.XLOOKUP(fsales[[#This Row],[ProductID]],dProduct[[#All],[ProductID]],dProduct[[#All],[Product]])</f>
        <v>Carlota</v>
      </c>
      <c r="G33" s="11" t="str" cm="1">
        <f t="array" ref="G33">_xlfn.XLOOKUP(fsales[[#This Row],[ProductID]],dProduct[[#All],[ProductID]],dProduct[[#All],[Supplier]])</f>
        <v>Gel Booms</v>
      </c>
      <c r="H33" s="11" t="str" cm="1">
        <f t="array" ref="H33">_xlfn.XLOOKUP(fsales[[#This Row],[SalesRepID]],dSalesRep[[#All],[SalesRepID]],dSalesRep[[#All],[Region]])</f>
        <v>CA</v>
      </c>
    </row>
    <row r="34" spans="1:8" x14ac:dyDescent="0.3">
      <c r="A34" s="1">
        <v>44428</v>
      </c>
      <c r="B34">
        <v>3</v>
      </c>
      <c r="C34">
        <v>3</v>
      </c>
      <c r="D34">
        <v>102</v>
      </c>
      <c r="E34" s="11" cm="1">
        <f t="array" ref="E34">_xlfn.XLOOKUP(fsales[[#This Row],[ProductID]],dProduct[[#All],[ProductID]],dProduct[[#All],[Price]])*fsales[[#This Row],[Units]]</f>
        <v>2646.9</v>
      </c>
      <c r="F34" s="11" t="str" cm="1">
        <f t="array" ref="F34">_xlfn.XLOOKUP(fsales[[#This Row],[ProductID]],dProduct[[#All],[ProductID]],dProduct[[#All],[Product]])</f>
        <v>Aspen</v>
      </c>
      <c r="G34" s="11" t="str" cm="1">
        <f t="array" ref="G34">_xlfn.XLOOKUP(fsales[[#This Row],[ProductID]],dProduct[[#All],[ProductID]],dProduct[[#All],[Supplier]])</f>
        <v>Colorado Booms</v>
      </c>
      <c r="H34" s="11" t="str" cm="1">
        <f t="array" ref="H34">_xlfn.XLOOKUP(fsales[[#This Row],[SalesRepID]],dSalesRep[[#All],[SalesRepID]],dSalesRep[[#All],[Region]])</f>
        <v>WA</v>
      </c>
    </row>
    <row r="35" spans="1:8" x14ac:dyDescent="0.3">
      <c r="A35" s="1">
        <v>45233</v>
      </c>
      <c r="B35">
        <v>2</v>
      </c>
      <c r="C35">
        <v>2</v>
      </c>
      <c r="D35">
        <v>242</v>
      </c>
      <c r="E35" s="11" cm="1">
        <f t="array" ref="E35">_xlfn.XLOOKUP(fsales[[#This Row],[ProductID]],dProduct[[#All],[ProductID]],dProduct[[#All],[Price]])*fsales[[#This Row],[Units]]</f>
        <v>7247.9</v>
      </c>
      <c r="F35" s="11" t="str" cm="1">
        <f t="array" ref="F35">_xlfn.XLOOKUP(fsales[[#This Row],[ProductID]],dProduct[[#All],[ProductID]],dProduct[[#All],[Product]])</f>
        <v>Carlota</v>
      </c>
      <c r="G35" s="11" t="str" cm="1">
        <f t="array" ref="G35">_xlfn.XLOOKUP(fsales[[#This Row],[ProductID]],dProduct[[#All],[ProductID]],dProduct[[#All],[Supplier]])</f>
        <v>Gel Booms</v>
      </c>
      <c r="H35" s="11" t="str" cm="1">
        <f t="array" ref="H35">_xlfn.XLOOKUP(fsales[[#This Row],[SalesRepID]],dSalesRep[[#All],[SalesRepID]],dSalesRep[[#All],[Region]])</f>
        <v>CA</v>
      </c>
    </row>
    <row r="36" spans="1:8" x14ac:dyDescent="0.3">
      <c r="A36" s="1">
        <v>44554</v>
      </c>
      <c r="B36">
        <v>2</v>
      </c>
      <c r="C36">
        <v>4</v>
      </c>
      <c r="D36">
        <v>150</v>
      </c>
      <c r="E36" s="11" cm="1">
        <f t="array" ref="E36">_xlfn.XLOOKUP(fsales[[#This Row],[ProductID]],dProduct[[#All],[ProductID]],dProduct[[#All],[Price]])*fsales[[#This Row],[Units]]</f>
        <v>4492.5</v>
      </c>
      <c r="F36" s="11" t="str" cm="1">
        <f t="array" ref="F36">_xlfn.XLOOKUP(fsales[[#This Row],[ProductID]],dProduct[[#All],[ProductID]],dProduct[[#All],[Product]])</f>
        <v>Carlota</v>
      </c>
      <c r="G36" s="11" t="str" cm="1">
        <f t="array" ref="G36">_xlfn.XLOOKUP(fsales[[#This Row],[ProductID]],dProduct[[#All],[ProductID]],dProduct[[#All],[Supplier]])</f>
        <v>Gel Booms</v>
      </c>
      <c r="H36" s="11" t="str" cm="1">
        <f t="array" ref="H36">_xlfn.XLOOKUP(fsales[[#This Row],[SalesRepID]],dSalesRep[[#All],[SalesRepID]],dSalesRep[[#All],[Region]])</f>
        <v>WA</v>
      </c>
    </row>
    <row r="37" spans="1:8" x14ac:dyDescent="0.3">
      <c r="A37" s="1">
        <v>45253</v>
      </c>
      <c r="B37">
        <v>1</v>
      </c>
      <c r="C37">
        <v>2</v>
      </c>
      <c r="D37">
        <v>6</v>
      </c>
      <c r="E37" s="11" cm="1">
        <f t="array" ref="E37">_xlfn.XLOOKUP(fsales[[#This Row],[ProductID]],dProduct[[#All],[ProductID]],dProduct[[#All],[Price]])*fsales[[#This Row],[Units]]</f>
        <v>263.70000000000005</v>
      </c>
      <c r="F37" s="11" t="str" cm="1">
        <f t="array" ref="F37">_xlfn.XLOOKUP(fsales[[#This Row],[ProductID]],dProduct[[#All],[ProductID]],dProduct[[#All],[Product]])</f>
        <v>Quad</v>
      </c>
      <c r="G37" s="11" t="str" cm="1">
        <f t="array" ref="G37">_xlfn.XLOOKUP(fsales[[#This Row],[ProductID]],dProduct[[#All],[ProductID]],dProduct[[#All],[Supplier]])</f>
        <v>Gel Booms</v>
      </c>
      <c r="H37" s="11" t="str" cm="1">
        <f t="array" ref="H37">_xlfn.XLOOKUP(fsales[[#This Row],[SalesRepID]],dSalesRep[[#All],[SalesRepID]],dSalesRep[[#All],[Region]])</f>
        <v>CA</v>
      </c>
    </row>
    <row r="38" spans="1:8" x14ac:dyDescent="0.3">
      <c r="A38" s="1">
        <v>44707</v>
      </c>
      <c r="B38">
        <v>1</v>
      </c>
      <c r="C38">
        <v>4</v>
      </c>
      <c r="D38">
        <v>78</v>
      </c>
      <c r="E38" s="11" cm="1">
        <f t="array" ref="E38">_xlfn.XLOOKUP(fsales[[#This Row],[ProductID]],dProduct[[#All],[ProductID]],dProduct[[#All],[Price]])*fsales[[#This Row],[Units]]</f>
        <v>3428.1000000000004</v>
      </c>
      <c r="F38" s="11" t="str" cm="1">
        <f t="array" ref="F38">_xlfn.XLOOKUP(fsales[[#This Row],[ProductID]],dProduct[[#All],[ProductID]],dProduct[[#All],[Product]])</f>
        <v>Quad</v>
      </c>
      <c r="G38" s="11" t="str" cm="1">
        <f t="array" ref="G38">_xlfn.XLOOKUP(fsales[[#This Row],[ProductID]],dProduct[[#All],[ProductID]],dProduct[[#All],[Supplier]])</f>
        <v>Gel Booms</v>
      </c>
      <c r="H38" s="11" t="str" cm="1">
        <f t="array" ref="H38">_xlfn.XLOOKUP(fsales[[#This Row],[SalesRepID]],dSalesRep[[#All],[SalesRepID]],dSalesRep[[#All],[Region]])</f>
        <v>WA</v>
      </c>
    </row>
    <row r="39" spans="1:8" x14ac:dyDescent="0.3">
      <c r="A39" s="1">
        <v>44518</v>
      </c>
      <c r="B39">
        <v>2</v>
      </c>
      <c r="C39">
        <v>4</v>
      </c>
      <c r="D39">
        <v>75</v>
      </c>
      <c r="E39" s="11" cm="1">
        <f t="array" ref="E39">_xlfn.XLOOKUP(fsales[[#This Row],[ProductID]],dProduct[[#All],[ProductID]],dProduct[[#All],[Price]])*fsales[[#This Row],[Units]]</f>
        <v>2246.25</v>
      </c>
      <c r="F39" s="11" t="str" cm="1">
        <f t="array" ref="F39">_xlfn.XLOOKUP(fsales[[#This Row],[ProductID]],dProduct[[#All],[ProductID]],dProduct[[#All],[Product]])</f>
        <v>Carlota</v>
      </c>
      <c r="G39" s="11" t="str" cm="1">
        <f t="array" ref="G39">_xlfn.XLOOKUP(fsales[[#This Row],[ProductID]],dProduct[[#All],[ProductID]],dProduct[[#All],[Supplier]])</f>
        <v>Gel Booms</v>
      </c>
      <c r="H39" s="11" t="str" cm="1">
        <f t="array" ref="H39">_xlfn.XLOOKUP(fsales[[#This Row],[SalesRepID]],dSalesRep[[#All],[SalesRepID]],dSalesRep[[#All],[Region]])</f>
        <v>WA</v>
      </c>
    </row>
    <row r="40" spans="1:8" x14ac:dyDescent="0.3">
      <c r="A40" s="1">
        <v>44719</v>
      </c>
      <c r="B40">
        <v>1</v>
      </c>
      <c r="C40">
        <v>1</v>
      </c>
      <c r="D40">
        <v>6</v>
      </c>
      <c r="E40" s="11" cm="1">
        <f t="array" ref="E40">_xlfn.XLOOKUP(fsales[[#This Row],[ProductID]],dProduct[[#All],[ProductID]],dProduct[[#All],[Price]])*fsales[[#This Row],[Units]]</f>
        <v>263.70000000000005</v>
      </c>
      <c r="F40" s="11" t="str" cm="1">
        <f t="array" ref="F40">_xlfn.XLOOKUP(fsales[[#This Row],[ProductID]],dProduct[[#All],[ProductID]],dProduct[[#All],[Product]])</f>
        <v>Quad</v>
      </c>
      <c r="G40" s="11" t="str" cm="1">
        <f t="array" ref="G40">_xlfn.XLOOKUP(fsales[[#This Row],[ProductID]],dProduct[[#All],[ProductID]],dProduct[[#All],[Supplier]])</f>
        <v>Gel Booms</v>
      </c>
      <c r="H40" s="11" t="str" cm="1">
        <f t="array" ref="H40">_xlfn.XLOOKUP(fsales[[#This Row],[SalesRepID]],dSalesRep[[#All],[SalesRepID]],dSalesRep[[#All],[Region]])</f>
        <v>CA</v>
      </c>
    </row>
    <row r="41" spans="1:8" x14ac:dyDescent="0.3">
      <c r="A41" s="1">
        <v>45176</v>
      </c>
      <c r="B41">
        <v>2</v>
      </c>
      <c r="C41">
        <v>4</v>
      </c>
      <c r="D41">
        <v>2</v>
      </c>
      <c r="E41" s="11" cm="1">
        <f t="array" ref="E41">_xlfn.XLOOKUP(fsales[[#This Row],[ProductID]],dProduct[[#All],[ProductID]],dProduct[[#All],[Price]])*fsales[[#This Row],[Units]]</f>
        <v>59.9</v>
      </c>
      <c r="F41" s="11" t="str" cm="1">
        <f t="array" ref="F41">_xlfn.XLOOKUP(fsales[[#This Row],[ProductID]],dProduct[[#All],[ProductID]],dProduct[[#All],[Product]])</f>
        <v>Carlota</v>
      </c>
      <c r="G41" s="11" t="str" cm="1">
        <f t="array" ref="G41">_xlfn.XLOOKUP(fsales[[#This Row],[ProductID]],dProduct[[#All],[ProductID]],dProduct[[#All],[Supplier]])</f>
        <v>Gel Booms</v>
      </c>
      <c r="H41" s="11" t="str" cm="1">
        <f t="array" ref="H41">_xlfn.XLOOKUP(fsales[[#This Row],[SalesRepID]],dSalesRep[[#All],[SalesRepID]],dSalesRep[[#All],[Region]])</f>
        <v>WA</v>
      </c>
    </row>
    <row r="42" spans="1:8" x14ac:dyDescent="0.3">
      <c r="A42" s="1">
        <v>44958</v>
      </c>
      <c r="B42">
        <v>2</v>
      </c>
      <c r="C42">
        <v>4</v>
      </c>
      <c r="D42">
        <v>71</v>
      </c>
      <c r="E42" s="11" cm="1">
        <f t="array" ref="E42">_xlfn.XLOOKUP(fsales[[#This Row],[ProductID]],dProduct[[#All],[ProductID]],dProduct[[#All],[Price]])*fsales[[#This Row],[Units]]</f>
        <v>2126.4499999999998</v>
      </c>
      <c r="F42" s="11" t="str" cm="1">
        <f t="array" ref="F42">_xlfn.XLOOKUP(fsales[[#This Row],[ProductID]],dProduct[[#All],[ProductID]],dProduct[[#All],[Product]])</f>
        <v>Carlota</v>
      </c>
      <c r="G42" s="11" t="str" cm="1">
        <f t="array" ref="G42">_xlfn.XLOOKUP(fsales[[#This Row],[ProductID]],dProduct[[#All],[ProductID]],dProduct[[#All],[Supplier]])</f>
        <v>Gel Booms</v>
      </c>
      <c r="H42" s="11" t="str" cm="1">
        <f t="array" ref="H42">_xlfn.XLOOKUP(fsales[[#This Row],[SalesRepID]],dSalesRep[[#All],[SalesRepID]],dSalesRep[[#All],[Region]])</f>
        <v>WA</v>
      </c>
    </row>
    <row r="43" spans="1:8" x14ac:dyDescent="0.3">
      <c r="A43" s="1">
        <v>44326</v>
      </c>
      <c r="B43">
        <v>2</v>
      </c>
      <c r="C43">
        <v>1</v>
      </c>
      <c r="D43">
        <v>251</v>
      </c>
      <c r="E43" s="11" cm="1">
        <f t="array" ref="E43">_xlfn.XLOOKUP(fsales[[#This Row],[ProductID]],dProduct[[#All],[ProductID]],dProduct[[#All],[Price]])*fsales[[#This Row],[Units]]</f>
        <v>7517.45</v>
      </c>
      <c r="F43" s="11" t="str" cm="1">
        <f t="array" ref="F43">_xlfn.XLOOKUP(fsales[[#This Row],[ProductID]],dProduct[[#All],[ProductID]],dProduct[[#All],[Product]])</f>
        <v>Carlota</v>
      </c>
      <c r="G43" s="11" t="str" cm="1">
        <f t="array" ref="G43">_xlfn.XLOOKUP(fsales[[#This Row],[ProductID]],dProduct[[#All],[ProductID]],dProduct[[#All],[Supplier]])</f>
        <v>Gel Booms</v>
      </c>
      <c r="H43" s="11" t="str" cm="1">
        <f t="array" ref="H43">_xlfn.XLOOKUP(fsales[[#This Row],[SalesRepID]],dSalesRep[[#All],[SalesRepID]],dSalesRep[[#All],[Region]])</f>
        <v>CA</v>
      </c>
    </row>
    <row r="44" spans="1:8" x14ac:dyDescent="0.3">
      <c r="A44" s="1">
        <v>44298</v>
      </c>
      <c r="B44">
        <v>2</v>
      </c>
      <c r="C44">
        <v>4</v>
      </c>
      <c r="D44">
        <v>88</v>
      </c>
      <c r="E44" s="11" cm="1">
        <f t="array" ref="E44">_xlfn.XLOOKUP(fsales[[#This Row],[ProductID]],dProduct[[#All],[ProductID]],dProduct[[#All],[Price]])*fsales[[#This Row],[Units]]</f>
        <v>2635.6</v>
      </c>
      <c r="F44" s="11" t="str" cm="1">
        <f t="array" ref="F44">_xlfn.XLOOKUP(fsales[[#This Row],[ProductID]],dProduct[[#All],[ProductID]],dProduct[[#All],[Product]])</f>
        <v>Carlota</v>
      </c>
      <c r="G44" s="11" t="str" cm="1">
        <f t="array" ref="G44">_xlfn.XLOOKUP(fsales[[#This Row],[ProductID]],dProduct[[#All],[ProductID]],dProduct[[#All],[Supplier]])</f>
        <v>Gel Booms</v>
      </c>
      <c r="H44" s="11" t="str" cm="1">
        <f t="array" ref="H44">_xlfn.XLOOKUP(fsales[[#This Row],[SalesRepID]],dSalesRep[[#All],[SalesRepID]],dSalesRep[[#All],[Region]])</f>
        <v>WA</v>
      </c>
    </row>
    <row r="45" spans="1:8" x14ac:dyDescent="0.3">
      <c r="A45" s="1">
        <v>44887</v>
      </c>
      <c r="B45">
        <v>2</v>
      </c>
      <c r="C45">
        <v>2</v>
      </c>
      <c r="D45">
        <v>6</v>
      </c>
      <c r="E45" s="11" cm="1">
        <f t="array" ref="E45">_xlfn.XLOOKUP(fsales[[#This Row],[ProductID]],dProduct[[#All],[ProductID]],dProduct[[#All],[Price]])*fsales[[#This Row],[Units]]</f>
        <v>179.7</v>
      </c>
      <c r="F45" s="11" t="str" cm="1">
        <f t="array" ref="F45">_xlfn.XLOOKUP(fsales[[#This Row],[ProductID]],dProduct[[#All],[ProductID]],dProduct[[#All],[Product]])</f>
        <v>Carlota</v>
      </c>
      <c r="G45" s="11" t="str" cm="1">
        <f t="array" ref="G45">_xlfn.XLOOKUP(fsales[[#This Row],[ProductID]],dProduct[[#All],[ProductID]],dProduct[[#All],[Supplier]])</f>
        <v>Gel Booms</v>
      </c>
      <c r="H45" s="11" t="str" cm="1">
        <f t="array" ref="H45">_xlfn.XLOOKUP(fsales[[#This Row],[SalesRepID]],dSalesRep[[#All],[SalesRepID]],dSalesRep[[#All],[Region]])</f>
        <v>CA</v>
      </c>
    </row>
    <row r="46" spans="1:8" x14ac:dyDescent="0.3">
      <c r="A46" s="1">
        <v>44871</v>
      </c>
      <c r="B46">
        <v>2</v>
      </c>
      <c r="C46">
        <v>4</v>
      </c>
      <c r="D46">
        <v>230</v>
      </c>
      <c r="E46" s="11" cm="1">
        <f t="array" ref="E46">_xlfn.XLOOKUP(fsales[[#This Row],[ProductID]],dProduct[[#All],[ProductID]],dProduct[[#All],[Price]])*fsales[[#This Row],[Units]]</f>
        <v>6888.5</v>
      </c>
      <c r="F46" s="11" t="str" cm="1">
        <f t="array" ref="F46">_xlfn.XLOOKUP(fsales[[#This Row],[ProductID]],dProduct[[#All],[ProductID]],dProduct[[#All],[Product]])</f>
        <v>Carlota</v>
      </c>
      <c r="G46" s="11" t="str" cm="1">
        <f t="array" ref="G46">_xlfn.XLOOKUP(fsales[[#This Row],[ProductID]],dProduct[[#All],[ProductID]],dProduct[[#All],[Supplier]])</f>
        <v>Gel Booms</v>
      </c>
      <c r="H46" s="11" t="str" cm="1">
        <f t="array" ref="H46">_xlfn.XLOOKUP(fsales[[#This Row],[SalesRepID]],dSalesRep[[#All],[SalesRepID]],dSalesRep[[#All],[Region]])</f>
        <v>WA</v>
      </c>
    </row>
    <row r="47" spans="1:8" x14ac:dyDescent="0.3">
      <c r="A47" s="1">
        <v>44559</v>
      </c>
      <c r="B47">
        <v>4</v>
      </c>
      <c r="C47">
        <v>4</v>
      </c>
      <c r="D47">
        <v>185</v>
      </c>
      <c r="E47" s="11" cm="1">
        <f t="array" ref="E47">_xlfn.XLOOKUP(fsales[[#This Row],[ProductID]],dProduct[[#All],[ProductID]],dProduct[[#All],[Price]])*fsales[[#This Row],[Units]]</f>
        <v>4430.75</v>
      </c>
      <c r="F47" s="11" t="str" cm="1">
        <f t="array" ref="F47">_xlfn.XLOOKUP(fsales[[#This Row],[ProductID]],dProduct[[#All],[ProductID]],dProduct[[#All],[Product]])</f>
        <v>Yanaki</v>
      </c>
      <c r="G47" s="11" t="str" cm="1">
        <f t="array" ref="G47">_xlfn.XLOOKUP(fsales[[#This Row],[ProductID]],dProduct[[#All],[ProductID]],dProduct[[#All],[Supplier]])</f>
        <v>Colorado Booms</v>
      </c>
      <c r="H47" s="11" t="str" cm="1">
        <f t="array" ref="H47">_xlfn.XLOOKUP(fsales[[#This Row],[SalesRepID]],dSalesRep[[#All],[SalesRepID]],dSalesRep[[#All],[Region]])</f>
        <v>WA</v>
      </c>
    </row>
    <row r="48" spans="1:8" x14ac:dyDescent="0.3">
      <c r="A48" s="1">
        <v>44926</v>
      </c>
      <c r="B48">
        <v>2</v>
      </c>
      <c r="C48">
        <v>4</v>
      </c>
      <c r="D48">
        <v>75</v>
      </c>
      <c r="E48" s="11" cm="1">
        <f t="array" ref="E48">_xlfn.XLOOKUP(fsales[[#This Row],[ProductID]],dProduct[[#All],[ProductID]],dProduct[[#All],[Price]])*fsales[[#This Row],[Units]]</f>
        <v>2246.25</v>
      </c>
      <c r="F48" s="11" t="str" cm="1">
        <f t="array" ref="F48">_xlfn.XLOOKUP(fsales[[#This Row],[ProductID]],dProduct[[#All],[ProductID]],dProduct[[#All],[Product]])</f>
        <v>Carlota</v>
      </c>
      <c r="G48" s="11" t="str" cm="1">
        <f t="array" ref="G48">_xlfn.XLOOKUP(fsales[[#This Row],[ProductID]],dProduct[[#All],[ProductID]],dProduct[[#All],[Supplier]])</f>
        <v>Gel Booms</v>
      </c>
      <c r="H48" s="11" t="str" cm="1">
        <f t="array" ref="H48">_xlfn.XLOOKUP(fsales[[#This Row],[SalesRepID]],dSalesRep[[#All],[SalesRepID]],dSalesRep[[#All],[Region]])</f>
        <v>WA</v>
      </c>
    </row>
    <row r="49" spans="1:8" x14ac:dyDescent="0.3">
      <c r="A49" s="1">
        <v>45275</v>
      </c>
      <c r="B49">
        <v>2</v>
      </c>
      <c r="C49">
        <v>4</v>
      </c>
      <c r="D49">
        <v>3</v>
      </c>
      <c r="E49" s="11" cm="1">
        <f t="array" ref="E49">_xlfn.XLOOKUP(fsales[[#This Row],[ProductID]],dProduct[[#All],[ProductID]],dProduct[[#All],[Price]])*fsales[[#This Row],[Units]]</f>
        <v>89.85</v>
      </c>
      <c r="F49" s="11" t="str" cm="1">
        <f t="array" ref="F49">_xlfn.XLOOKUP(fsales[[#This Row],[ProductID]],dProduct[[#All],[ProductID]],dProduct[[#All],[Product]])</f>
        <v>Carlota</v>
      </c>
      <c r="G49" s="11" t="str" cm="1">
        <f t="array" ref="G49">_xlfn.XLOOKUP(fsales[[#This Row],[ProductID]],dProduct[[#All],[ProductID]],dProduct[[#All],[Supplier]])</f>
        <v>Gel Booms</v>
      </c>
      <c r="H49" s="11" t="str" cm="1">
        <f t="array" ref="H49">_xlfn.XLOOKUP(fsales[[#This Row],[SalesRepID]],dSalesRep[[#All],[SalesRepID]],dSalesRep[[#All],[Region]])</f>
        <v>WA</v>
      </c>
    </row>
    <row r="50" spans="1:8" x14ac:dyDescent="0.3">
      <c r="A50" s="1">
        <v>44364</v>
      </c>
      <c r="B50">
        <v>2</v>
      </c>
      <c r="C50">
        <v>4</v>
      </c>
      <c r="D50">
        <v>209</v>
      </c>
      <c r="E50" s="11" cm="1">
        <f t="array" ref="E50">_xlfn.XLOOKUP(fsales[[#This Row],[ProductID]],dProduct[[#All],[ProductID]],dProduct[[#All],[Price]])*fsales[[#This Row],[Units]]</f>
        <v>6259.55</v>
      </c>
      <c r="F50" s="11" t="str" cm="1">
        <f t="array" ref="F50">_xlfn.XLOOKUP(fsales[[#This Row],[ProductID]],dProduct[[#All],[ProductID]],dProduct[[#All],[Product]])</f>
        <v>Carlota</v>
      </c>
      <c r="G50" s="11" t="str" cm="1">
        <f t="array" ref="G50">_xlfn.XLOOKUP(fsales[[#This Row],[ProductID]],dProduct[[#All],[ProductID]],dProduct[[#All],[Supplier]])</f>
        <v>Gel Booms</v>
      </c>
      <c r="H50" s="11" t="str" cm="1">
        <f t="array" ref="H50">_xlfn.XLOOKUP(fsales[[#This Row],[SalesRepID]],dSalesRep[[#All],[SalesRepID]],dSalesRep[[#All],[Region]])</f>
        <v>WA</v>
      </c>
    </row>
    <row r="51" spans="1:8" x14ac:dyDescent="0.3">
      <c r="A51" s="1">
        <v>44797</v>
      </c>
      <c r="B51">
        <v>4</v>
      </c>
      <c r="C51">
        <v>4</v>
      </c>
      <c r="D51">
        <v>4</v>
      </c>
      <c r="E51" s="11" cm="1">
        <f t="array" ref="E51">_xlfn.XLOOKUP(fsales[[#This Row],[ProductID]],dProduct[[#All],[ProductID]],dProduct[[#All],[Price]])*fsales[[#This Row],[Units]]</f>
        <v>95.8</v>
      </c>
      <c r="F51" s="11" t="str" cm="1">
        <f t="array" ref="F51">_xlfn.XLOOKUP(fsales[[#This Row],[ProductID]],dProduct[[#All],[ProductID]],dProduct[[#All],[Product]])</f>
        <v>Yanaki</v>
      </c>
      <c r="G51" s="11" t="str" cm="1">
        <f t="array" ref="G51">_xlfn.XLOOKUP(fsales[[#This Row],[ProductID]],dProduct[[#All],[ProductID]],dProduct[[#All],[Supplier]])</f>
        <v>Colorado Booms</v>
      </c>
      <c r="H51" s="11" t="str" cm="1">
        <f t="array" ref="H51">_xlfn.XLOOKUP(fsales[[#This Row],[SalesRepID]],dSalesRep[[#All],[SalesRepID]],dSalesRep[[#All],[Region]])</f>
        <v>WA</v>
      </c>
    </row>
    <row r="52" spans="1:8" x14ac:dyDescent="0.3">
      <c r="A52" s="1">
        <v>44799</v>
      </c>
      <c r="B52">
        <v>4</v>
      </c>
      <c r="C52">
        <v>1</v>
      </c>
      <c r="D52">
        <v>280</v>
      </c>
      <c r="E52" s="11" cm="1">
        <f t="array" ref="E52">_xlfn.XLOOKUP(fsales[[#This Row],[ProductID]],dProduct[[#All],[ProductID]],dProduct[[#All],[Price]])*fsales[[#This Row],[Units]]</f>
        <v>6706</v>
      </c>
      <c r="F52" s="11" t="str" cm="1">
        <f t="array" ref="F52">_xlfn.XLOOKUP(fsales[[#This Row],[ProductID]],dProduct[[#All],[ProductID]],dProduct[[#All],[Product]])</f>
        <v>Yanaki</v>
      </c>
      <c r="G52" s="11" t="str" cm="1">
        <f t="array" ref="G52">_xlfn.XLOOKUP(fsales[[#This Row],[ProductID]],dProduct[[#All],[ProductID]],dProduct[[#All],[Supplier]])</f>
        <v>Colorado Booms</v>
      </c>
      <c r="H52" s="11" t="str" cm="1">
        <f t="array" ref="H52">_xlfn.XLOOKUP(fsales[[#This Row],[SalesRepID]],dSalesRep[[#All],[SalesRepID]],dSalesRep[[#All],[Region]])</f>
        <v>CA</v>
      </c>
    </row>
    <row r="53" spans="1:8" x14ac:dyDescent="0.3">
      <c r="A53" s="1">
        <v>44427</v>
      </c>
      <c r="B53">
        <v>4</v>
      </c>
      <c r="C53">
        <v>2</v>
      </c>
      <c r="D53">
        <v>52</v>
      </c>
      <c r="E53" s="11" cm="1">
        <f t="array" ref="E53">_xlfn.XLOOKUP(fsales[[#This Row],[ProductID]],dProduct[[#All],[ProductID]],dProduct[[#All],[Price]])*fsales[[#This Row],[Units]]</f>
        <v>1245.3999999999999</v>
      </c>
      <c r="F53" s="11" t="str" cm="1">
        <f t="array" ref="F53">_xlfn.XLOOKUP(fsales[[#This Row],[ProductID]],dProduct[[#All],[ProductID]],dProduct[[#All],[Product]])</f>
        <v>Yanaki</v>
      </c>
      <c r="G53" s="11" t="str" cm="1">
        <f t="array" ref="G53">_xlfn.XLOOKUP(fsales[[#This Row],[ProductID]],dProduct[[#All],[ProductID]],dProduct[[#All],[Supplier]])</f>
        <v>Colorado Booms</v>
      </c>
      <c r="H53" s="11" t="str" cm="1">
        <f t="array" ref="H53">_xlfn.XLOOKUP(fsales[[#This Row],[SalesRepID]],dSalesRep[[#All],[SalesRepID]],dSalesRep[[#All],[Region]])</f>
        <v>CA</v>
      </c>
    </row>
    <row r="54" spans="1:8" x14ac:dyDescent="0.3">
      <c r="A54" s="1">
        <v>44426</v>
      </c>
      <c r="B54">
        <v>4</v>
      </c>
      <c r="C54">
        <v>3</v>
      </c>
      <c r="D54">
        <v>101</v>
      </c>
      <c r="E54" s="11" cm="1">
        <f t="array" ref="E54">_xlfn.XLOOKUP(fsales[[#This Row],[ProductID]],dProduct[[#All],[ProductID]],dProduct[[#All],[Price]])*fsales[[#This Row],[Units]]</f>
        <v>2418.9499999999998</v>
      </c>
      <c r="F54" s="11" t="str" cm="1">
        <f t="array" ref="F54">_xlfn.XLOOKUP(fsales[[#This Row],[ProductID]],dProduct[[#All],[ProductID]],dProduct[[#All],[Product]])</f>
        <v>Yanaki</v>
      </c>
      <c r="G54" s="11" t="str" cm="1">
        <f t="array" ref="G54">_xlfn.XLOOKUP(fsales[[#This Row],[ProductID]],dProduct[[#All],[ProductID]],dProduct[[#All],[Supplier]])</f>
        <v>Colorado Booms</v>
      </c>
      <c r="H54" s="11" t="str" cm="1">
        <f t="array" ref="H54">_xlfn.XLOOKUP(fsales[[#This Row],[SalesRepID]],dSalesRep[[#All],[SalesRepID]],dSalesRep[[#All],[Region]])</f>
        <v>WA</v>
      </c>
    </row>
    <row r="55" spans="1:8" x14ac:dyDescent="0.3">
      <c r="A55" s="1">
        <v>44477</v>
      </c>
      <c r="B55">
        <v>4</v>
      </c>
      <c r="C55">
        <v>4</v>
      </c>
      <c r="D55">
        <v>89</v>
      </c>
      <c r="E55" s="11" cm="1">
        <f t="array" ref="E55">_xlfn.XLOOKUP(fsales[[#This Row],[ProductID]],dProduct[[#All],[ProductID]],dProduct[[#All],[Price]])*fsales[[#This Row],[Units]]</f>
        <v>2131.5499999999997</v>
      </c>
      <c r="F55" s="11" t="str" cm="1">
        <f t="array" ref="F55">_xlfn.XLOOKUP(fsales[[#This Row],[ProductID]],dProduct[[#All],[ProductID]],dProduct[[#All],[Product]])</f>
        <v>Yanaki</v>
      </c>
      <c r="G55" s="11" t="str" cm="1">
        <f t="array" ref="G55">_xlfn.XLOOKUP(fsales[[#This Row],[ProductID]],dProduct[[#All],[ProductID]],dProduct[[#All],[Supplier]])</f>
        <v>Colorado Booms</v>
      </c>
      <c r="H55" s="11" t="str" cm="1">
        <f t="array" ref="H55">_xlfn.XLOOKUP(fsales[[#This Row],[SalesRepID]],dSalesRep[[#All],[SalesRepID]],dSalesRep[[#All],[Region]])</f>
        <v>WA</v>
      </c>
    </row>
    <row r="56" spans="1:8" x14ac:dyDescent="0.3">
      <c r="A56" s="1">
        <v>45271</v>
      </c>
      <c r="B56">
        <v>2</v>
      </c>
      <c r="C56">
        <v>1</v>
      </c>
      <c r="D56">
        <v>1</v>
      </c>
      <c r="E56" s="11" cm="1">
        <f t="array" ref="E56">_xlfn.XLOOKUP(fsales[[#This Row],[ProductID]],dProduct[[#All],[ProductID]],dProduct[[#All],[Price]])*fsales[[#This Row],[Units]]</f>
        <v>29.95</v>
      </c>
      <c r="F56" s="11" t="str" cm="1">
        <f t="array" ref="F56">_xlfn.XLOOKUP(fsales[[#This Row],[ProductID]],dProduct[[#All],[ProductID]],dProduct[[#All],[Product]])</f>
        <v>Carlota</v>
      </c>
      <c r="G56" s="11" t="str" cm="1">
        <f t="array" ref="G56">_xlfn.XLOOKUP(fsales[[#This Row],[ProductID]],dProduct[[#All],[ProductID]],dProduct[[#All],[Supplier]])</f>
        <v>Gel Booms</v>
      </c>
      <c r="H56" s="11" t="str" cm="1">
        <f t="array" ref="H56">_xlfn.XLOOKUP(fsales[[#This Row],[SalesRepID]],dSalesRep[[#All],[SalesRepID]],dSalesRep[[#All],[Region]])</f>
        <v>CA</v>
      </c>
    </row>
    <row r="57" spans="1:8" x14ac:dyDescent="0.3">
      <c r="A57" s="1">
        <v>45029</v>
      </c>
      <c r="B57">
        <v>2</v>
      </c>
      <c r="C57">
        <v>4</v>
      </c>
      <c r="D57">
        <v>4</v>
      </c>
      <c r="E57" s="11" cm="1">
        <f t="array" ref="E57">_xlfn.XLOOKUP(fsales[[#This Row],[ProductID]],dProduct[[#All],[ProductID]],dProduct[[#All],[Price]])*fsales[[#This Row],[Units]]</f>
        <v>119.8</v>
      </c>
      <c r="F57" s="11" t="str" cm="1">
        <f t="array" ref="F57">_xlfn.XLOOKUP(fsales[[#This Row],[ProductID]],dProduct[[#All],[ProductID]],dProduct[[#All],[Product]])</f>
        <v>Carlota</v>
      </c>
      <c r="G57" s="11" t="str" cm="1">
        <f t="array" ref="G57">_xlfn.XLOOKUP(fsales[[#This Row],[ProductID]],dProduct[[#All],[ProductID]],dProduct[[#All],[Supplier]])</f>
        <v>Gel Booms</v>
      </c>
      <c r="H57" s="11" t="str" cm="1">
        <f t="array" ref="H57">_xlfn.XLOOKUP(fsales[[#This Row],[SalesRepID]],dSalesRep[[#All],[SalesRepID]],dSalesRep[[#All],[Region]])</f>
        <v>WA</v>
      </c>
    </row>
    <row r="58" spans="1:8" x14ac:dyDescent="0.3">
      <c r="A58" s="1">
        <v>45240</v>
      </c>
      <c r="B58">
        <v>2</v>
      </c>
      <c r="C58">
        <v>4</v>
      </c>
      <c r="D58">
        <v>6</v>
      </c>
      <c r="E58" s="11" cm="1">
        <f t="array" ref="E58">_xlfn.XLOOKUP(fsales[[#This Row],[ProductID]],dProduct[[#All],[ProductID]],dProduct[[#All],[Price]])*fsales[[#This Row],[Units]]</f>
        <v>179.7</v>
      </c>
      <c r="F58" s="11" t="str" cm="1">
        <f t="array" ref="F58">_xlfn.XLOOKUP(fsales[[#This Row],[ProductID]],dProduct[[#All],[ProductID]],dProduct[[#All],[Product]])</f>
        <v>Carlota</v>
      </c>
      <c r="G58" s="11" t="str" cm="1">
        <f t="array" ref="G58">_xlfn.XLOOKUP(fsales[[#This Row],[ProductID]],dProduct[[#All],[ProductID]],dProduct[[#All],[Supplier]])</f>
        <v>Gel Booms</v>
      </c>
      <c r="H58" s="11" t="str" cm="1">
        <f t="array" ref="H58">_xlfn.XLOOKUP(fsales[[#This Row],[SalesRepID]],dSalesRep[[#All],[SalesRepID]],dSalesRep[[#All],[Region]])</f>
        <v>WA</v>
      </c>
    </row>
    <row r="59" spans="1:8" x14ac:dyDescent="0.3">
      <c r="A59" s="1">
        <v>45115</v>
      </c>
      <c r="B59">
        <v>2</v>
      </c>
      <c r="C59">
        <v>2</v>
      </c>
      <c r="D59">
        <v>159</v>
      </c>
      <c r="E59" s="11" cm="1">
        <f t="array" ref="E59">_xlfn.XLOOKUP(fsales[[#This Row],[ProductID]],dProduct[[#All],[ProductID]],dProduct[[#All],[Price]])*fsales[[#This Row],[Units]]</f>
        <v>4762.05</v>
      </c>
      <c r="F59" s="11" t="str" cm="1">
        <f t="array" ref="F59">_xlfn.XLOOKUP(fsales[[#This Row],[ProductID]],dProduct[[#All],[ProductID]],dProduct[[#All],[Product]])</f>
        <v>Carlota</v>
      </c>
      <c r="G59" s="11" t="str" cm="1">
        <f t="array" ref="G59">_xlfn.XLOOKUP(fsales[[#This Row],[ProductID]],dProduct[[#All],[ProductID]],dProduct[[#All],[Supplier]])</f>
        <v>Gel Booms</v>
      </c>
      <c r="H59" s="11" t="str" cm="1">
        <f t="array" ref="H59">_xlfn.XLOOKUP(fsales[[#This Row],[SalesRepID]],dSalesRep[[#All],[SalesRepID]],dSalesRep[[#All],[Region]])</f>
        <v>CA</v>
      </c>
    </row>
    <row r="60" spans="1:8" x14ac:dyDescent="0.3">
      <c r="A60" s="1">
        <v>44535</v>
      </c>
      <c r="B60">
        <v>3</v>
      </c>
      <c r="C60">
        <v>3</v>
      </c>
      <c r="D60">
        <v>6</v>
      </c>
      <c r="E60" s="11" cm="1">
        <f t="array" ref="E60">_xlfn.XLOOKUP(fsales[[#This Row],[ProductID]],dProduct[[#All],[ProductID]],dProduct[[#All],[Price]])*fsales[[#This Row],[Units]]</f>
        <v>155.69999999999999</v>
      </c>
      <c r="F60" s="11" t="str" cm="1">
        <f t="array" ref="F60">_xlfn.XLOOKUP(fsales[[#This Row],[ProductID]],dProduct[[#All],[ProductID]],dProduct[[#All],[Product]])</f>
        <v>Aspen</v>
      </c>
      <c r="G60" s="11" t="str" cm="1">
        <f t="array" ref="G60">_xlfn.XLOOKUP(fsales[[#This Row],[ProductID]],dProduct[[#All],[ProductID]],dProduct[[#All],[Supplier]])</f>
        <v>Colorado Booms</v>
      </c>
      <c r="H60" s="11" t="str" cm="1">
        <f t="array" ref="H60">_xlfn.XLOOKUP(fsales[[#This Row],[SalesRepID]],dSalesRep[[#All],[SalesRepID]],dSalesRep[[#All],[Region]])</f>
        <v>WA</v>
      </c>
    </row>
    <row r="61" spans="1:8" x14ac:dyDescent="0.3">
      <c r="A61" s="1">
        <v>44550</v>
      </c>
      <c r="B61">
        <v>1</v>
      </c>
      <c r="C61">
        <v>2</v>
      </c>
      <c r="D61">
        <v>3</v>
      </c>
      <c r="E61" s="11" cm="1">
        <f t="array" ref="E61">_xlfn.XLOOKUP(fsales[[#This Row],[ProductID]],dProduct[[#All],[ProductID]],dProduct[[#All],[Price]])*fsales[[#This Row],[Units]]</f>
        <v>131.85000000000002</v>
      </c>
      <c r="F61" s="11" t="str" cm="1">
        <f t="array" ref="F61">_xlfn.XLOOKUP(fsales[[#This Row],[ProductID]],dProduct[[#All],[ProductID]],dProduct[[#All],[Product]])</f>
        <v>Quad</v>
      </c>
      <c r="G61" s="11" t="str" cm="1">
        <f t="array" ref="G61">_xlfn.XLOOKUP(fsales[[#This Row],[ProductID]],dProduct[[#All],[ProductID]],dProduct[[#All],[Supplier]])</f>
        <v>Gel Booms</v>
      </c>
      <c r="H61" s="11" t="str" cm="1">
        <f t="array" ref="H61">_xlfn.XLOOKUP(fsales[[#This Row],[SalesRepID]],dSalesRep[[#All],[SalesRepID]],dSalesRep[[#All],[Region]])</f>
        <v>CA</v>
      </c>
    </row>
    <row r="62" spans="1:8" x14ac:dyDescent="0.3">
      <c r="A62" s="1">
        <v>44689</v>
      </c>
      <c r="B62">
        <v>3</v>
      </c>
      <c r="C62">
        <v>1</v>
      </c>
      <c r="D62">
        <v>1</v>
      </c>
      <c r="E62" s="11" cm="1">
        <f t="array" ref="E62">_xlfn.XLOOKUP(fsales[[#This Row],[ProductID]],dProduct[[#All],[ProductID]],dProduct[[#All],[Price]])*fsales[[#This Row],[Units]]</f>
        <v>25.95</v>
      </c>
      <c r="F62" s="11" t="str" cm="1">
        <f t="array" ref="F62">_xlfn.XLOOKUP(fsales[[#This Row],[ProductID]],dProduct[[#All],[ProductID]],dProduct[[#All],[Product]])</f>
        <v>Aspen</v>
      </c>
      <c r="G62" s="11" t="str" cm="1">
        <f t="array" ref="G62">_xlfn.XLOOKUP(fsales[[#This Row],[ProductID]],dProduct[[#All],[ProductID]],dProduct[[#All],[Supplier]])</f>
        <v>Colorado Booms</v>
      </c>
      <c r="H62" s="11" t="str" cm="1">
        <f t="array" ref="H62">_xlfn.XLOOKUP(fsales[[#This Row],[SalesRepID]],dSalesRep[[#All],[SalesRepID]],dSalesRep[[#All],[Region]])</f>
        <v>CA</v>
      </c>
    </row>
    <row r="63" spans="1:8" x14ac:dyDescent="0.3">
      <c r="A63" s="1">
        <v>44501</v>
      </c>
      <c r="B63">
        <v>3</v>
      </c>
      <c r="C63">
        <v>4</v>
      </c>
      <c r="D63">
        <v>6</v>
      </c>
      <c r="E63" s="11" cm="1">
        <f t="array" ref="E63">_xlfn.XLOOKUP(fsales[[#This Row],[ProductID]],dProduct[[#All],[ProductID]],dProduct[[#All],[Price]])*fsales[[#This Row],[Units]]</f>
        <v>155.69999999999999</v>
      </c>
      <c r="F63" s="11" t="str" cm="1">
        <f t="array" ref="F63">_xlfn.XLOOKUP(fsales[[#This Row],[ProductID]],dProduct[[#All],[ProductID]],dProduct[[#All],[Product]])</f>
        <v>Aspen</v>
      </c>
      <c r="G63" s="11" t="str" cm="1">
        <f t="array" ref="G63">_xlfn.XLOOKUP(fsales[[#This Row],[ProductID]],dProduct[[#All],[ProductID]],dProduct[[#All],[Supplier]])</f>
        <v>Colorado Booms</v>
      </c>
      <c r="H63" s="11" t="str" cm="1">
        <f t="array" ref="H63">_xlfn.XLOOKUP(fsales[[#This Row],[SalesRepID]],dSalesRep[[#All],[SalesRepID]],dSalesRep[[#All],[Region]])</f>
        <v>WA</v>
      </c>
    </row>
    <row r="64" spans="1:8" x14ac:dyDescent="0.3">
      <c r="A64" s="1">
        <v>44543</v>
      </c>
      <c r="B64">
        <v>1</v>
      </c>
      <c r="C64">
        <v>2</v>
      </c>
      <c r="D64">
        <v>14</v>
      </c>
      <c r="E64" s="11" cm="1">
        <f t="array" ref="E64">_xlfn.XLOOKUP(fsales[[#This Row],[ProductID]],dProduct[[#All],[ProductID]],dProduct[[#All],[Price]])*fsales[[#This Row],[Units]]</f>
        <v>615.30000000000007</v>
      </c>
      <c r="F64" s="11" t="str" cm="1">
        <f t="array" ref="F64">_xlfn.XLOOKUP(fsales[[#This Row],[ProductID]],dProduct[[#All],[ProductID]],dProduct[[#All],[Product]])</f>
        <v>Quad</v>
      </c>
      <c r="G64" s="11" t="str" cm="1">
        <f t="array" ref="G64">_xlfn.XLOOKUP(fsales[[#This Row],[ProductID]],dProduct[[#All],[ProductID]],dProduct[[#All],[Supplier]])</f>
        <v>Gel Booms</v>
      </c>
      <c r="H64" s="11" t="str" cm="1">
        <f t="array" ref="H64">_xlfn.XLOOKUP(fsales[[#This Row],[SalesRepID]],dSalesRep[[#All],[SalesRepID]],dSalesRep[[#All],[Region]])</f>
        <v>CA</v>
      </c>
    </row>
    <row r="65" spans="1:8" x14ac:dyDescent="0.3">
      <c r="A65" s="1">
        <v>44415</v>
      </c>
      <c r="B65">
        <v>2</v>
      </c>
      <c r="C65">
        <v>3</v>
      </c>
      <c r="D65">
        <v>71</v>
      </c>
      <c r="E65" s="11" cm="1">
        <f t="array" ref="E65">_xlfn.XLOOKUP(fsales[[#This Row],[ProductID]],dProduct[[#All],[ProductID]],dProduct[[#All],[Price]])*fsales[[#This Row],[Units]]</f>
        <v>2126.4499999999998</v>
      </c>
      <c r="F65" s="11" t="str" cm="1">
        <f t="array" ref="F65">_xlfn.XLOOKUP(fsales[[#This Row],[ProductID]],dProduct[[#All],[ProductID]],dProduct[[#All],[Product]])</f>
        <v>Carlota</v>
      </c>
      <c r="G65" s="11" t="str" cm="1">
        <f t="array" ref="G65">_xlfn.XLOOKUP(fsales[[#This Row],[ProductID]],dProduct[[#All],[ProductID]],dProduct[[#All],[Supplier]])</f>
        <v>Gel Booms</v>
      </c>
      <c r="H65" s="11" t="str" cm="1">
        <f t="array" ref="H65">_xlfn.XLOOKUP(fsales[[#This Row],[SalesRepID]],dSalesRep[[#All],[SalesRepID]],dSalesRep[[#All],[Region]])</f>
        <v>WA</v>
      </c>
    </row>
    <row r="66" spans="1:8" x14ac:dyDescent="0.3">
      <c r="A66" s="1">
        <v>45277</v>
      </c>
      <c r="B66">
        <v>3</v>
      </c>
      <c r="C66">
        <v>2</v>
      </c>
      <c r="D66">
        <v>101</v>
      </c>
      <c r="E66" s="11" cm="1">
        <f t="array" ref="E66">_xlfn.XLOOKUP(fsales[[#This Row],[ProductID]],dProduct[[#All],[ProductID]],dProduct[[#All],[Price]])*fsales[[#This Row],[Units]]</f>
        <v>2620.9499999999998</v>
      </c>
      <c r="F66" s="11" t="str" cm="1">
        <f t="array" ref="F66">_xlfn.XLOOKUP(fsales[[#This Row],[ProductID]],dProduct[[#All],[ProductID]],dProduct[[#All],[Product]])</f>
        <v>Aspen</v>
      </c>
      <c r="G66" s="11" t="str" cm="1">
        <f t="array" ref="G66">_xlfn.XLOOKUP(fsales[[#This Row],[ProductID]],dProduct[[#All],[ProductID]],dProduct[[#All],[Supplier]])</f>
        <v>Colorado Booms</v>
      </c>
      <c r="H66" s="11" t="str" cm="1">
        <f t="array" ref="H66">_xlfn.XLOOKUP(fsales[[#This Row],[SalesRepID]],dSalesRep[[#All],[SalesRepID]],dSalesRep[[#All],[Region]])</f>
        <v>CA</v>
      </c>
    </row>
    <row r="67" spans="1:8" x14ac:dyDescent="0.3">
      <c r="A67" s="1">
        <v>44722</v>
      </c>
      <c r="B67">
        <v>2</v>
      </c>
      <c r="C67">
        <v>2</v>
      </c>
      <c r="D67">
        <v>27</v>
      </c>
      <c r="E67" s="11" cm="1">
        <f t="array" ref="E67">_xlfn.XLOOKUP(fsales[[#This Row],[ProductID]],dProduct[[#All],[ProductID]],dProduct[[#All],[Price]])*fsales[[#This Row],[Units]]</f>
        <v>808.65</v>
      </c>
      <c r="F67" s="11" t="str" cm="1">
        <f t="array" ref="F67">_xlfn.XLOOKUP(fsales[[#This Row],[ProductID]],dProduct[[#All],[ProductID]],dProduct[[#All],[Product]])</f>
        <v>Carlota</v>
      </c>
      <c r="G67" s="11" t="str" cm="1">
        <f t="array" ref="G67">_xlfn.XLOOKUP(fsales[[#This Row],[ProductID]],dProduct[[#All],[ProductID]],dProduct[[#All],[Supplier]])</f>
        <v>Gel Booms</v>
      </c>
      <c r="H67" s="11" t="str" cm="1">
        <f t="array" ref="H67">_xlfn.XLOOKUP(fsales[[#This Row],[SalesRepID]],dSalesRep[[#All],[SalesRepID]],dSalesRep[[#All],[Region]])</f>
        <v>CA</v>
      </c>
    </row>
    <row r="68" spans="1:8" x14ac:dyDescent="0.3">
      <c r="A68" s="1">
        <v>44397</v>
      </c>
      <c r="B68">
        <v>2</v>
      </c>
      <c r="C68">
        <v>2</v>
      </c>
      <c r="D68">
        <v>1</v>
      </c>
      <c r="E68" s="11" cm="1">
        <f t="array" ref="E68">_xlfn.XLOOKUP(fsales[[#This Row],[ProductID]],dProduct[[#All],[ProductID]],dProduct[[#All],[Price]])*fsales[[#This Row],[Units]]</f>
        <v>29.95</v>
      </c>
      <c r="F68" s="11" t="str" cm="1">
        <f t="array" ref="F68">_xlfn.XLOOKUP(fsales[[#This Row],[ProductID]],dProduct[[#All],[ProductID]],dProduct[[#All],[Product]])</f>
        <v>Carlota</v>
      </c>
      <c r="G68" s="11" t="str" cm="1">
        <f t="array" ref="G68">_xlfn.XLOOKUP(fsales[[#This Row],[ProductID]],dProduct[[#All],[ProductID]],dProduct[[#All],[Supplier]])</f>
        <v>Gel Booms</v>
      </c>
      <c r="H68" s="11" t="str" cm="1">
        <f t="array" ref="H68">_xlfn.XLOOKUP(fsales[[#This Row],[SalesRepID]],dSalesRep[[#All],[SalesRepID]],dSalesRep[[#All],[Region]])</f>
        <v>CA</v>
      </c>
    </row>
    <row r="69" spans="1:8" x14ac:dyDescent="0.3">
      <c r="A69" s="1">
        <v>44443</v>
      </c>
      <c r="B69">
        <v>2</v>
      </c>
      <c r="C69">
        <v>2</v>
      </c>
      <c r="D69">
        <v>36</v>
      </c>
      <c r="E69" s="11" cm="1">
        <f t="array" ref="E69">_xlfn.XLOOKUP(fsales[[#This Row],[ProductID]],dProduct[[#All],[ProductID]],dProduct[[#All],[Price]])*fsales[[#This Row],[Units]]</f>
        <v>1078.2</v>
      </c>
      <c r="F69" s="11" t="str" cm="1">
        <f t="array" ref="F69">_xlfn.XLOOKUP(fsales[[#This Row],[ProductID]],dProduct[[#All],[ProductID]],dProduct[[#All],[Product]])</f>
        <v>Carlota</v>
      </c>
      <c r="G69" s="11" t="str" cm="1">
        <f t="array" ref="G69">_xlfn.XLOOKUP(fsales[[#This Row],[ProductID]],dProduct[[#All],[ProductID]],dProduct[[#All],[Supplier]])</f>
        <v>Gel Booms</v>
      </c>
      <c r="H69" s="11" t="str" cm="1">
        <f t="array" ref="H69">_xlfn.XLOOKUP(fsales[[#This Row],[SalesRepID]],dSalesRep[[#All],[SalesRepID]],dSalesRep[[#All],[Region]])</f>
        <v>CA</v>
      </c>
    </row>
    <row r="70" spans="1:8" x14ac:dyDescent="0.3">
      <c r="A70" s="1">
        <v>45253</v>
      </c>
      <c r="B70">
        <v>2</v>
      </c>
      <c r="C70">
        <v>4</v>
      </c>
      <c r="D70">
        <v>31</v>
      </c>
      <c r="E70" s="11" cm="1">
        <f t="array" ref="E70">_xlfn.XLOOKUP(fsales[[#This Row],[ProductID]],dProduct[[#All],[ProductID]],dProduct[[#All],[Price]])*fsales[[#This Row],[Units]]</f>
        <v>928.44999999999993</v>
      </c>
      <c r="F70" s="11" t="str" cm="1">
        <f t="array" ref="F70">_xlfn.XLOOKUP(fsales[[#This Row],[ProductID]],dProduct[[#All],[ProductID]],dProduct[[#All],[Product]])</f>
        <v>Carlota</v>
      </c>
      <c r="G70" s="11" t="str" cm="1">
        <f t="array" ref="G70">_xlfn.XLOOKUP(fsales[[#This Row],[ProductID]],dProduct[[#All],[ProductID]],dProduct[[#All],[Supplier]])</f>
        <v>Gel Booms</v>
      </c>
      <c r="H70" s="11" t="str" cm="1">
        <f t="array" ref="H70">_xlfn.XLOOKUP(fsales[[#This Row],[SalesRepID]],dSalesRep[[#All],[SalesRepID]],dSalesRep[[#All],[Region]])</f>
        <v>WA</v>
      </c>
    </row>
    <row r="71" spans="1:8" x14ac:dyDescent="0.3">
      <c r="A71" s="1">
        <v>44952</v>
      </c>
      <c r="B71">
        <v>2</v>
      </c>
      <c r="C71">
        <v>1</v>
      </c>
      <c r="D71">
        <v>196</v>
      </c>
      <c r="E71" s="11" cm="1">
        <f t="array" ref="E71">_xlfn.XLOOKUP(fsales[[#This Row],[ProductID]],dProduct[[#All],[ProductID]],dProduct[[#All],[Price]])*fsales[[#This Row],[Units]]</f>
        <v>5870.2</v>
      </c>
      <c r="F71" s="11" t="str" cm="1">
        <f t="array" ref="F71">_xlfn.XLOOKUP(fsales[[#This Row],[ProductID]],dProduct[[#All],[ProductID]],dProduct[[#All],[Product]])</f>
        <v>Carlota</v>
      </c>
      <c r="G71" s="11" t="str" cm="1">
        <f t="array" ref="G71">_xlfn.XLOOKUP(fsales[[#This Row],[ProductID]],dProduct[[#All],[ProductID]],dProduct[[#All],[Supplier]])</f>
        <v>Gel Booms</v>
      </c>
      <c r="H71" s="11" t="str" cm="1">
        <f t="array" ref="H71">_xlfn.XLOOKUP(fsales[[#This Row],[SalesRepID]],dSalesRep[[#All],[SalesRepID]],dSalesRep[[#All],[Region]])</f>
        <v>CA</v>
      </c>
    </row>
    <row r="72" spans="1:8" x14ac:dyDescent="0.3">
      <c r="A72" s="1">
        <v>44883</v>
      </c>
      <c r="B72">
        <v>2</v>
      </c>
      <c r="C72">
        <v>1</v>
      </c>
      <c r="D72">
        <v>6</v>
      </c>
      <c r="E72" s="11" cm="1">
        <f t="array" ref="E72">_xlfn.XLOOKUP(fsales[[#This Row],[ProductID]],dProduct[[#All],[ProductID]],dProduct[[#All],[Price]])*fsales[[#This Row],[Units]]</f>
        <v>179.7</v>
      </c>
      <c r="F72" s="11" t="str" cm="1">
        <f t="array" ref="F72">_xlfn.XLOOKUP(fsales[[#This Row],[ProductID]],dProduct[[#All],[ProductID]],dProduct[[#All],[Product]])</f>
        <v>Carlota</v>
      </c>
      <c r="G72" s="11" t="str" cm="1">
        <f t="array" ref="G72">_xlfn.XLOOKUP(fsales[[#This Row],[ProductID]],dProduct[[#All],[ProductID]],dProduct[[#All],[Supplier]])</f>
        <v>Gel Booms</v>
      </c>
      <c r="H72" s="11" t="str" cm="1">
        <f t="array" ref="H72">_xlfn.XLOOKUP(fsales[[#This Row],[SalesRepID]],dSalesRep[[#All],[SalesRepID]],dSalesRep[[#All],[Region]])</f>
        <v>CA</v>
      </c>
    </row>
    <row r="73" spans="1:8" x14ac:dyDescent="0.3">
      <c r="A73" s="1">
        <v>45273</v>
      </c>
      <c r="B73">
        <v>2</v>
      </c>
      <c r="C73">
        <v>3</v>
      </c>
      <c r="D73">
        <v>110</v>
      </c>
      <c r="E73" s="11" cm="1">
        <f t="array" ref="E73">_xlfn.XLOOKUP(fsales[[#This Row],[ProductID]],dProduct[[#All],[ProductID]],dProduct[[#All],[Price]])*fsales[[#This Row],[Units]]</f>
        <v>3294.5</v>
      </c>
      <c r="F73" s="11" t="str" cm="1">
        <f t="array" ref="F73">_xlfn.XLOOKUP(fsales[[#This Row],[ProductID]],dProduct[[#All],[ProductID]],dProduct[[#All],[Product]])</f>
        <v>Carlota</v>
      </c>
      <c r="G73" s="11" t="str" cm="1">
        <f t="array" ref="G73">_xlfn.XLOOKUP(fsales[[#This Row],[ProductID]],dProduct[[#All],[ProductID]],dProduct[[#All],[Supplier]])</f>
        <v>Gel Booms</v>
      </c>
      <c r="H73" s="11" t="str" cm="1">
        <f t="array" ref="H73">_xlfn.XLOOKUP(fsales[[#This Row],[SalesRepID]],dSalesRep[[#All],[SalesRepID]],dSalesRep[[#All],[Region]])</f>
        <v>WA</v>
      </c>
    </row>
    <row r="74" spans="1:8" x14ac:dyDescent="0.3">
      <c r="A74" s="1">
        <v>44903</v>
      </c>
      <c r="B74">
        <v>1</v>
      </c>
      <c r="C74">
        <v>1</v>
      </c>
      <c r="D74">
        <v>26</v>
      </c>
      <c r="E74" s="11" cm="1">
        <f t="array" ref="E74">_xlfn.XLOOKUP(fsales[[#This Row],[ProductID]],dProduct[[#All],[ProductID]],dProduct[[#All],[Price]])*fsales[[#This Row],[Units]]</f>
        <v>1142.7</v>
      </c>
      <c r="F74" s="11" t="str" cm="1">
        <f t="array" ref="F74">_xlfn.XLOOKUP(fsales[[#This Row],[ProductID]],dProduct[[#All],[ProductID]],dProduct[[#All],[Product]])</f>
        <v>Quad</v>
      </c>
      <c r="G74" s="11" t="str" cm="1">
        <f t="array" ref="G74">_xlfn.XLOOKUP(fsales[[#This Row],[ProductID]],dProduct[[#All],[ProductID]],dProduct[[#All],[Supplier]])</f>
        <v>Gel Booms</v>
      </c>
      <c r="H74" s="11" t="str" cm="1">
        <f t="array" ref="H74">_xlfn.XLOOKUP(fsales[[#This Row],[SalesRepID]],dSalesRep[[#All],[SalesRepID]],dSalesRep[[#All],[Region]])</f>
        <v>CA</v>
      </c>
    </row>
    <row r="75" spans="1:8" x14ac:dyDescent="0.3">
      <c r="A75" s="1">
        <v>44533</v>
      </c>
      <c r="B75">
        <v>2</v>
      </c>
      <c r="C75">
        <v>4</v>
      </c>
      <c r="D75">
        <v>80</v>
      </c>
      <c r="E75" s="11" cm="1">
        <f t="array" ref="E75">_xlfn.XLOOKUP(fsales[[#This Row],[ProductID]],dProduct[[#All],[ProductID]],dProduct[[#All],[Price]])*fsales[[#This Row],[Units]]</f>
        <v>2396</v>
      </c>
      <c r="F75" s="11" t="str" cm="1">
        <f t="array" ref="F75">_xlfn.XLOOKUP(fsales[[#This Row],[ProductID]],dProduct[[#All],[ProductID]],dProduct[[#All],[Product]])</f>
        <v>Carlota</v>
      </c>
      <c r="G75" s="11" t="str" cm="1">
        <f t="array" ref="G75">_xlfn.XLOOKUP(fsales[[#This Row],[ProductID]],dProduct[[#All],[ProductID]],dProduct[[#All],[Supplier]])</f>
        <v>Gel Booms</v>
      </c>
      <c r="H75" s="11" t="str" cm="1">
        <f t="array" ref="H75">_xlfn.XLOOKUP(fsales[[#This Row],[SalesRepID]],dSalesRep[[#All],[SalesRepID]],dSalesRep[[#All],[Region]])</f>
        <v>WA</v>
      </c>
    </row>
    <row r="76" spans="1:8" x14ac:dyDescent="0.3">
      <c r="A76" s="1">
        <v>45208</v>
      </c>
      <c r="B76">
        <v>2</v>
      </c>
      <c r="C76">
        <v>2</v>
      </c>
      <c r="D76">
        <v>70</v>
      </c>
      <c r="E76" s="11" cm="1">
        <f t="array" ref="E76">_xlfn.XLOOKUP(fsales[[#This Row],[ProductID]],dProduct[[#All],[ProductID]],dProduct[[#All],[Price]])*fsales[[#This Row],[Units]]</f>
        <v>2096.5</v>
      </c>
      <c r="F76" s="11" t="str" cm="1">
        <f t="array" ref="F76">_xlfn.XLOOKUP(fsales[[#This Row],[ProductID]],dProduct[[#All],[ProductID]],dProduct[[#All],[Product]])</f>
        <v>Carlota</v>
      </c>
      <c r="G76" s="11" t="str" cm="1">
        <f t="array" ref="G76">_xlfn.XLOOKUP(fsales[[#This Row],[ProductID]],dProduct[[#All],[ProductID]],dProduct[[#All],[Supplier]])</f>
        <v>Gel Booms</v>
      </c>
      <c r="H76" s="11" t="str" cm="1">
        <f t="array" ref="H76">_xlfn.XLOOKUP(fsales[[#This Row],[SalesRepID]],dSalesRep[[#All],[SalesRepID]],dSalesRep[[#All],[Region]])</f>
        <v>CA</v>
      </c>
    </row>
    <row r="77" spans="1:8" x14ac:dyDescent="0.3">
      <c r="A77" s="1">
        <v>45192</v>
      </c>
      <c r="B77">
        <v>2</v>
      </c>
      <c r="C77">
        <v>4</v>
      </c>
      <c r="D77">
        <v>28</v>
      </c>
      <c r="E77" s="11" cm="1">
        <f t="array" ref="E77">_xlfn.XLOOKUP(fsales[[#This Row],[ProductID]],dProduct[[#All],[ProductID]],dProduct[[#All],[Price]])*fsales[[#This Row],[Units]]</f>
        <v>838.6</v>
      </c>
      <c r="F77" s="11" t="str" cm="1">
        <f t="array" ref="F77">_xlfn.XLOOKUP(fsales[[#This Row],[ProductID]],dProduct[[#All],[ProductID]],dProduct[[#All],[Product]])</f>
        <v>Carlota</v>
      </c>
      <c r="G77" s="11" t="str" cm="1">
        <f t="array" ref="G77">_xlfn.XLOOKUP(fsales[[#This Row],[ProductID]],dProduct[[#All],[ProductID]],dProduct[[#All],[Supplier]])</f>
        <v>Gel Booms</v>
      </c>
      <c r="H77" s="11" t="str" cm="1">
        <f t="array" ref="H77">_xlfn.XLOOKUP(fsales[[#This Row],[SalesRepID]],dSalesRep[[#All],[SalesRepID]],dSalesRep[[#All],[Region]])</f>
        <v>WA</v>
      </c>
    </row>
    <row r="78" spans="1:8" x14ac:dyDescent="0.3">
      <c r="A78" s="1">
        <v>45279</v>
      </c>
      <c r="B78">
        <v>2</v>
      </c>
      <c r="C78">
        <v>2</v>
      </c>
      <c r="D78">
        <v>80</v>
      </c>
      <c r="E78" s="11" cm="1">
        <f t="array" ref="E78">_xlfn.XLOOKUP(fsales[[#This Row],[ProductID]],dProduct[[#All],[ProductID]],dProduct[[#All],[Price]])*fsales[[#This Row],[Units]]</f>
        <v>2396</v>
      </c>
      <c r="F78" s="11" t="str" cm="1">
        <f t="array" ref="F78">_xlfn.XLOOKUP(fsales[[#This Row],[ProductID]],dProduct[[#All],[ProductID]],dProduct[[#All],[Product]])</f>
        <v>Carlota</v>
      </c>
      <c r="G78" s="11" t="str" cm="1">
        <f t="array" ref="G78">_xlfn.XLOOKUP(fsales[[#This Row],[ProductID]],dProduct[[#All],[ProductID]],dProduct[[#All],[Supplier]])</f>
        <v>Gel Booms</v>
      </c>
      <c r="H78" s="11" t="str" cm="1">
        <f t="array" ref="H78">_xlfn.XLOOKUP(fsales[[#This Row],[SalesRepID]],dSalesRep[[#All],[SalesRepID]],dSalesRep[[#All],[Region]])</f>
        <v>CA</v>
      </c>
    </row>
    <row r="79" spans="1:8" x14ac:dyDescent="0.3">
      <c r="A79" s="1">
        <v>45103</v>
      </c>
      <c r="B79">
        <v>1</v>
      </c>
      <c r="C79">
        <v>4</v>
      </c>
      <c r="D79">
        <v>6</v>
      </c>
      <c r="E79" s="11" cm="1">
        <f t="array" ref="E79">_xlfn.XLOOKUP(fsales[[#This Row],[ProductID]],dProduct[[#All],[ProductID]],dProduct[[#All],[Price]])*fsales[[#This Row],[Units]]</f>
        <v>263.70000000000005</v>
      </c>
      <c r="F79" s="11" t="str" cm="1">
        <f t="array" ref="F79">_xlfn.XLOOKUP(fsales[[#This Row],[ProductID]],dProduct[[#All],[ProductID]],dProduct[[#All],[Product]])</f>
        <v>Quad</v>
      </c>
      <c r="G79" s="11" t="str" cm="1">
        <f t="array" ref="G79">_xlfn.XLOOKUP(fsales[[#This Row],[ProductID]],dProduct[[#All],[ProductID]],dProduct[[#All],[Supplier]])</f>
        <v>Gel Booms</v>
      </c>
      <c r="H79" s="11" t="str" cm="1">
        <f t="array" ref="H79">_xlfn.XLOOKUP(fsales[[#This Row],[SalesRepID]],dSalesRep[[#All],[SalesRepID]],dSalesRep[[#All],[Region]])</f>
        <v>WA</v>
      </c>
    </row>
    <row r="80" spans="1:8" x14ac:dyDescent="0.3">
      <c r="A80" s="1">
        <v>45224</v>
      </c>
      <c r="B80">
        <v>3</v>
      </c>
      <c r="C80">
        <v>4</v>
      </c>
      <c r="D80">
        <v>201</v>
      </c>
      <c r="E80" s="11" cm="1">
        <f t="array" ref="E80">_xlfn.XLOOKUP(fsales[[#This Row],[ProductID]],dProduct[[#All],[ProductID]],dProduct[[#All],[Price]])*fsales[[#This Row],[Units]]</f>
        <v>5215.95</v>
      </c>
      <c r="F80" s="11" t="str" cm="1">
        <f t="array" ref="F80">_xlfn.XLOOKUP(fsales[[#This Row],[ProductID]],dProduct[[#All],[ProductID]],dProduct[[#All],[Product]])</f>
        <v>Aspen</v>
      </c>
      <c r="G80" s="11" t="str" cm="1">
        <f t="array" ref="G80">_xlfn.XLOOKUP(fsales[[#This Row],[ProductID]],dProduct[[#All],[ProductID]],dProduct[[#All],[Supplier]])</f>
        <v>Colorado Booms</v>
      </c>
      <c r="H80" s="11" t="str" cm="1">
        <f t="array" ref="H80">_xlfn.XLOOKUP(fsales[[#This Row],[SalesRepID]],dSalesRep[[#All],[SalesRepID]],dSalesRep[[#All],[Region]])</f>
        <v>WA</v>
      </c>
    </row>
    <row r="81" spans="1:8" x14ac:dyDescent="0.3">
      <c r="A81" s="1">
        <v>44445</v>
      </c>
      <c r="B81">
        <v>2</v>
      </c>
      <c r="C81">
        <v>2</v>
      </c>
      <c r="D81">
        <v>77</v>
      </c>
      <c r="E81" s="11" cm="1">
        <f t="array" ref="E81">_xlfn.XLOOKUP(fsales[[#This Row],[ProductID]],dProduct[[#All],[ProductID]],dProduct[[#All],[Price]])*fsales[[#This Row],[Units]]</f>
        <v>2306.15</v>
      </c>
      <c r="F81" s="11" t="str" cm="1">
        <f t="array" ref="F81">_xlfn.XLOOKUP(fsales[[#This Row],[ProductID]],dProduct[[#All],[ProductID]],dProduct[[#All],[Product]])</f>
        <v>Carlota</v>
      </c>
      <c r="G81" s="11" t="str" cm="1">
        <f t="array" ref="G81">_xlfn.XLOOKUP(fsales[[#This Row],[ProductID]],dProduct[[#All],[ProductID]],dProduct[[#All],[Supplier]])</f>
        <v>Gel Booms</v>
      </c>
      <c r="H81" s="11" t="str" cm="1">
        <f t="array" ref="H81">_xlfn.XLOOKUP(fsales[[#This Row],[SalesRepID]],dSalesRep[[#All],[SalesRepID]],dSalesRep[[#All],[Region]])</f>
        <v>CA</v>
      </c>
    </row>
    <row r="82" spans="1:8" x14ac:dyDescent="0.3">
      <c r="A82" s="1">
        <v>45223</v>
      </c>
      <c r="B82">
        <v>4</v>
      </c>
      <c r="C82">
        <v>2</v>
      </c>
      <c r="D82">
        <v>62</v>
      </c>
      <c r="E82" s="11" cm="1">
        <f t="array" ref="E82">_xlfn.XLOOKUP(fsales[[#This Row],[ProductID]],dProduct[[#All],[ProductID]],dProduct[[#All],[Price]])*fsales[[#This Row],[Units]]</f>
        <v>1484.8999999999999</v>
      </c>
      <c r="F82" s="11" t="str" cm="1">
        <f t="array" ref="F82">_xlfn.XLOOKUP(fsales[[#This Row],[ProductID]],dProduct[[#All],[ProductID]],dProduct[[#All],[Product]])</f>
        <v>Yanaki</v>
      </c>
      <c r="G82" s="11" t="str" cm="1">
        <f t="array" ref="G82">_xlfn.XLOOKUP(fsales[[#This Row],[ProductID]],dProduct[[#All],[ProductID]],dProduct[[#All],[Supplier]])</f>
        <v>Colorado Booms</v>
      </c>
      <c r="H82" s="11" t="str" cm="1">
        <f t="array" ref="H82">_xlfn.XLOOKUP(fsales[[#This Row],[SalesRepID]],dSalesRep[[#All],[SalesRepID]],dSalesRep[[#All],[Region]])</f>
        <v>CA</v>
      </c>
    </row>
    <row r="83" spans="1:8" x14ac:dyDescent="0.3">
      <c r="A83" s="1">
        <v>45228</v>
      </c>
      <c r="B83">
        <v>2</v>
      </c>
      <c r="C83">
        <v>2</v>
      </c>
      <c r="D83">
        <v>103</v>
      </c>
      <c r="E83" s="11" cm="1">
        <f t="array" ref="E83">_xlfn.XLOOKUP(fsales[[#This Row],[ProductID]],dProduct[[#All],[ProductID]],dProduct[[#All],[Price]])*fsales[[#This Row],[Units]]</f>
        <v>3084.85</v>
      </c>
      <c r="F83" s="11" t="str" cm="1">
        <f t="array" ref="F83">_xlfn.XLOOKUP(fsales[[#This Row],[ProductID]],dProduct[[#All],[ProductID]],dProduct[[#All],[Product]])</f>
        <v>Carlota</v>
      </c>
      <c r="G83" s="11" t="str" cm="1">
        <f t="array" ref="G83">_xlfn.XLOOKUP(fsales[[#This Row],[ProductID]],dProduct[[#All],[ProductID]],dProduct[[#All],[Supplier]])</f>
        <v>Gel Booms</v>
      </c>
      <c r="H83" s="11" t="str" cm="1">
        <f t="array" ref="H83">_xlfn.XLOOKUP(fsales[[#This Row],[SalesRepID]],dSalesRep[[#All],[SalesRepID]],dSalesRep[[#All],[Region]])</f>
        <v>CA</v>
      </c>
    </row>
    <row r="84" spans="1:8" x14ac:dyDescent="0.3">
      <c r="A84" s="1">
        <v>45238</v>
      </c>
      <c r="B84">
        <v>2</v>
      </c>
      <c r="C84">
        <v>1</v>
      </c>
      <c r="D84">
        <v>6</v>
      </c>
      <c r="E84" s="11" cm="1">
        <f t="array" ref="E84">_xlfn.XLOOKUP(fsales[[#This Row],[ProductID]],dProduct[[#All],[ProductID]],dProduct[[#All],[Price]])*fsales[[#This Row],[Units]]</f>
        <v>179.7</v>
      </c>
      <c r="F84" s="11" t="str" cm="1">
        <f t="array" ref="F84">_xlfn.XLOOKUP(fsales[[#This Row],[ProductID]],dProduct[[#All],[ProductID]],dProduct[[#All],[Product]])</f>
        <v>Carlota</v>
      </c>
      <c r="G84" s="11" t="str" cm="1">
        <f t="array" ref="G84">_xlfn.XLOOKUP(fsales[[#This Row],[ProductID]],dProduct[[#All],[ProductID]],dProduct[[#All],[Supplier]])</f>
        <v>Gel Booms</v>
      </c>
      <c r="H84" s="11" t="str" cm="1">
        <f t="array" ref="H84">_xlfn.XLOOKUP(fsales[[#This Row],[SalesRepID]],dSalesRep[[#All],[SalesRepID]],dSalesRep[[#All],[Region]])</f>
        <v>CA</v>
      </c>
    </row>
    <row r="85" spans="1:8" x14ac:dyDescent="0.3">
      <c r="A85" s="1">
        <v>44914</v>
      </c>
      <c r="B85">
        <v>2</v>
      </c>
      <c r="C85">
        <v>2</v>
      </c>
      <c r="D85">
        <v>237</v>
      </c>
      <c r="E85" s="11" cm="1">
        <f t="array" ref="E85">_xlfn.XLOOKUP(fsales[[#This Row],[ProductID]],dProduct[[#All],[ProductID]],dProduct[[#All],[Price]])*fsales[[#This Row],[Units]]</f>
        <v>7098.15</v>
      </c>
      <c r="F85" s="11" t="str" cm="1">
        <f t="array" ref="F85">_xlfn.XLOOKUP(fsales[[#This Row],[ProductID]],dProduct[[#All],[ProductID]],dProduct[[#All],[Product]])</f>
        <v>Carlota</v>
      </c>
      <c r="G85" s="11" t="str" cm="1">
        <f t="array" ref="G85">_xlfn.XLOOKUP(fsales[[#This Row],[ProductID]],dProduct[[#All],[ProductID]],dProduct[[#All],[Supplier]])</f>
        <v>Gel Booms</v>
      </c>
      <c r="H85" s="11" t="str" cm="1">
        <f t="array" ref="H85">_xlfn.XLOOKUP(fsales[[#This Row],[SalesRepID]],dSalesRep[[#All],[SalesRepID]],dSalesRep[[#All],[Region]])</f>
        <v>CA</v>
      </c>
    </row>
    <row r="86" spans="1:8" x14ac:dyDescent="0.3">
      <c r="A86" s="1">
        <v>44476</v>
      </c>
      <c r="B86">
        <v>3</v>
      </c>
      <c r="C86">
        <v>3</v>
      </c>
      <c r="D86">
        <v>90</v>
      </c>
      <c r="E86" s="11" cm="1">
        <f t="array" ref="E86">_xlfn.XLOOKUP(fsales[[#This Row],[ProductID]],dProduct[[#All],[ProductID]],dProduct[[#All],[Price]])*fsales[[#This Row],[Units]]</f>
        <v>2335.5</v>
      </c>
      <c r="F86" s="11" t="str" cm="1">
        <f t="array" ref="F86">_xlfn.XLOOKUP(fsales[[#This Row],[ProductID]],dProduct[[#All],[ProductID]],dProduct[[#All],[Product]])</f>
        <v>Aspen</v>
      </c>
      <c r="G86" s="11" t="str" cm="1">
        <f t="array" ref="G86">_xlfn.XLOOKUP(fsales[[#This Row],[ProductID]],dProduct[[#All],[ProductID]],dProduct[[#All],[Supplier]])</f>
        <v>Colorado Booms</v>
      </c>
      <c r="H86" s="11" t="str" cm="1">
        <f t="array" ref="H86">_xlfn.XLOOKUP(fsales[[#This Row],[SalesRepID]],dSalesRep[[#All],[SalesRepID]],dSalesRep[[#All],[Region]])</f>
        <v>WA</v>
      </c>
    </row>
    <row r="87" spans="1:8" x14ac:dyDescent="0.3">
      <c r="A87" s="1">
        <v>44431</v>
      </c>
      <c r="B87">
        <v>3</v>
      </c>
      <c r="C87">
        <v>2</v>
      </c>
      <c r="D87">
        <v>2</v>
      </c>
      <c r="E87" s="11" cm="1">
        <f t="array" ref="E87">_xlfn.XLOOKUP(fsales[[#This Row],[ProductID]],dProduct[[#All],[ProductID]],dProduct[[#All],[Price]])*fsales[[#This Row],[Units]]</f>
        <v>51.9</v>
      </c>
      <c r="F87" s="11" t="str" cm="1">
        <f t="array" ref="F87">_xlfn.XLOOKUP(fsales[[#This Row],[ProductID]],dProduct[[#All],[ProductID]],dProduct[[#All],[Product]])</f>
        <v>Aspen</v>
      </c>
      <c r="G87" s="11" t="str" cm="1">
        <f t="array" ref="G87">_xlfn.XLOOKUP(fsales[[#This Row],[ProductID]],dProduct[[#All],[ProductID]],dProduct[[#All],[Supplier]])</f>
        <v>Colorado Booms</v>
      </c>
      <c r="H87" s="11" t="str" cm="1">
        <f t="array" ref="H87">_xlfn.XLOOKUP(fsales[[#This Row],[SalesRepID]],dSalesRep[[#All],[SalesRepID]],dSalesRep[[#All],[Region]])</f>
        <v>CA</v>
      </c>
    </row>
    <row r="88" spans="1:8" x14ac:dyDescent="0.3">
      <c r="A88" s="1">
        <v>45277</v>
      </c>
      <c r="B88">
        <v>4</v>
      </c>
      <c r="C88">
        <v>4</v>
      </c>
      <c r="D88">
        <v>6</v>
      </c>
      <c r="E88" s="11" cm="1">
        <f t="array" ref="E88">_xlfn.XLOOKUP(fsales[[#This Row],[ProductID]],dProduct[[#All],[ProductID]],dProduct[[#All],[Price]])*fsales[[#This Row],[Units]]</f>
        <v>143.69999999999999</v>
      </c>
      <c r="F88" s="11" t="str" cm="1">
        <f t="array" ref="F88">_xlfn.XLOOKUP(fsales[[#This Row],[ProductID]],dProduct[[#All],[ProductID]],dProduct[[#All],[Product]])</f>
        <v>Yanaki</v>
      </c>
      <c r="G88" s="11" t="str" cm="1">
        <f t="array" ref="G88">_xlfn.XLOOKUP(fsales[[#This Row],[ProductID]],dProduct[[#All],[ProductID]],dProduct[[#All],[Supplier]])</f>
        <v>Colorado Booms</v>
      </c>
      <c r="H88" s="11" t="str" cm="1">
        <f t="array" ref="H88">_xlfn.XLOOKUP(fsales[[#This Row],[SalesRepID]],dSalesRep[[#All],[SalesRepID]],dSalesRep[[#All],[Region]])</f>
        <v>WA</v>
      </c>
    </row>
    <row r="89" spans="1:8" x14ac:dyDescent="0.3">
      <c r="A89" s="1">
        <v>44922</v>
      </c>
      <c r="B89">
        <v>4</v>
      </c>
      <c r="C89">
        <v>2</v>
      </c>
      <c r="D89">
        <v>61</v>
      </c>
      <c r="E89" s="11" cm="1">
        <f t="array" ref="E89">_xlfn.XLOOKUP(fsales[[#This Row],[ProductID]],dProduct[[#All],[ProductID]],dProduct[[#All],[Price]])*fsales[[#This Row],[Units]]</f>
        <v>1460.95</v>
      </c>
      <c r="F89" s="11" t="str" cm="1">
        <f t="array" ref="F89">_xlfn.XLOOKUP(fsales[[#This Row],[ProductID]],dProduct[[#All],[ProductID]],dProduct[[#All],[Product]])</f>
        <v>Yanaki</v>
      </c>
      <c r="G89" s="11" t="str" cm="1">
        <f t="array" ref="G89">_xlfn.XLOOKUP(fsales[[#This Row],[ProductID]],dProduct[[#All],[ProductID]],dProduct[[#All],[Supplier]])</f>
        <v>Colorado Booms</v>
      </c>
      <c r="H89" s="11" t="str" cm="1">
        <f t="array" ref="H89">_xlfn.XLOOKUP(fsales[[#This Row],[SalesRepID]],dSalesRep[[#All],[SalesRepID]],dSalesRep[[#All],[Region]])</f>
        <v>CA</v>
      </c>
    </row>
    <row r="90" spans="1:8" x14ac:dyDescent="0.3">
      <c r="A90" s="1">
        <v>45109</v>
      </c>
      <c r="B90">
        <v>4</v>
      </c>
      <c r="C90">
        <v>4</v>
      </c>
      <c r="D90">
        <v>74</v>
      </c>
      <c r="E90" s="11" cm="1">
        <f t="array" ref="E90">_xlfn.XLOOKUP(fsales[[#This Row],[ProductID]],dProduct[[#All],[ProductID]],dProduct[[#All],[Price]])*fsales[[#This Row],[Units]]</f>
        <v>1772.3</v>
      </c>
      <c r="F90" s="11" t="str" cm="1">
        <f t="array" ref="F90">_xlfn.XLOOKUP(fsales[[#This Row],[ProductID]],dProduct[[#All],[ProductID]],dProduct[[#All],[Product]])</f>
        <v>Yanaki</v>
      </c>
      <c r="G90" s="11" t="str" cm="1">
        <f t="array" ref="G90">_xlfn.XLOOKUP(fsales[[#This Row],[ProductID]],dProduct[[#All],[ProductID]],dProduct[[#All],[Supplier]])</f>
        <v>Colorado Booms</v>
      </c>
      <c r="H90" s="11" t="str" cm="1">
        <f t="array" ref="H90">_xlfn.XLOOKUP(fsales[[#This Row],[SalesRepID]],dSalesRep[[#All],[SalesRepID]],dSalesRep[[#All],[Region]])</f>
        <v>WA</v>
      </c>
    </row>
    <row r="91" spans="1:8" x14ac:dyDescent="0.3">
      <c r="A91" s="1">
        <v>44446</v>
      </c>
      <c r="B91">
        <v>1</v>
      </c>
      <c r="C91">
        <v>4</v>
      </c>
      <c r="D91">
        <v>116</v>
      </c>
      <c r="E91" s="11" cm="1">
        <f t="array" ref="E91">_xlfn.XLOOKUP(fsales[[#This Row],[ProductID]],dProduct[[#All],[ProductID]],dProduct[[#All],[Price]])*fsales[[#This Row],[Units]]</f>
        <v>5098.2000000000007</v>
      </c>
      <c r="F91" s="11" t="str" cm="1">
        <f t="array" ref="F91">_xlfn.XLOOKUP(fsales[[#This Row],[ProductID]],dProduct[[#All],[ProductID]],dProduct[[#All],[Product]])</f>
        <v>Quad</v>
      </c>
      <c r="G91" s="11" t="str" cm="1">
        <f t="array" ref="G91">_xlfn.XLOOKUP(fsales[[#This Row],[ProductID]],dProduct[[#All],[ProductID]],dProduct[[#All],[Supplier]])</f>
        <v>Gel Booms</v>
      </c>
      <c r="H91" s="11" t="str" cm="1">
        <f t="array" ref="H91">_xlfn.XLOOKUP(fsales[[#This Row],[SalesRepID]],dSalesRep[[#All],[SalesRepID]],dSalesRep[[#All],[Region]])</f>
        <v>WA</v>
      </c>
    </row>
    <row r="92" spans="1:8" x14ac:dyDescent="0.3">
      <c r="A92" s="1">
        <v>44548</v>
      </c>
      <c r="B92">
        <v>4</v>
      </c>
      <c r="C92">
        <v>3</v>
      </c>
      <c r="D92">
        <v>1</v>
      </c>
      <c r="E92" s="11" cm="1">
        <f t="array" ref="E92">_xlfn.XLOOKUP(fsales[[#This Row],[ProductID]],dProduct[[#All],[ProductID]],dProduct[[#All],[Price]])*fsales[[#This Row],[Units]]</f>
        <v>23.95</v>
      </c>
      <c r="F92" s="11" t="str" cm="1">
        <f t="array" ref="F92">_xlfn.XLOOKUP(fsales[[#This Row],[ProductID]],dProduct[[#All],[ProductID]],dProduct[[#All],[Product]])</f>
        <v>Yanaki</v>
      </c>
      <c r="G92" s="11" t="str" cm="1">
        <f t="array" ref="G92">_xlfn.XLOOKUP(fsales[[#This Row],[ProductID]],dProduct[[#All],[ProductID]],dProduct[[#All],[Supplier]])</f>
        <v>Colorado Booms</v>
      </c>
      <c r="H92" s="11" t="str" cm="1">
        <f t="array" ref="H92">_xlfn.XLOOKUP(fsales[[#This Row],[SalesRepID]],dSalesRep[[#All],[SalesRepID]],dSalesRep[[#All],[Region]])</f>
        <v>WA</v>
      </c>
    </row>
    <row r="93" spans="1:8" x14ac:dyDescent="0.3">
      <c r="A93" s="1">
        <v>45174</v>
      </c>
      <c r="B93">
        <v>2</v>
      </c>
      <c r="C93">
        <v>4</v>
      </c>
      <c r="D93">
        <v>119</v>
      </c>
      <c r="E93" s="11" cm="1">
        <f t="array" ref="E93">_xlfn.XLOOKUP(fsales[[#This Row],[ProductID]],dProduct[[#All],[ProductID]],dProduct[[#All],[Price]])*fsales[[#This Row],[Units]]</f>
        <v>3564.0499999999997</v>
      </c>
      <c r="F93" s="11" t="str" cm="1">
        <f t="array" ref="F93">_xlfn.XLOOKUP(fsales[[#This Row],[ProductID]],dProduct[[#All],[ProductID]],dProduct[[#All],[Product]])</f>
        <v>Carlota</v>
      </c>
      <c r="G93" s="11" t="str" cm="1">
        <f t="array" ref="G93">_xlfn.XLOOKUP(fsales[[#This Row],[ProductID]],dProduct[[#All],[ProductID]],dProduct[[#All],[Supplier]])</f>
        <v>Gel Booms</v>
      </c>
      <c r="H93" s="11" t="str" cm="1">
        <f t="array" ref="H93">_xlfn.XLOOKUP(fsales[[#This Row],[SalesRepID]],dSalesRep[[#All],[SalesRepID]],dSalesRep[[#All],[Region]])</f>
        <v>WA</v>
      </c>
    </row>
    <row r="94" spans="1:8" x14ac:dyDescent="0.3">
      <c r="A94" s="1">
        <v>44521</v>
      </c>
      <c r="B94">
        <v>2</v>
      </c>
      <c r="C94">
        <v>2</v>
      </c>
      <c r="D94">
        <v>279</v>
      </c>
      <c r="E94" s="11" cm="1">
        <f t="array" ref="E94">_xlfn.XLOOKUP(fsales[[#This Row],[ProductID]],dProduct[[#All],[ProductID]],dProduct[[#All],[Price]])*fsales[[#This Row],[Units]]</f>
        <v>8356.0499999999993</v>
      </c>
      <c r="F94" s="11" t="str" cm="1">
        <f t="array" ref="F94">_xlfn.XLOOKUP(fsales[[#This Row],[ProductID]],dProduct[[#All],[ProductID]],dProduct[[#All],[Product]])</f>
        <v>Carlota</v>
      </c>
      <c r="G94" s="11" t="str" cm="1">
        <f t="array" ref="G94">_xlfn.XLOOKUP(fsales[[#This Row],[ProductID]],dProduct[[#All],[ProductID]],dProduct[[#All],[Supplier]])</f>
        <v>Gel Booms</v>
      </c>
      <c r="H94" s="11" t="str" cm="1">
        <f t="array" ref="H94">_xlfn.XLOOKUP(fsales[[#This Row],[SalesRepID]],dSalesRep[[#All],[SalesRepID]],dSalesRep[[#All],[Region]])</f>
        <v>CA</v>
      </c>
    </row>
    <row r="95" spans="1:8" x14ac:dyDescent="0.3">
      <c r="A95" s="1">
        <v>44530</v>
      </c>
      <c r="B95">
        <v>2</v>
      </c>
      <c r="C95">
        <v>4</v>
      </c>
      <c r="D95">
        <v>1</v>
      </c>
      <c r="E95" s="11" cm="1">
        <f t="array" ref="E95">_xlfn.XLOOKUP(fsales[[#This Row],[ProductID]],dProduct[[#All],[ProductID]],dProduct[[#All],[Price]])*fsales[[#This Row],[Units]]</f>
        <v>29.95</v>
      </c>
      <c r="F95" s="11" t="str" cm="1">
        <f t="array" ref="F95">_xlfn.XLOOKUP(fsales[[#This Row],[ProductID]],dProduct[[#All],[ProductID]],dProduct[[#All],[Product]])</f>
        <v>Carlota</v>
      </c>
      <c r="G95" s="11" t="str" cm="1">
        <f t="array" ref="G95">_xlfn.XLOOKUP(fsales[[#This Row],[ProductID]],dProduct[[#All],[ProductID]],dProduct[[#All],[Supplier]])</f>
        <v>Gel Booms</v>
      </c>
      <c r="H95" s="11" t="str" cm="1">
        <f t="array" ref="H95">_xlfn.XLOOKUP(fsales[[#This Row],[SalesRepID]],dSalesRep[[#All],[SalesRepID]],dSalesRep[[#All],[Region]])</f>
        <v>WA</v>
      </c>
    </row>
    <row r="96" spans="1:8" x14ac:dyDescent="0.3">
      <c r="A96" s="1">
        <v>45190</v>
      </c>
      <c r="B96">
        <v>2</v>
      </c>
      <c r="C96">
        <v>4</v>
      </c>
      <c r="D96">
        <v>242</v>
      </c>
      <c r="E96" s="11" cm="1">
        <f t="array" ref="E96">_xlfn.XLOOKUP(fsales[[#This Row],[ProductID]],dProduct[[#All],[ProductID]],dProduct[[#All],[Price]])*fsales[[#This Row],[Units]]</f>
        <v>7247.9</v>
      </c>
      <c r="F96" s="11" t="str" cm="1">
        <f t="array" ref="F96">_xlfn.XLOOKUP(fsales[[#This Row],[ProductID]],dProduct[[#All],[ProductID]],dProduct[[#All],[Product]])</f>
        <v>Carlota</v>
      </c>
      <c r="G96" s="11" t="str" cm="1">
        <f t="array" ref="G96">_xlfn.XLOOKUP(fsales[[#This Row],[ProductID]],dProduct[[#All],[ProductID]],dProduct[[#All],[Supplier]])</f>
        <v>Gel Booms</v>
      </c>
      <c r="H96" s="11" t="str" cm="1">
        <f t="array" ref="H96">_xlfn.XLOOKUP(fsales[[#This Row],[SalesRepID]],dSalesRep[[#All],[SalesRepID]],dSalesRep[[#All],[Region]])</f>
        <v>WA</v>
      </c>
    </row>
    <row r="97" spans="1:8" x14ac:dyDescent="0.3">
      <c r="A97" s="1">
        <v>44564</v>
      </c>
      <c r="B97">
        <v>3</v>
      </c>
      <c r="C97">
        <v>1</v>
      </c>
      <c r="D97">
        <v>3</v>
      </c>
      <c r="E97" s="11" cm="1">
        <f t="array" ref="E97">_xlfn.XLOOKUP(fsales[[#This Row],[ProductID]],dProduct[[#All],[ProductID]],dProduct[[#All],[Price]])*fsales[[#This Row],[Units]]</f>
        <v>77.849999999999994</v>
      </c>
      <c r="F97" s="11" t="str" cm="1">
        <f t="array" ref="F97">_xlfn.XLOOKUP(fsales[[#This Row],[ProductID]],dProduct[[#All],[ProductID]],dProduct[[#All],[Product]])</f>
        <v>Aspen</v>
      </c>
      <c r="G97" s="11" t="str" cm="1">
        <f t="array" ref="G97">_xlfn.XLOOKUP(fsales[[#This Row],[ProductID]],dProduct[[#All],[ProductID]],dProduct[[#All],[Supplier]])</f>
        <v>Colorado Booms</v>
      </c>
      <c r="H97" s="11" t="str" cm="1">
        <f t="array" ref="H97">_xlfn.XLOOKUP(fsales[[#This Row],[SalesRepID]],dSalesRep[[#All],[SalesRepID]],dSalesRep[[#All],[Region]])</f>
        <v>CA</v>
      </c>
    </row>
    <row r="98" spans="1:8" x14ac:dyDescent="0.3">
      <c r="A98" s="1">
        <v>44771</v>
      </c>
      <c r="B98">
        <v>1</v>
      </c>
      <c r="C98">
        <v>4</v>
      </c>
      <c r="D98">
        <v>3</v>
      </c>
      <c r="E98" s="11" cm="1">
        <f t="array" ref="E98">_xlfn.XLOOKUP(fsales[[#This Row],[ProductID]],dProduct[[#All],[ProductID]],dProduct[[#All],[Price]])*fsales[[#This Row],[Units]]</f>
        <v>131.85000000000002</v>
      </c>
      <c r="F98" s="11" t="str" cm="1">
        <f t="array" ref="F98">_xlfn.XLOOKUP(fsales[[#This Row],[ProductID]],dProduct[[#All],[ProductID]],dProduct[[#All],[Product]])</f>
        <v>Quad</v>
      </c>
      <c r="G98" s="11" t="str" cm="1">
        <f t="array" ref="G98">_xlfn.XLOOKUP(fsales[[#This Row],[ProductID]],dProduct[[#All],[ProductID]],dProduct[[#All],[Supplier]])</f>
        <v>Gel Booms</v>
      </c>
      <c r="H98" s="11" t="str" cm="1">
        <f t="array" ref="H98">_xlfn.XLOOKUP(fsales[[#This Row],[SalesRepID]],dSalesRep[[#All],[SalesRepID]],dSalesRep[[#All],[Region]])</f>
        <v>WA</v>
      </c>
    </row>
    <row r="99" spans="1:8" x14ac:dyDescent="0.3">
      <c r="A99" s="1">
        <v>44521</v>
      </c>
      <c r="B99">
        <v>2</v>
      </c>
      <c r="C99">
        <v>1</v>
      </c>
      <c r="D99">
        <v>5</v>
      </c>
      <c r="E99" s="11" cm="1">
        <f t="array" ref="E99">_xlfn.XLOOKUP(fsales[[#This Row],[ProductID]],dProduct[[#All],[ProductID]],dProduct[[#All],[Price]])*fsales[[#This Row],[Units]]</f>
        <v>149.75</v>
      </c>
      <c r="F99" s="11" t="str" cm="1">
        <f t="array" ref="F99">_xlfn.XLOOKUP(fsales[[#This Row],[ProductID]],dProduct[[#All],[ProductID]],dProduct[[#All],[Product]])</f>
        <v>Carlota</v>
      </c>
      <c r="G99" s="11" t="str" cm="1">
        <f t="array" ref="G99">_xlfn.XLOOKUP(fsales[[#This Row],[ProductID]],dProduct[[#All],[ProductID]],dProduct[[#All],[Supplier]])</f>
        <v>Gel Booms</v>
      </c>
      <c r="H99" s="11" t="str" cm="1">
        <f t="array" ref="H99">_xlfn.XLOOKUP(fsales[[#This Row],[SalesRepID]],dSalesRep[[#All],[SalesRepID]],dSalesRep[[#All],[Region]])</f>
        <v>CA</v>
      </c>
    </row>
    <row r="100" spans="1:8" x14ac:dyDescent="0.3">
      <c r="A100" s="1">
        <v>44919</v>
      </c>
      <c r="B100">
        <v>1</v>
      </c>
      <c r="C100">
        <v>2</v>
      </c>
      <c r="D100">
        <v>3</v>
      </c>
      <c r="E100" s="11" cm="1">
        <f t="array" ref="E100">_xlfn.XLOOKUP(fsales[[#This Row],[ProductID]],dProduct[[#All],[ProductID]],dProduct[[#All],[Price]])*fsales[[#This Row],[Units]]</f>
        <v>131.85000000000002</v>
      </c>
      <c r="F100" s="11" t="str" cm="1">
        <f t="array" ref="F100">_xlfn.XLOOKUP(fsales[[#This Row],[ProductID]],dProduct[[#All],[ProductID]],dProduct[[#All],[Product]])</f>
        <v>Quad</v>
      </c>
      <c r="G100" s="11" t="str" cm="1">
        <f t="array" ref="G100">_xlfn.XLOOKUP(fsales[[#This Row],[ProductID]],dProduct[[#All],[ProductID]],dProduct[[#All],[Supplier]])</f>
        <v>Gel Booms</v>
      </c>
      <c r="H100" s="11" t="str" cm="1">
        <f t="array" ref="H100">_xlfn.XLOOKUP(fsales[[#This Row],[SalesRepID]],dSalesRep[[#All],[SalesRepID]],dSalesRep[[#All],[Region]])</f>
        <v>CA</v>
      </c>
    </row>
    <row r="101" spans="1:8" x14ac:dyDescent="0.3">
      <c r="A101" s="1">
        <v>45229</v>
      </c>
      <c r="B101">
        <v>3</v>
      </c>
      <c r="C101">
        <v>2</v>
      </c>
      <c r="D101">
        <v>54</v>
      </c>
      <c r="E101" s="11" cm="1">
        <f t="array" ref="E101">_xlfn.XLOOKUP(fsales[[#This Row],[ProductID]],dProduct[[#All],[ProductID]],dProduct[[#All],[Price]])*fsales[[#This Row],[Units]]</f>
        <v>1401.3</v>
      </c>
      <c r="F101" s="11" t="str" cm="1">
        <f t="array" ref="F101">_xlfn.XLOOKUP(fsales[[#This Row],[ProductID]],dProduct[[#All],[ProductID]],dProduct[[#All],[Product]])</f>
        <v>Aspen</v>
      </c>
      <c r="G101" s="11" t="str" cm="1">
        <f t="array" ref="G101">_xlfn.XLOOKUP(fsales[[#This Row],[ProductID]],dProduct[[#All],[ProductID]],dProduct[[#All],[Supplier]])</f>
        <v>Colorado Booms</v>
      </c>
      <c r="H101" s="11" t="str" cm="1">
        <f t="array" ref="H101">_xlfn.XLOOKUP(fsales[[#This Row],[SalesRepID]],dSalesRep[[#All],[SalesRepID]],dSalesRep[[#All],[Region]])</f>
        <v>CA</v>
      </c>
    </row>
    <row r="102" spans="1:8" x14ac:dyDescent="0.3">
      <c r="A102" s="1">
        <v>44806</v>
      </c>
      <c r="B102">
        <v>2</v>
      </c>
      <c r="C102">
        <v>4</v>
      </c>
      <c r="D102">
        <v>5</v>
      </c>
      <c r="E102" s="11" cm="1">
        <f t="array" ref="E102">_xlfn.XLOOKUP(fsales[[#This Row],[ProductID]],dProduct[[#All],[ProductID]],dProduct[[#All],[Price]])*fsales[[#This Row],[Units]]</f>
        <v>149.75</v>
      </c>
      <c r="F102" s="11" t="str" cm="1">
        <f t="array" ref="F102">_xlfn.XLOOKUP(fsales[[#This Row],[ProductID]],dProduct[[#All],[ProductID]],dProduct[[#All],[Product]])</f>
        <v>Carlota</v>
      </c>
      <c r="G102" s="11" t="str" cm="1">
        <f t="array" ref="G102">_xlfn.XLOOKUP(fsales[[#This Row],[ProductID]],dProduct[[#All],[ProductID]],dProduct[[#All],[Supplier]])</f>
        <v>Gel Booms</v>
      </c>
      <c r="H102" s="11" t="str" cm="1">
        <f t="array" ref="H102">_xlfn.XLOOKUP(fsales[[#This Row],[SalesRepID]],dSalesRep[[#All],[SalesRepID]],dSalesRep[[#All],[Region]])</f>
        <v>WA</v>
      </c>
    </row>
    <row r="103" spans="1:8" x14ac:dyDescent="0.3">
      <c r="A103" s="1">
        <v>44750</v>
      </c>
      <c r="B103">
        <v>2</v>
      </c>
      <c r="C103">
        <v>4</v>
      </c>
      <c r="D103">
        <v>4</v>
      </c>
      <c r="E103" s="11" cm="1">
        <f t="array" ref="E103">_xlfn.XLOOKUP(fsales[[#This Row],[ProductID]],dProduct[[#All],[ProductID]],dProduct[[#All],[Price]])*fsales[[#This Row],[Units]]</f>
        <v>119.8</v>
      </c>
      <c r="F103" s="11" t="str" cm="1">
        <f t="array" ref="F103">_xlfn.XLOOKUP(fsales[[#This Row],[ProductID]],dProduct[[#All],[ProductID]],dProduct[[#All],[Product]])</f>
        <v>Carlota</v>
      </c>
      <c r="G103" s="11" t="str" cm="1">
        <f t="array" ref="G103">_xlfn.XLOOKUP(fsales[[#This Row],[ProductID]],dProduct[[#All],[ProductID]],dProduct[[#All],[Supplier]])</f>
        <v>Gel Booms</v>
      </c>
      <c r="H103" s="11" t="str" cm="1">
        <f t="array" ref="H103">_xlfn.XLOOKUP(fsales[[#This Row],[SalesRepID]],dSalesRep[[#All],[SalesRepID]],dSalesRep[[#All],[Region]])</f>
        <v>WA</v>
      </c>
    </row>
    <row r="104" spans="1:8" x14ac:dyDescent="0.3">
      <c r="A104" s="1">
        <v>45063</v>
      </c>
      <c r="B104">
        <v>2</v>
      </c>
      <c r="C104">
        <v>4</v>
      </c>
      <c r="D104">
        <v>75</v>
      </c>
      <c r="E104" s="11" cm="1">
        <f t="array" ref="E104">_xlfn.XLOOKUP(fsales[[#This Row],[ProductID]],dProduct[[#All],[ProductID]],dProduct[[#All],[Price]])*fsales[[#This Row],[Units]]</f>
        <v>2246.25</v>
      </c>
      <c r="F104" s="11" t="str" cm="1">
        <f t="array" ref="F104">_xlfn.XLOOKUP(fsales[[#This Row],[ProductID]],dProduct[[#All],[ProductID]],dProduct[[#All],[Product]])</f>
        <v>Carlota</v>
      </c>
      <c r="G104" s="11" t="str" cm="1">
        <f t="array" ref="G104">_xlfn.XLOOKUP(fsales[[#This Row],[ProductID]],dProduct[[#All],[ProductID]],dProduct[[#All],[Supplier]])</f>
        <v>Gel Booms</v>
      </c>
      <c r="H104" s="11" t="str" cm="1">
        <f t="array" ref="H104">_xlfn.XLOOKUP(fsales[[#This Row],[SalesRepID]],dSalesRep[[#All],[SalesRepID]],dSalesRep[[#All],[Region]])</f>
        <v>WA</v>
      </c>
    </row>
    <row r="105" spans="1:8" x14ac:dyDescent="0.3">
      <c r="A105" s="1">
        <v>44897</v>
      </c>
      <c r="B105">
        <v>1</v>
      </c>
      <c r="C105">
        <v>2</v>
      </c>
      <c r="D105">
        <v>134</v>
      </c>
      <c r="E105" s="11" cm="1">
        <f t="array" ref="E105">_xlfn.XLOOKUP(fsales[[#This Row],[ProductID]],dProduct[[#All],[ProductID]],dProduct[[#All],[Price]])*fsales[[#This Row],[Units]]</f>
        <v>5889.3</v>
      </c>
      <c r="F105" s="11" t="str" cm="1">
        <f t="array" ref="F105">_xlfn.XLOOKUP(fsales[[#This Row],[ProductID]],dProduct[[#All],[ProductID]],dProduct[[#All],[Product]])</f>
        <v>Quad</v>
      </c>
      <c r="G105" s="11" t="str" cm="1">
        <f t="array" ref="G105">_xlfn.XLOOKUP(fsales[[#This Row],[ProductID]],dProduct[[#All],[ProductID]],dProduct[[#All],[Supplier]])</f>
        <v>Gel Booms</v>
      </c>
      <c r="H105" s="11" t="str" cm="1">
        <f t="array" ref="H105">_xlfn.XLOOKUP(fsales[[#This Row],[SalesRepID]],dSalesRep[[#All],[SalesRepID]],dSalesRep[[#All],[Region]])</f>
        <v>CA</v>
      </c>
    </row>
    <row r="106" spans="1:8" x14ac:dyDescent="0.3">
      <c r="A106" s="1">
        <v>45144</v>
      </c>
      <c r="B106">
        <v>2</v>
      </c>
      <c r="C106">
        <v>2</v>
      </c>
      <c r="D106">
        <v>78</v>
      </c>
      <c r="E106" s="11" cm="1">
        <f t="array" ref="E106">_xlfn.XLOOKUP(fsales[[#This Row],[ProductID]],dProduct[[#All],[ProductID]],dProduct[[#All],[Price]])*fsales[[#This Row],[Units]]</f>
        <v>2336.1</v>
      </c>
      <c r="F106" s="11" t="str" cm="1">
        <f t="array" ref="F106">_xlfn.XLOOKUP(fsales[[#This Row],[ProductID]],dProduct[[#All],[ProductID]],dProduct[[#All],[Product]])</f>
        <v>Carlota</v>
      </c>
      <c r="G106" s="11" t="str" cm="1">
        <f t="array" ref="G106">_xlfn.XLOOKUP(fsales[[#This Row],[ProductID]],dProduct[[#All],[ProductID]],dProduct[[#All],[Supplier]])</f>
        <v>Gel Booms</v>
      </c>
      <c r="H106" s="11" t="str" cm="1">
        <f t="array" ref="H106">_xlfn.XLOOKUP(fsales[[#This Row],[SalesRepID]],dSalesRep[[#All],[SalesRepID]],dSalesRep[[#All],[Region]])</f>
        <v>CA</v>
      </c>
    </row>
    <row r="107" spans="1:8" x14ac:dyDescent="0.3">
      <c r="A107" s="1">
        <v>44636</v>
      </c>
      <c r="B107">
        <v>2</v>
      </c>
      <c r="C107">
        <v>4</v>
      </c>
      <c r="D107">
        <v>1</v>
      </c>
      <c r="E107" s="11" cm="1">
        <f t="array" ref="E107">_xlfn.XLOOKUP(fsales[[#This Row],[ProductID]],dProduct[[#All],[ProductID]],dProduct[[#All],[Price]])*fsales[[#This Row],[Units]]</f>
        <v>29.95</v>
      </c>
      <c r="F107" s="11" t="str" cm="1">
        <f t="array" ref="F107">_xlfn.XLOOKUP(fsales[[#This Row],[ProductID]],dProduct[[#All],[ProductID]],dProduct[[#All],[Product]])</f>
        <v>Carlota</v>
      </c>
      <c r="G107" s="11" t="str" cm="1">
        <f t="array" ref="G107">_xlfn.XLOOKUP(fsales[[#This Row],[ProductID]],dProduct[[#All],[ProductID]],dProduct[[#All],[Supplier]])</f>
        <v>Gel Booms</v>
      </c>
      <c r="H107" s="11" t="str" cm="1">
        <f t="array" ref="H107">_xlfn.XLOOKUP(fsales[[#This Row],[SalesRepID]],dSalesRep[[#All],[SalesRepID]],dSalesRep[[#All],[Region]])</f>
        <v>WA</v>
      </c>
    </row>
    <row r="108" spans="1:8" x14ac:dyDescent="0.3">
      <c r="A108" s="1">
        <v>44676</v>
      </c>
      <c r="B108">
        <v>4</v>
      </c>
      <c r="C108">
        <v>2</v>
      </c>
      <c r="D108">
        <v>146</v>
      </c>
      <c r="E108" s="11" cm="1">
        <f t="array" ref="E108">_xlfn.XLOOKUP(fsales[[#This Row],[ProductID]],dProduct[[#All],[ProductID]],dProduct[[#All],[Price]])*fsales[[#This Row],[Units]]</f>
        <v>3496.7</v>
      </c>
      <c r="F108" s="11" t="str" cm="1">
        <f t="array" ref="F108">_xlfn.XLOOKUP(fsales[[#This Row],[ProductID]],dProduct[[#All],[ProductID]],dProduct[[#All],[Product]])</f>
        <v>Yanaki</v>
      </c>
      <c r="G108" s="11" t="str" cm="1">
        <f t="array" ref="G108">_xlfn.XLOOKUP(fsales[[#This Row],[ProductID]],dProduct[[#All],[ProductID]],dProduct[[#All],[Supplier]])</f>
        <v>Colorado Booms</v>
      </c>
      <c r="H108" s="11" t="str" cm="1">
        <f t="array" ref="H108">_xlfn.XLOOKUP(fsales[[#This Row],[SalesRepID]],dSalesRep[[#All],[SalesRepID]],dSalesRep[[#All],[Region]])</f>
        <v>CA</v>
      </c>
    </row>
    <row r="109" spans="1:8" x14ac:dyDescent="0.3">
      <c r="A109" s="1">
        <v>44951</v>
      </c>
      <c r="B109">
        <v>2</v>
      </c>
      <c r="C109">
        <v>2</v>
      </c>
      <c r="D109">
        <v>3</v>
      </c>
      <c r="E109" s="11" cm="1">
        <f t="array" ref="E109">_xlfn.XLOOKUP(fsales[[#This Row],[ProductID]],dProduct[[#All],[ProductID]],dProduct[[#All],[Price]])*fsales[[#This Row],[Units]]</f>
        <v>89.85</v>
      </c>
      <c r="F109" s="11" t="str" cm="1">
        <f t="array" ref="F109">_xlfn.XLOOKUP(fsales[[#This Row],[ProductID]],dProduct[[#All],[ProductID]],dProduct[[#All],[Product]])</f>
        <v>Carlota</v>
      </c>
      <c r="G109" s="11" t="str" cm="1">
        <f t="array" ref="G109">_xlfn.XLOOKUP(fsales[[#This Row],[ProductID]],dProduct[[#All],[ProductID]],dProduct[[#All],[Supplier]])</f>
        <v>Gel Booms</v>
      </c>
      <c r="H109" s="11" t="str" cm="1">
        <f t="array" ref="H109">_xlfn.XLOOKUP(fsales[[#This Row],[SalesRepID]],dSalesRep[[#All],[SalesRepID]],dSalesRep[[#All],[Region]])</f>
        <v>CA</v>
      </c>
    </row>
    <row r="110" spans="1:8" x14ac:dyDescent="0.3">
      <c r="A110" s="1">
        <v>44494</v>
      </c>
      <c r="B110">
        <v>2</v>
      </c>
      <c r="C110">
        <v>4</v>
      </c>
      <c r="D110">
        <v>69</v>
      </c>
      <c r="E110" s="11" cm="1">
        <f t="array" ref="E110">_xlfn.XLOOKUP(fsales[[#This Row],[ProductID]],dProduct[[#All],[ProductID]],dProduct[[#All],[Price]])*fsales[[#This Row],[Units]]</f>
        <v>2066.5499999999997</v>
      </c>
      <c r="F110" s="11" t="str" cm="1">
        <f t="array" ref="F110">_xlfn.XLOOKUP(fsales[[#This Row],[ProductID]],dProduct[[#All],[ProductID]],dProduct[[#All],[Product]])</f>
        <v>Carlota</v>
      </c>
      <c r="G110" s="11" t="str" cm="1">
        <f t="array" ref="G110">_xlfn.XLOOKUP(fsales[[#This Row],[ProductID]],dProduct[[#All],[ProductID]],dProduct[[#All],[Supplier]])</f>
        <v>Gel Booms</v>
      </c>
      <c r="H110" s="11" t="str" cm="1">
        <f t="array" ref="H110">_xlfn.XLOOKUP(fsales[[#This Row],[SalesRepID]],dSalesRep[[#All],[SalesRepID]],dSalesRep[[#All],[Region]])</f>
        <v>WA</v>
      </c>
    </row>
    <row r="111" spans="1:8" x14ac:dyDescent="0.3">
      <c r="A111" s="1">
        <v>45221</v>
      </c>
      <c r="B111">
        <v>1</v>
      </c>
      <c r="C111">
        <v>2</v>
      </c>
      <c r="D111">
        <v>4</v>
      </c>
      <c r="E111" s="11" cm="1">
        <f t="array" ref="E111">_xlfn.XLOOKUP(fsales[[#This Row],[ProductID]],dProduct[[#All],[ProductID]],dProduct[[#All],[Price]])*fsales[[#This Row],[Units]]</f>
        <v>175.8</v>
      </c>
      <c r="F111" s="11" t="str" cm="1">
        <f t="array" ref="F111">_xlfn.XLOOKUP(fsales[[#This Row],[ProductID]],dProduct[[#All],[ProductID]],dProduct[[#All],[Product]])</f>
        <v>Quad</v>
      </c>
      <c r="G111" s="11" t="str" cm="1">
        <f t="array" ref="G111">_xlfn.XLOOKUP(fsales[[#This Row],[ProductID]],dProduct[[#All],[ProductID]],dProduct[[#All],[Supplier]])</f>
        <v>Gel Booms</v>
      </c>
      <c r="H111" s="11" t="str" cm="1">
        <f t="array" ref="H111">_xlfn.XLOOKUP(fsales[[#This Row],[SalesRepID]],dSalesRep[[#All],[SalesRepID]],dSalesRep[[#All],[Region]])</f>
        <v>CA</v>
      </c>
    </row>
    <row r="112" spans="1:8" x14ac:dyDescent="0.3">
      <c r="A112" s="1">
        <v>44487</v>
      </c>
      <c r="B112">
        <v>2</v>
      </c>
      <c r="C112">
        <v>4</v>
      </c>
      <c r="D112">
        <v>72</v>
      </c>
      <c r="E112" s="11" cm="1">
        <f t="array" ref="E112">_xlfn.XLOOKUP(fsales[[#This Row],[ProductID]],dProduct[[#All],[ProductID]],dProduct[[#All],[Price]])*fsales[[#This Row],[Units]]</f>
        <v>2156.4</v>
      </c>
      <c r="F112" s="11" t="str" cm="1">
        <f t="array" ref="F112">_xlfn.XLOOKUP(fsales[[#This Row],[ProductID]],dProduct[[#All],[ProductID]],dProduct[[#All],[Product]])</f>
        <v>Carlota</v>
      </c>
      <c r="G112" s="11" t="str" cm="1">
        <f t="array" ref="G112">_xlfn.XLOOKUP(fsales[[#This Row],[ProductID]],dProduct[[#All],[ProductID]],dProduct[[#All],[Supplier]])</f>
        <v>Gel Booms</v>
      </c>
      <c r="H112" s="11" t="str" cm="1">
        <f t="array" ref="H112">_xlfn.XLOOKUP(fsales[[#This Row],[SalesRepID]],dSalesRep[[#All],[SalesRepID]],dSalesRep[[#All],[Region]])</f>
        <v>WA</v>
      </c>
    </row>
    <row r="113" spans="1:8" x14ac:dyDescent="0.3">
      <c r="A113" s="1">
        <v>44687</v>
      </c>
      <c r="B113">
        <v>2</v>
      </c>
      <c r="C113">
        <v>2</v>
      </c>
      <c r="D113">
        <v>6</v>
      </c>
      <c r="E113" s="11" cm="1">
        <f t="array" ref="E113">_xlfn.XLOOKUP(fsales[[#This Row],[ProductID]],dProduct[[#All],[ProductID]],dProduct[[#All],[Price]])*fsales[[#This Row],[Units]]</f>
        <v>179.7</v>
      </c>
      <c r="F113" s="11" t="str" cm="1">
        <f t="array" ref="F113">_xlfn.XLOOKUP(fsales[[#This Row],[ProductID]],dProduct[[#All],[ProductID]],dProduct[[#All],[Product]])</f>
        <v>Carlota</v>
      </c>
      <c r="G113" s="11" t="str" cm="1">
        <f t="array" ref="G113">_xlfn.XLOOKUP(fsales[[#This Row],[ProductID]],dProduct[[#All],[ProductID]],dProduct[[#All],[Supplier]])</f>
        <v>Gel Booms</v>
      </c>
      <c r="H113" s="11" t="str" cm="1">
        <f t="array" ref="H113">_xlfn.XLOOKUP(fsales[[#This Row],[SalesRepID]],dSalesRep[[#All],[SalesRepID]],dSalesRep[[#All],[Region]])</f>
        <v>CA</v>
      </c>
    </row>
    <row r="114" spans="1:8" x14ac:dyDescent="0.3">
      <c r="A114" s="1">
        <v>45287</v>
      </c>
      <c r="B114">
        <v>2</v>
      </c>
      <c r="C114">
        <v>2</v>
      </c>
      <c r="D114">
        <v>4</v>
      </c>
      <c r="E114" s="11" cm="1">
        <f t="array" ref="E114">_xlfn.XLOOKUP(fsales[[#This Row],[ProductID]],dProduct[[#All],[ProductID]],dProduct[[#All],[Price]])*fsales[[#This Row],[Units]]</f>
        <v>119.8</v>
      </c>
      <c r="F114" s="11" t="str" cm="1">
        <f t="array" ref="F114">_xlfn.XLOOKUP(fsales[[#This Row],[ProductID]],dProduct[[#All],[ProductID]],dProduct[[#All],[Product]])</f>
        <v>Carlota</v>
      </c>
      <c r="G114" s="11" t="str" cm="1">
        <f t="array" ref="G114">_xlfn.XLOOKUP(fsales[[#This Row],[ProductID]],dProduct[[#All],[ProductID]],dProduct[[#All],[Supplier]])</f>
        <v>Gel Booms</v>
      </c>
      <c r="H114" s="11" t="str" cm="1">
        <f t="array" ref="H114">_xlfn.XLOOKUP(fsales[[#This Row],[SalesRepID]],dSalesRep[[#All],[SalesRepID]],dSalesRep[[#All],[Region]])</f>
        <v>CA</v>
      </c>
    </row>
    <row r="115" spans="1:8" x14ac:dyDescent="0.3">
      <c r="A115" s="1">
        <v>44595</v>
      </c>
      <c r="B115">
        <v>2</v>
      </c>
      <c r="C115">
        <v>4</v>
      </c>
      <c r="D115">
        <v>64</v>
      </c>
      <c r="E115" s="11" cm="1">
        <f t="array" ref="E115">_xlfn.XLOOKUP(fsales[[#This Row],[ProductID]],dProduct[[#All],[ProductID]],dProduct[[#All],[Price]])*fsales[[#This Row],[Units]]</f>
        <v>1916.8</v>
      </c>
      <c r="F115" s="11" t="str" cm="1">
        <f t="array" ref="F115">_xlfn.XLOOKUP(fsales[[#This Row],[ProductID]],dProduct[[#All],[ProductID]],dProduct[[#All],[Product]])</f>
        <v>Carlota</v>
      </c>
      <c r="G115" s="11" t="str" cm="1">
        <f t="array" ref="G115">_xlfn.XLOOKUP(fsales[[#This Row],[ProductID]],dProduct[[#All],[ProductID]],dProduct[[#All],[Supplier]])</f>
        <v>Gel Booms</v>
      </c>
      <c r="H115" s="11" t="str" cm="1">
        <f t="array" ref="H115">_xlfn.XLOOKUP(fsales[[#This Row],[SalesRepID]],dSalesRep[[#All],[SalesRepID]],dSalesRep[[#All],[Region]])</f>
        <v>WA</v>
      </c>
    </row>
    <row r="116" spans="1:8" x14ac:dyDescent="0.3">
      <c r="A116" s="1">
        <v>45096</v>
      </c>
      <c r="B116">
        <v>2</v>
      </c>
      <c r="C116">
        <v>4</v>
      </c>
      <c r="D116">
        <v>101</v>
      </c>
      <c r="E116" s="11" cm="1">
        <f t="array" ref="E116">_xlfn.XLOOKUP(fsales[[#This Row],[ProductID]],dProduct[[#All],[ProductID]],dProduct[[#All],[Price]])*fsales[[#This Row],[Units]]</f>
        <v>3024.95</v>
      </c>
      <c r="F116" s="11" t="str" cm="1">
        <f t="array" ref="F116">_xlfn.XLOOKUP(fsales[[#This Row],[ProductID]],dProduct[[#All],[ProductID]],dProduct[[#All],[Product]])</f>
        <v>Carlota</v>
      </c>
      <c r="G116" s="11" t="str" cm="1">
        <f t="array" ref="G116">_xlfn.XLOOKUP(fsales[[#This Row],[ProductID]],dProduct[[#All],[ProductID]],dProduct[[#All],[Supplier]])</f>
        <v>Gel Booms</v>
      </c>
      <c r="H116" s="11" t="str" cm="1">
        <f t="array" ref="H116">_xlfn.XLOOKUP(fsales[[#This Row],[SalesRepID]],dSalesRep[[#All],[SalesRepID]],dSalesRep[[#All],[Region]])</f>
        <v>WA</v>
      </c>
    </row>
    <row r="117" spans="1:8" x14ac:dyDescent="0.3">
      <c r="A117" s="1">
        <v>44642</v>
      </c>
      <c r="B117">
        <v>2</v>
      </c>
      <c r="C117">
        <v>3</v>
      </c>
      <c r="D117">
        <v>1</v>
      </c>
      <c r="E117" s="11" cm="1">
        <f t="array" ref="E117">_xlfn.XLOOKUP(fsales[[#This Row],[ProductID]],dProduct[[#All],[ProductID]],dProduct[[#All],[Price]])*fsales[[#This Row],[Units]]</f>
        <v>29.95</v>
      </c>
      <c r="F117" s="11" t="str" cm="1">
        <f t="array" ref="F117">_xlfn.XLOOKUP(fsales[[#This Row],[ProductID]],dProduct[[#All],[ProductID]],dProduct[[#All],[Product]])</f>
        <v>Carlota</v>
      </c>
      <c r="G117" s="11" t="str" cm="1">
        <f t="array" ref="G117">_xlfn.XLOOKUP(fsales[[#This Row],[ProductID]],dProduct[[#All],[ProductID]],dProduct[[#All],[Supplier]])</f>
        <v>Gel Booms</v>
      </c>
      <c r="H117" s="11" t="str" cm="1">
        <f t="array" ref="H117">_xlfn.XLOOKUP(fsales[[#This Row],[SalesRepID]],dSalesRep[[#All],[SalesRepID]],dSalesRep[[#All],[Region]])</f>
        <v>WA</v>
      </c>
    </row>
    <row r="118" spans="1:8" x14ac:dyDescent="0.3">
      <c r="A118" s="1">
        <v>44853</v>
      </c>
      <c r="B118">
        <v>2</v>
      </c>
      <c r="C118">
        <v>4</v>
      </c>
      <c r="D118">
        <v>78</v>
      </c>
      <c r="E118" s="11" cm="1">
        <f t="array" ref="E118">_xlfn.XLOOKUP(fsales[[#This Row],[ProductID]],dProduct[[#All],[ProductID]],dProduct[[#All],[Price]])*fsales[[#This Row],[Units]]</f>
        <v>2336.1</v>
      </c>
      <c r="F118" s="11" t="str" cm="1">
        <f t="array" ref="F118">_xlfn.XLOOKUP(fsales[[#This Row],[ProductID]],dProduct[[#All],[ProductID]],dProduct[[#All],[Product]])</f>
        <v>Carlota</v>
      </c>
      <c r="G118" s="11" t="str" cm="1">
        <f t="array" ref="G118">_xlfn.XLOOKUP(fsales[[#This Row],[ProductID]],dProduct[[#All],[ProductID]],dProduct[[#All],[Supplier]])</f>
        <v>Gel Booms</v>
      </c>
      <c r="H118" s="11" t="str" cm="1">
        <f t="array" ref="H118">_xlfn.XLOOKUP(fsales[[#This Row],[SalesRepID]],dSalesRep[[#All],[SalesRepID]],dSalesRep[[#All],[Region]])</f>
        <v>WA</v>
      </c>
    </row>
    <row r="119" spans="1:8" x14ac:dyDescent="0.3">
      <c r="A119" s="1">
        <v>44340</v>
      </c>
      <c r="B119">
        <v>2</v>
      </c>
      <c r="C119">
        <v>4</v>
      </c>
      <c r="D119">
        <v>1</v>
      </c>
      <c r="E119" s="11" cm="1">
        <f t="array" ref="E119">_xlfn.XLOOKUP(fsales[[#This Row],[ProductID]],dProduct[[#All],[ProductID]],dProduct[[#All],[Price]])*fsales[[#This Row],[Units]]</f>
        <v>29.95</v>
      </c>
      <c r="F119" s="11" t="str" cm="1">
        <f t="array" ref="F119">_xlfn.XLOOKUP(fsales[[#This Row],[ProductID]],dProduct[[#All],[ProductID]],dProduct[[#All],[Product]])</f>
        <v>Carlota</v>
      </c>
      <c r="G119" s="11" t="str" cm="1">
        <f t="array" ref="G119">_xlfn.XLOOKUP(fsales[[#This Row],[ProductID]],dProduct[[#All],[ProductID]],dProduct[[#All],[Supplier]])</f>
        <v>Gel Booms</v>
      </c>
      <c r="H119" s="11" t="str" cm="1">
        <f t="array" ref="H119">_xlfn.XLOOKUP(fsales[[#This Row],[SalesRepID]],dSalesRep[[#All],[SalesRepID]],dSalesRep[[#All],[Region]])</f>
        <v>WA</v>
      </c>
    </row>
    <row r="120" spans="1:8" x14ac:dyDescent="0.3">
      <c r="A120" s="1">
        <v>44693</v>
      </c>
      <c r="B120">
        <v>2</v>
      </c>
      <c r="C120">
        <v>4</v>
      </c>
      <c r="D120">
        <v>6</v>
      </c>
      <c r="E120" s="11" cm="1">
        <f t="array" ref="E120">_xlfn.XLOOKUP(fsales[[#This Row],[ProductID]],dProduct[[#All],[ProductID]],dProduct[[#All],[Price]])*fsales[[#This Row],[Units]]</f>
        <v>179.7</v>
      </c>
      <c r="F120" s="11" t="str" cm="1">
        <f t="array" ref="F120">_xlfn.XLOOKUP(fsales[[#This Row],[ProductID]],dProduct[[#All],[ProductID]],dProduct[[#All],[Product]])</f>
        <v>Carlota</v>
      </c>
      <c r="G120" s="11" t="str" cm="1">
        <f t="array" ref="G120">_xlfn.XLOOKUP(fsales[[#This Row],[ProductID]],dProduct[[#All],[ProductID]],dProduct[[#All],[Supplier]])</f>
        <v>Gel Booms</v>
      </c>
      <c r="H120" s="11" t="str" cm="1">
        <f t="array" ref="H120">_xlfn.XLOOKUP(fsales[[#This Row],[SalesRepID]],dSalesRep[[#All],[SalesRepID]],dSalesRep[[#All],[Region]])</f>
        <v>WA</v>
      </c>
    </row>
    <row r="121" spans="1:8" x14ac:dyDescent="0.3">
      <c r="A121" s="1">
        <v>44918</v>
      </c>
      <c r="B121">
        <v>2</v>
      </c>
      <c r="C121">
        <v>2</v>
      </c>
      <c r="D121">
        <v>101</v>
      </c>
      <c r="E121" s="11" cm="1">
        <f t="array" ref="E121">_xlfn.XLOOKUP(fsales[[#This Row],[ProductID]],dProduct[[#All],[ProductID]],dProduct[[#All],[Price]])*fsales[[#This Row],[Units]]</f>
        <v>3024.95</v>
      </c>
      <c r="F121" s="11" t="str" cm="1">
        <f t="array" ref="F121">_xlfn.XLOOKUP(fsales[[#This Row],[ProductID]],dProduct[[#All],[ProductID]],dProduct[[#All],[Product]])</f>
        <v>Carlota</v>
      </c>
      <c r="G121" s="11" t="str" cm="1">
        <f t="array" ref="G121">_xlfn.XLOOKUP(fsales[[#This Row],[ProductID]],dProduct[[#All],[ProductID]],dProduct[[#All],[Supplier]])</f>
        <v>Gel Booms</v>
      </c>
      <c r="H121" s="11" t="str" cm="1">
        <f t="array" ref="H121">_xlfn.XLOOKUP(fsales[[#This Row],[SalesRepID]],dSalesRep[[#All],[SalesRepID]],dSalesRep[[#All],[Region]])</f>
        <v>CA</v>
      </c>
    </row>
    <row r="122" spans="1:8" x14ac:dyDescent="0.3">
      <c r="A122" s="1">
        <v>44944</v>
      </c>
      <c r="B122">
        <v>4</v>
      </c>
      <c r="C122">
        <v>2</v>
      </c>
      <c r="D122">
        <v>101</v>
      </c>
      <c r="E122" s="11" cm="1">
        <f t="array" ref="E122">_xlfn.XLOOKUP(fsales[[#This Row],[ProductID]],dProduct[[#All],[ProductID]],dProduct[[#All],[Price]])*fsales[[#This Row],[Units]]</f>
        <v>2418.9499999999998</v>
      </c>
      <c r="F122" s="11" t="str" cm="1">
        <f t="array" ref="F122">_xlfn.XLOOKUP(fsales[[#This Row],[ProductID]],dProduct[[#All],[ProductID]],dProduct[[#All],[Product]])</f>
        <v>Yanaki</v>
      </c>
      <c r="G122" s="11" t="str" cm="1">
        <f t="array" ref="G122">_xlfn.XLOOKUP(fsales[[#This Row],[ProductID]],dProduct[[#All],[ProductID]],dProduct[[#All],[Supplier]])</f>
        <v>Colorado Booms</v>
      </c>
      <c r="H122" s="11" t="str" cm="1">
        <f t="array" ref="H122">_xlfn.XLOOKUP(fsales[[#This Row],[SalesRepID]],dSalesRep[[#All],[SalesRepID]],dSalesRep[[#All],[Region]])</f>
        <v>CA</v>
      </c>
    </row>
    <row r="123" spans="1:8" x14ac:dyDescent="0.3">
      <c r="A123" s="1">
        <v>44531</v>
      </c>
      <c r="B123">
        <v>4</v>
      </c>
      <c r="C123">
        <v>4</v>
      </c>
      <c r="D123">
        <v>6</v>
      </c>
      <c r="E123" s="11" cm="1">
        <f t="array" ref="E123">_xlfn.XLOOKUP(fsales[[#This Row],[ProductID]],dProduct[[#All],[ProductID]],dProduct[[#All],[Price]])*fsales[[#This Row],[Units]]</f>
        <v>143.69999999999999</v>
      </c>
      <c r="F123" s="11" t="str" cm="1">
        <f t="array" ref="F123">_xlfn.XLOOKUP(fsales[[#This Row],[ProductID]],dProduct[[#All],[ProductID]],dProduct[[#All],[Product]])</f>
        <v>Yanaki</v>
      </c>
      <c r="G123" s="11" t="str" cm="1">
        <f t="array" ref="G123">_xlfn.XLOOKUP(fsales[[#This Row],[ProductID]],dProduct[[#All],[ProductID]],dProduct[[#All],[Supplier]])</f>
        <v>Colorado Booms</v>
      </c>
      <c r="H123" s="11" t="str" cm="1">
        <f t="array" ref="H123">_xlfn.XLOOKUP(fsales[[#This Row],[SalesRepID]],dSalesRep[[#All],[SalesRepID]],dSalesRep[[#All],[Region]])</f>
        <v>WA</v>
      </c>
    </row>
    <row r="124" spans="1:8" x14ac:dyDescent="0.3">
      <c r="A124" s="1">
        <v>44705</v>
      </c>
      <c r="B124">
        <v>2</v>
      </c>
      <c r="C124">
        <v>2</v>
      </c>
      <c r="D124">
        <v>6</v>
      </c>
      <c r="E124" s="11" cm="1">
        <f t="array" ref="E124">_xlfn.XLOOKUP(fsales[[#This Row],[ProductID]],dProduct[[#All],[ProductID]],dProduct[[#All],[Price]])*fsales[[#This Row],[Units]]</f>
        <v>179.7</v>
      </c>
      <c r="F124" s="11" t="str" cm="1">
        <f t="array" ref="F124">_xlfn.XLOOKUP(fsales[[#This Row],[ProductID]],dProduct[[#All],[ProductID]],dProduct[[#All],[Product]])</f>
        <v>Carlota</v>
      </c>
      <c r="G124" s="11" t="str" cm="1">
        <f t="array" ref="G124">_xlfn.XLOOKUP(fsales[[#This Row],[ProductID]],dProduct[[#All],[ProductID]],dProduct[[#All],[Supplier]])</f>
        <v>Gel Booms</v>
      </c>
      <c r="H124" s="11" t="str" cm="1">
        <f t="array" ref="H124">_xlfn.XLOOKUP(fsales[[#This Row],[SalesRepID]],dSalesRep[[#All],[SalesRepID]],dSalesRep[[#All],[Region]])</f>
        <v>CA</v>
      </c>
    </row>
    <row r="125" spans="1:8" x14ac:dyDescent="0.3">
      <c r="A125" s="1">
        <v>44231</v>
      </c>
      <c r="B125">
        <v>2</v>
      </c>
      <c r="C125">
        <v>2</v>
      </c>
      <c r="D125">
        <v>1</v>
      </c>
      <c r="E125" s="11" cm="1">
        <f t="array" ref="E125">_xlfn.XLOOKUP(fsales[[#This Row],[ProductID]],dProduct[[#All],[ProductID]],dProduct[[#All],[Price]])*fsales[[#This Row],[Units]]</f>
        <v>29.95</v>
      </c>
      <c r="F125" s="11" t="str" cm="1">
        <f t="array" ref="F125">_xlfn.XLOOKUP(fsales[[#This Row],[ProductID]],dProduct[[#All],[ProductID]],dProduct[[#All],[Product]])</f>
        <v>Carlota</v>
      </c>
      <c r="G125" s="11" t="str" cm="1">
        <f t="array" ref="G125">_xlfn.XLOOKUP(fsales[[#This Row],[ProductID]],dProduct[[#All],[ProductID]],dProduct[[#All],[Supplier]])</f>
        <v>Gel Booms</v>
      </c>
      <c r="H125" s="11" t="str" cm="1">
        <f t="array" ref="H125">_xlfn.XLOOKUP(fsales[[#This Row],[SalesRepID]],dSalesRep[[#All],[SalesRepID]],dSalesRep[[#All],[Region]])</f>
        <v>CA</v>
      </c>
    </row>
    <row r="126" spans="1:8" x14ac:dyDescent="0.3">
      <c r="A126" s="1">
        <v>45151</v>
      </c>
      <c r="B126">
        <v>2</v>
      </c>
      <c r="C126">
        <v>2</v>
      </c>
      <c r="D126">
        <v>284</v>
      </c>
      <c r="E126" s="11" cm="1">
        <f t="array" ref="E126">_xlfn.XLOOKUP(fsales[[#This Row],[ProductID]],dProduct[[#All],[ProductID]],dProduct[[#All],[Price]])*fsales[[#This Row],[Units]]</f>
        <v>8505.7999999999993</v>
      </c>
      <c r="F126" s="11" t="str" cm="1">
        <f t="array" ref="F126">_xlfn.XLOOKUP(fsales[[#This Row],[ProductID]],dProduct[[#All],[ProductID]],dProduct[[#All],[Product]])</f>
        <v>Carlota</v>
      </c>
      <c r="G126" s="11" t="str" cm="1">
        <f t="array" ref="G126">_xlfn.XLOOKUP(fsales[[#This Row],[ProductID]],dProduct[[#All],[ProductID]],dProduct[[#All],[Supplier]])</f>
        <v>Gel Booms</v>
      </c>
      <c r="H126" s="11" t="str" cm="1">
        <f t="array" ref="H126">_xlfn.XLOOKUP(fsales[[#This Row],[SalesRepID]],dSalesRep[[#All],[SalesRepID]],dSalesRep[[#All],[Region]])</f>
        <v>CA</v>
      </c>
    </row>
    <row r="127" spans="1:8" x14ac:dyDescent="0.3">
      <c r="A127" s="1">
        <v>45174</v>
      </c>
      <c r="B127">
        <v>2</v>
      </c>
      <c r="C127">
        <v>4</v>
      </c>
      <c r="D127">
        <v>6</v>
      </c>
      <c r="E127" s="11" cm="1">
        <f t="array" ref="E127">_xlfn.XLOOKUP(fsales[[#This Row],[ProductID]],dProduct[[#All],[ProductID]],dProduct[[#All],[Price]])*fsales[[#This Row],[Units]]</f>
        <v>179.7</v>
      </c>
      <c r="F127" s="11" t="str" cm="1">
        <f t="array" ref="F127">_xlfn.XLOOKUP(fsales[[#This Row],[ProductID]],dProduct[[#All],[ProductID]],dProduct[[#All],[Product]])</f>
        <v>Carlota</v>
      </c>
      <c r="G127" s="11" t="str" cm="1">
        <f t="array" ref="G127">_xlfn.XLOOKUP(fsales[[#This Row],[ProductID]],dProduct[[#All],[ProductID]],dProduct[[#All],[Supplier]])</f>
        <v>Gel Booms</v>
      </c>
      <c r="H127" s="11" t="str" cm="1">
        <f t="array" ref="H127">_xlfn.XLOOKUP(fsales[[#This Row],[SalesRepID]],dSalesRep[[#All],[SalesRepID]],dSalesRep[[#All],[Region]])</f>
        <v>WA</v>
      </c>
    </row>
    <row r="128" spans="1:8" x14ac:dyDescent="0.3">
      <c r="A128" s="1">
        <v>44892</v>
      </c>
      <c r="B128">
        <v>2</v>
      </c>
      <c r="C128">
        <v>4</v>
      </c>
      <c r="D128">
        <v>4</v>
      </c>
      <c r="E128" s="11" cm="1">
        <f t="array" ref="E128">_xlfn.XLOOKUP(fsales[[#This Row],[ProductID]],dProduct[[#All],[ProductID]],dProduct[[#All],[Price]])*fsales[[#This Row],[Units]]</f>
        <v>119.8</v>
      </c>
      <c r="F128" s="11" t="str" cm="1">
        <f t="array" ref="F128">_xlfn.XLOOKUP(fsales[[#This Row],[ProductID]],dProduct[[#All],[ProductID]],dProduct[[#All],[Product]])</f>
        <v>Carlota</v>
      </c>
      <c r="G128" s="11" t="str" cm="1">
        <f t="array" ref="G128">_xlfn.XLOOKUP(fsales[[#This Row],[ProductID]],dProduct[[#All],[ProductID]],dProduct[[#All],[Supplier]])</f>
        <v>Gel Booms</v>
      </c>
      <c r="H128" s="11" t="str" cm="1">
        <f t="array" ref="H128">_xlfn.XLOOKUP(fsales[[#This Row],[SalesRepID]],dSalesRep[[#All],[SalesRepID]],dSalesRep[[#All],[Region]])</f>
        <v>WA</v>
      </c>
    </row>
    <row r="129" spans="1:8" x14ac:dyDescent="0.3">
      <c r="A129" s="1">
        <v>44878</v>
      </c>
      <c r="B129">
        <v>2</v>
      </c>
      <c r="C129">
        <v>2</v>
      </c>
      <c r="D129">
        <v>176</v>
      </c>
      <c r="E129" s="11" cm="1">
        <f t="array" ref="E129">_xlfn.XLOOKUP(fsales[[#This Row],[ProductID]],dProduct[[#All],[ProductID]],dProduct[[#All],[Price]])*fsales[[#This Row],[Units]]</f>
        <v>5271.2</v>
      </c>
      <c r="F129" s="11" t="str" cm="1">
        <f t="array" ref="F129">_xlfn.XLOOKUP(fsales[[#This Row],[ProductID]],dProduct[[#All],[ProductID]],dProduct[[#All],[Product]])</f>
        <v>Carlota</v>
      </c>
      <c r="G129" s="11" t="str" cm="1">
        <f t="array" ref="G129">_xlfn.XLOOKUP(fsales[[#This Row],[ProductID]],dProduct[[#All],[ProductID]],dProduct[[#All],[Supplier]])</f>
        <v>Gel Booms</v>
      </c>
      <c r="H129" s="11" t="str" cm="1">
        <f t="array" ref="H129">_xlfn.XLOOKUP(fsales[[#This Row],[SalesRepID]],dSalesRep[[#All],[SalesRepID]],dSalesRep[[#All],[Region]])</f>
        <v>CA</v>
      </c>
    </row>
    <row r="130" spans="1:8" x14ac:dyDescent="0.3">
      <c r="A130" s="1">
        <v>45247</v>
      </c>
      <c r="B130">
        <v>4</v>
      </c>
      <c r="C130">
        <v>2</v>
      </c>
      <c r="D130">
        <v>84</v>
      </c>
      <c r="E130" s="11" cm="1">
        <f t="array" ref="E130">_xlfn.XLOOKUP(fsales[[#This Row],[ProductID]],dProduct[[#All],[ProductID]],dProduct[[#All],[Price]])*fsales[[#This Row],[Units]]</f>
        <v>2011.8</v>
      </c>
      <c r="F130" s="11" t="str" cm="1">
        <f t="array" ref="F130">_xlfn.XLOOKUP(fsales[[#This Row],[ProductID]],dProduct[[#All],[ProductID]],dProduct[[#All],[Product]])</f>
        <v>Yanaki</v>
      </c>
      <c r="G130" s="11" t="str" cm="1">
        <f t="array" ref="G130">_xlfn.XLOOKUP(fsales[[#This Row],[ProductID]],dProduct[[#All],[ProductID]],dProduct[[#All],[Supplier]])</f>
        <v>Colorado Booms</v>
      </c>
      <c r="H130" s="11" t="str" cm="1">
        <f t="array" ref="H130">_xlfn.XLOOKUP(fsales[[#This Row],[SalesRepID]],dSalesRep[[#All],[SalesRepID]],dSalesRep[[#All],[Region]])</f>
        <v>CA</v>
      </c>
    </row>
    <row r="131" spans="1:8" x14ac:dyDescent="0.3">
      <c r="A131" s="1">
        <v>44653</v>
      </c>
      <c r="B131">
        <v>1</v>
      </c>
      <c r="C131">
        <v>4</v>
      </c>
      <c r="D131">
        <v>103</v>
      </c>
      <c r="E131" s="11" cm="1">
        <f t="array" ref="E131">_xlfn.XLOOKUP(fsales[[#This Row],[ProductID]],dProduct[[#All],[ProductID]],dProduct[[#All],[Price]])*fsales[[#This Row],[Units]]</f>
        <v>4526.8500000000004</v>
      </c>
      <c r="F131" s="11" t="str" cm="1">
        <f t="array" ref="F131">_xlfn.XLOOKUP(fsales[[#This Row],[ProductID]],dProduct[[#All],[ProductID]],dProduct[[#All],[Product]])</f>
        <v>Quad</v>
      </c>
      <c r="G131" s="11" t="str" cm="1">
        <f t="array" ref="G131">_xlfn.XLOOKUP(fsales[[#This Row],[ProductID]],dProduct[[#All],[ProductID]],dProduct[[#All],[Supplier]])</f>
        <v>Gel Booms</v>
      </c>
      <c r="H131" s="11" t="str" cm="1">
        <f t="array" ref="H131">_xlfn.XLOOKUP(fsales[[#This Row],[SalesRepID]],dSalesRep[[#All],[SalesRepID]],dSalesRep[[#All],[Region]])</f>
        <v>WA</v>
      </c>
    </row>
    <row r="132" spans="1:8" x14ac:dyDescent="0.3">
      <c r="A132" s="1">
        <v>44811</v>
      </c>
      <c r="B132">
        <v>1</v>
      </c>
      <c r="C132">
        <v>2</v>
      </c>
      <c r="D132">
        <v>247</v>
      </c>
      <c r="E132" s="11" cm="1">
        <f t="array" ref="E132">_xlfn.XLOOKUP(fsales[[#This Row],[ProductID]],dProduct[[#All],[ProductID]],dProduct[[#All],[Price]])*fsales[[#This Row],[Units]]</f>
        <v>10855.650000000001</v>
      </c>
      <c r="F132" s="11" t="str" cm="1">
        <f t="array" ref="F132">_xlfn.XLOOKUP(fsales[[#This Row],[ProductID]],dProduct[[#All],[ProductID]],dProduct[[#All],[Product]])</f>
        <v>Quad</v>
      </c>
      <c r="G132" s="11" t="str" cm="1">
        <f t="array" ref="G132">_xlfn.XLOOKUP(fsales[[#This Row],[ProductID]],dProduct[[#All],[ProductID]],dProduct[[#All],[Supplier]])</f>
        <v>Gel Booms</v>
      </c>
      <c r="H132" s="11" t="str" cm="1">
        <f t="array" ref="H132">_xlfn.XLOOKUP(fsales[[#This Row],[SalesRepID]],dSalesRep[[#All],[SalesRepID]],dSalesRep[[#All],[Region]])</f>
        <v>CA</v>
      </c>
    </row>
    <row r="133" spans="1:8" x14ac:dyDescent="0.3">
      <c r="A133" s="1">
        <v>44362</v>
      </c>
      <c r="B133">
        <v>2</v>
      </c>
      <c r="C133">
        <v>2</v>
      </c>
      <c r="D133">
        <v>76</v>
      </c>
      <c r="E133" s="11" cm="1">
        <f t="array" ref="E133">_xlfn.XLOOKUP(fsales[[#This Row],[ProductID]],dProduct[[#All],[ProductID]],dProduct[[#All],[Price]])*fsales[[#This Row],[Units]]</f>
        <v>2276.1999999999998</v>
      </c>
      <c r="F133" s="11" t="str" cm="1">
        <f t="array" ref="F133">_xlfn.XLOOKUP(fsales[[#This Row],[ProductID]],dProduct[[#All],[ProductID]],dProduct[[#All],[Product]])</f>
        <v>Carlota</v>
      </c>
      <c r="G133" s="11" t="str" cm="1">
        <f t="array" ref="G133">_xlfn.XLOOKUP(fsales[[#This Row],[ProductID]],dProduct[[#All],[ProductID]],dProduct[[#All],[Supplier]])</f>
        <v>Gel Booms</v>
      </c>
      <c r="H133" s="11" t="str" cm="1">
        <f t="array" ref="H133">_xlfn.XLOOKUP(fsales[[#This Row],[SalesRepID]],dSalesRep[[#All],[SalesRepID]],dSalesRep[[#All],[Region]])</f>
        <v>CA</v>
      </c>
    </row>
    <row r="134" spans="1:8" x14ac:dyDescent="0.3">
      <c r="A134" s="1">
        <v>45131</v>
      </c>
      <c r="B134">
        <v>4</v>
      </c>
      <c r="C134">
        <v>4</v>
      </c>
      <c r="D134">
        <v>131</v>
      </c>
      <c r="E134" s="11" cm="1">
        <f t="array" ref="E134">_xlfn.XLOOKUP(fsales[[#This Row],[ProductID]],dProduct[[#All],[ProductID]],dProduct[[#All],[Price]])*fsales[[#This Row],[Units]]</f>
        <v>3137.45</v>
      </c>
      <c r="F134" s="11" t="str" cm="1">
        <f t="array" ref="F134">_xlfn.XLOOKUP(fsales[[#This Row],[ProductID]],dProduct[[#All],[ProductID]],dProduct[[#All],[Product]])</f>
        <v>Yanaki</v>
      </c>
      <c r="G134" s="11" t="str" cm="1">
        <f t="array" ref="G134">_xlfn.XLOOKUP(fsales[[#This Row],[ProductID]],dProduct[[#All],[ProductID]],dProduct[[#All],[Supplier]])</f>
        <v>Colorado Booms</v>
      </c>
      <c r="H134" s="11" t="str" cm="1">
        <f t="array" ref="H134">_xlfn.XLOOKUP(fsales[[#This Row],[SalesRepID]],dSalesRep[[#All],[SalesRepID]],dSalesRep[[#All],[Region]])</f>
        <v>WA</v>
      </c>
    </row>
    <row r="135" spans="1:8" x14ac:dyDescent="0.3">
      <c r="A135" s="1">
        <v>44645</v>
      </c>
      <c r="B135">
        <v>2</v>
      </c>
      <c r="C135">
        <v>4</v>
      </c>
      <c r="D135">
        <v>118</v>
      </c>
      <c r="E135" s="11" cm="1">
        <f t="array" ref="E135">_xlfn.XLOOKUP(fsales[[#This Row],[ProductID]],dProduct[[#All],[ProductID]],dProduct[[#All],[Price]])*fsales[[#This Row],[Units]]</f>
        <v>3534.1</v>
      </c>
      <c r="F135" s="11" t="str" cm="1">
        <f t="array" ref="F135">_xlfn.XLOOKUP(fsales[[#This Row],[ProductID]],dProduct[[#All],[ProductID]],dProduct[[#All],[Product]])</f>
        <v>Carlota</v>
      </c>
      <c r="G135" s="11" t="str" cm="1">
        <f t="array" ref="G135">_xlfn.XLOOKUP(fsales[[#This Row],[ProductID]],dProduct[[#All],[ProductID]],dProduct[[#All],[Supplier]])</f>
        <v>Gel Booms</v>
      </c>
      <c r="H135" s="11" t="str" cm="1">
        <f t="array" ref="H135">_xlfn.XLOOKUP(fsales[[#This Row],[SalesRepID]],dSalesRep[[#All],[SalesRepID]],dSalesRep[[#All],[Region]])</f>
        <v>WA</v>
      </c>
    </row>
    <row r="136" spans="1:8" x14ac:dyDescent="0.3">
      <c r="A136" s="1">
        <v>44422</v>
      </c>
      <c r="B136">
        <v>2</v>
      </c>
      <c r="C136">
        <v>1</v>
      </c>
      <c r="D136">
        <v>4</v>
      </c>
      <c r="E136" s="11" cm="1">
        <f t="array" ref="E136">_xlfn.XLOOKUP(fsales[[#This Row],[ProductID]],dProduct[[#All],[ProductID]],dProduct[[#All],[Price]])*fsales[[#This Row],[Units]]</f>
        <v>119.8</v>
      </c>
      <c r="F136" s="11" t="str" cm="1">
        <f t="array" ref="F136">_xlfn.XLOOKUP(fsales[[#This Row],[ProductID]],dProduct[[#All],[ProductID]],dProduct[[#All],[Product]])</f>
        <v>Carlota</v>
      </c>
      <c r="G136" s="11" t="str" cm="1">
        <f t="array" ref="G136">_xlfn.XLOOKUP(fsales[[#This Row],[ProductID]],dProduct[[#All],[ProductID]],dProduct[[#All],[Supplier]])</f>
        <v>Gel Booms</v>
      </c>
      <c r="H136" s="11" t="str" cm="1">
        <f t="array" ref="H136">_xlfn.XLOOKUP(fsales[[#This Row],[SalesRepID]],dSalesRep[[#All],[SalesRepID]],dSalesRep[[#All],[Region]])</f>
        <v>CA</v>
      </c>
    </row>
    <row r="137" spans="1:8" x14ac:dyDescent="0.3">
      <c r="A137" s="1">
        <v>44544</v>
      </c>
      <c r="B137">
        <v>2</v>
      </c>
      <c r="C137">
        <v>4</v>
      </c>
      <c r="D137">
        <v>69</v>
      </c>
      <c r="E137" s="11" cm="1">
        <f t="array" ref="E137">_xlfn.XLOOKUP(fsales[[#This Row],[ProductID]],dProduct[[#All],[ProductID]],dProduct[[#All],[Price]])*fsales[[#This Row],[Units]]</f>
        <v>2066.5499999999997</v>
      </c>
      <c r="F137" s="11" t="str" cm="1">
        <f t="array" ref="F137">_xlfn.XLOOKUP(fsales[[#This Row],[ProductID]],dProduct[[#All],[ProductID]],dProduct[[#All],[Product]])</f>
        <v>Carlota</v>
      </c>
      <c r="G137" s="11" t="str" cm="1">
        <f t="array" ref="G137">_xlfn.XLOOKUP(fsales[[#This Row],[ProductID]],dProduct[[#All],[ProductID]],dProduct[[#All],[Supplier]])</f>
        <v>Gel Booms</v>
      </c>
      <c r="H137" s="11" t="str" cm="1">
        <f t="array" ref="H137">_xlfn.XLOOKUP(fsales[[#This Row],[SalesRepID]],dSalesRep[[#All],[SalesRepID]],dSalesRep[[#All],[Region]])</f>
        <v>WA</v>
      </c>
    </row>
    <row r="138" spans="1:8" x14ac:dyDescent="0.3">
      <c r="A138" s="1">
        <v>44551</v>
      </c>
      <c r="B138">
        <v>4</v>
      </c>
      <c r="C138">
        <v>4</v>
      </c>
      <c r="D138">
        <v>5</v>
      </c>
      <c r="E138" s="11" cm="1">
        <f t="array" ref="E138">_xlfn.XLOOKUP(fsales[[#This Row],[ProductID]],dProduct[[#All],[ProductID]],dProduct[[#All],[Price]])*fsales[[#This Row],[Units]]</f>
        <v>119.75</v>
      </c>
      <c r="F138" s="11" t="str" cm="1">
        <f t="array" ref="F138">_xlfn.XLOOKUP(fsales[[#This Row],[ProductID]],dProduct[[#All],[ProductID]],dProduct[[#All],[Product]])</f>
        <v>Yanaki</v>
      </c>
      <c r="G138" s="11" t="str" cm="1">
        <f t="array" ref="G138">_xlfn.XLOOKUP(fsales[[#This Row],[ProductID]],dProduct[[#All],[ProductID]],dProduct[[#All],[Supplier]])</f>
        <v>Colorado Booms</v>
      </c>
      <c r="H138" s="11" t="str" cm="1">
        <f t="array" ref="H138">_xlfn.XLOOKUP(fsales[[#This Row],[SalesRepID]],dSalesRep[[#All],[SalesRepID]],dSalesRep[[#All],[Region]])</f>
        <v>WA</v>
      </c>
    </row>
    <row r="139" spans="1:8" x14ac:dyDescent="0.3">
      <c r="A139" s="1">
        <v>44904</v>
      </c>
      <c r="B139">
        <v>2</v>
      </c>
      <c r="C139">
        <v>4</v>
      </c>
      <c r="D139">
        <v>247</v>
      </c>
      <c r="E139" s="11" cm="1">
        <f t="array" ref="E139">_xlfn.XLOOKUP(fsales[[#This Row],[ProductID]],dProduct[[#All],[ProductID]],dProduct[[#All],[Price]])*fsales[[#This Row],[Units]]</f>
        <v>7397.65</v>
      </c>
      <c r="F139" s="11" t="str" cm="1">
        <f t="array" ref="F139">_xlfn.XLOOKUP(fsales[[#This Row],[ProductID]],dProduct[[#All],[ProductID]],dProduct[[#All],[Product]])</f>
        <v>Carlota</v>
      </c>
      <c r="G139" s="11" t="str" cm="1">
        <f t="array" ref="G139">_xlfn.XLOOKUP(fsales[[#This Row],[ProductID]],dProduct[[#All],[ProductID]],dProduct[[#All],[Supplier]])</f>
        <v>Gel Booms</v>
      </c>
      <c r="H139" s="11" t="str" cm="1">
        <f t="array" ref="H139">_xlfn.XLOOKUP(fsales[[#This Row],[SalesRepID]],dSalesRep[[#All],[SalesRepID]],dSalesRep[[#All],[Region]])</f>
        <v>WA</v>
      </c>
    </row>
    <row r="140" spans="1:8" x14ac:dyDescent="0.3">
      <c r="A140" s="1">
        <v>44540</v>
      </c>
      <c r="B140">
        <v>2</v>
      </c>
      <c r="C140">
        <v>2</v>
      </c>
      <c r="D140">
        <v>71</v>
      </c>
      <c r="E140" s="11" cm="1">
        <f t="array" ref="E140">_xlfn.XLOOKUP(fsales[[#This Row],[ProductID]],dProduct[[#All],[ProductID]],dProduct[[#All],[Price]])*fsales[[#This Row],[Units]]</f>
        <v>2126.4499999999998</v>
      </c>
      <c r="F140" s="11" t="str" cm="1">
        <f t="array" ref="F140">_xlfn.XLOOKUP(fsales[[#This Row],[ProductID]],dProduct[[#All],[ProductID]],dProduct[[#All],[Product]])</f>
        <v>Carlota</v>
      </c>
      <c r="G140" s="11" t="str" cm="1">
        <f t="array" ref="G140">_xlfn.XLOOKUP(fsales[[#This Row],[ProductID]],dProduct[[#All],[ProductID]],dProduct[[#All],[Supplier]])</f>
        <v>Gel Booms</v>
      </c>
      <c r="H140" s="11" t="str" cm="1">
        <f t="array" ref="H140">_xlfn.XLOOKUP(fsales[[#This Row],[SalesRepID]],dSalesRep[[#All],[SalesRepID]],dSalesRep[[#All],[Region]])</f>
        <v>CA</v>
      </c>
    </row>
    <row r="141" spans="1:8" x14ac:dyDescent="0.3">
      <c r="A141" s="1">
        <v>44519</v>
      </c>
      <c r="B141">
        <v>2</v>
      </c>
      <c r="C141">
        <v>1</v>
      </c>
      <c r="D141">
        <v>96</v>
      </c>
      <c r="E141" s="11" cm="1">
        <f t="array" ref="E141">_xlfn.XLOOKUP(fsales[[#This Row],[ProductID]],dProduct[[#All],[ProductID]],dProduct[[#All],[Price]])*fsales[[#This Row],[Units]]</f>
        <v>2875.2</v>
      </c>
      <c r="F141" s="11" t="str" cm="1">
        <f t="array" ref="F141">_xlfn.XLOOKUP(fsales[[#This Row],[ProductID]],dProduct[[#All],[ProductID]],dProduct[[#All],[Product]])</f>
        <v>Carlota</v>
      </c>
      <c r="G141" s="11" t="str" cm="1">
        <f t="array" ref="G141">_xlfn.XLOOKUP(fsales[[#This Row],[ProductID]],dProduct[[#All],[ProductID]],dProduct[[#All],[Supplier]])</f>
        <v>Gel Booms</v>
      </c>
      <c r="H141" s="11" t="str" cm="1">
        <f t="array" ref="H141">_xlfn.XLOOKUP(fsales[[#This Row],[SalesRepID]],dSalesRep[[#All],[SalesRepID]],dSalesRep[[#All],[Region]])</f>
        <v>CA</v>
      </c>
    </row>
    <row r="142" spans="1:8" x14ac:dyDescent="0.3">
      <c r="A142" s="1">
        <v>44385</v>
      </c>
      <c r="B142">
        <v>4</v>
      </c>
      <c r="C142">
        <v>4</v>
      </c>
      <c r="D142">
        <v>76</v>
      </c>
      <c r="E142" s="11" cm="1">
        <f t="array" ref="E142">_xlfn.XLOOKUP(fsales[[#This Row],[ProductID]],dProduct[[#All],[ProductID]],dProduct[[#All],[Price]])*fsales[[#This Row],[Units]]</f>
        <v>1820.2</v>
      </c>
      <c r="F142" s="11" t="str" cm="1">
        <f t="array" ref="F142">_xlfn.XLOOKUP(fsales[[#This Row],[ProductID]],dProduct[[#All],[ProductID]],dProduct[[#All],[Product]])</f>
        <v>Yanaki</v>
      </c>
      <c r="G142" s="11" t="str" cm="1">
        <f t="array" ref="G142">_xlfn.XLOOKUP(fsales[[#This Row],[ProductID]],dProduct[[#All],[ProductID]],dProduct[[#All],[Supplier]])</f>
        <v>Colorado Booms</v>
      </c>
      <c r="H142" s="11" t="str" cm="1">
        <f t="array" ref="H142">_xlfn.XLOOKUP(fsales[[#This Row],[SalesRepID]],dSalesRep[[#All],[SalesRepID]],dSalesRep[[#All],[Region]])</f>
        <v>WA</v>
      </c>
    </row>
    <row r="143" spans="1:8" x14ac:dyDescent="0.3">
      <c r="A143" s="1">
        <v>44829</v>
      </c>
      <c r="B143">
        <v>4</v>
      </c>
      <c r="C143">
        <v>4</v>
      </c>
      <c r="D143">
        <v>81</v>
      </c>
      <c r="E143" s="11" cm="1">
        <f t="array" ref="E143">_xlfn.XLOOKUP(fsales[[#This Row],[ProductID]],dProduct[[#All],[ProductID]],dProduct[[#All],[Price]])*fsales[[#This Row],[Units]]</f>
        <v>1939.95</v>
      </c>
      <c r="F143" s="11" t="str" cm="1">
        <f t="array" ref="F143">_xlfn.XLOOKUP(fsales[[#This Row],[ProductID]],dProduct[[#All],[ProductID]],dProduct[[#All],[Product]])</f>
        <v>Yanaki</v>
      </c>
      <c r="G143" s="11" t="str" cm="1">
        <f t="array" ref="G143">_xlfn.XLOOKUP(fsales[[#This Row],[ProductID]],dProduct[[#All],[ProductID]],dProduct[[#All],[Supplier]])</f>
        <v>Colorado Booms</v>
      </c>
      <c r="H143" s="11" t="str" cm="1">
        <f t="array" ref="H143">_xlfn.XLOOKUP(fsales[[#This Row],[SalesRepID]],dSalesRep[[#All],[SalesRepID]],dSalesRep[[#All],[Region]])</f>
        <v>WA</v>
      </c>
    </row>
    <row r="144" spans="1:8" x14ac:dyDescent="0.3">
      <c r="A144" s="1">
        <v>44843</v>
      </c>
      <c r="B144">
        <v>2</v>
      </c>
      <c r="C144">
        <v>2</v>
      </c>
      <c r="D144">
        <v>106</v>
      </c>
      <c r="E144" s="11" cm="1">
        <f t="array" ref="E144">_xlfn.XLOOKUP(fsales[[#This Row],[ProductID]],dProduct[[#All],[ProductID]],dProduct[[#All],[Price]])*fsales[[#This Row],[Units]]</f>
        <v>3174.7</v>
      </c>
      <c r="F144" s="11" t="str" cm="1">
        <f t="array" ref="F144">_xlfn.XLOOKUP(fsales[[#This Row],[ProductID]],dProduct[[#All],[ProductID]],dProduct[[#All],[Product]])</f>
        <v>Carlota</v>
      </c>
      <c r="G144" s="11" t="str" cm="1">
        <f t="array" ref="G144">_xlfn.XLOOKUP(fsales[[#This Row],[ProductID]],dProduct[[#All],[ProductID]],dProduct[[#All],[Supplier]])</f>
        <v>Gel Booms</v>
      </c>
      <c r="H144" s="11" t="str" cm="1">
        <f t="array" ref="H144">_xlfn.XLOOKUP(fsales[[#This Row],[SalesRepID]],dSalesRep[[#All],[SalesRepID]],dSalesRep[[#All],[Region]])</f>
        <v>CA</v>
      </c>
    </row>
    <row r="145" spans="1:8" x14ac:dyDescent="0.3">
      <c r="A145" s="1">
        <v>44899</v>
      </c>
      <c r="B145">
        <v>3</v>
      </c>
      <c r="C145">
        <v>3</v>
      </c>
      <c r="D145">
        <v>246</v>
      </c>
      <c r="E145" s="11" cm="1">
        <f t="array" ref="E145">_xlfn.XLOOKUP(fsales[[#This Row],[ProductID]],dProduct[[#All],[ProductID]],dProduct[[#All],[Price]])*fsales[[#This Row],[Units]]</f>
        <v>6383.7</v>
      </c>
      <c r="F145" s="11" t="str" cm="1">
        <f t="array" ref="F145">_xlfn.XLOOKUP(fsales[[#This Row],[ProductID]],dProduct[[#All],[ProductID]],dProduct[[#All],[Product]])</f>
        <v>Aspen</v>
      </c>
      <c r="G145" s="11" t="str" cm="1">
        <f t="array" ref="G145">_xlfn.XLOOKUP(fsales[[#This Row],[ProductID]],dProduct[[#All],[ProductID]],dProduct[[#All],[Supplier]])</f>
        <v>Colorado Booms</v>
      </c>
      <c r="H145" s="11" t="str" cm="1">
        <f t="array" ref="H145">_xlfn.XLOOKUP(fsales[[#This Row],[SalesRepID]],dSalesRep[[#All],[SalesRepID]],dSalesRep[[#All],[Region]])</f>
        <v>WA</v>
      </c>
    </row>
    <row r="146" spans="1:8" x14ac:dyDescent="0.3">
      <c r="A146" s="1">
        <v>44522</v>
      </c>
      <c r="B146">
        <v>2</v>
      </c>
      <c r="C146">
        <v>2</v>
      </c>
      <c r="D146">
        <v>138</v>
      </c>
      <c r="E146" s="11" cm="1">
        <f t="array" ref="E146">_xlfn.XLOOKUP(fsales[[#This Row],[ProductID]],dProduct[[#All],[ProductID]],dProduct[[#All],[Price]])*fsales[[#This Row],[Units]]</f>
        <v>4133.0999999999995</v>
      </c>
      <c r="F146" s="11" t="str" cm="1">
        <f t="array" ref="F146">_xlfn.XLOOKUP(fsales[[#This Row],[ProductID]],dProduct[[#All],[ProductID]],dProduct[[#All],[Product]])</f>
        <v>Carlota</v>
      </c>
      <c r="G146" s="11" t="str" cm="1">
        <f t="array" ref="G146">_xlfn.XLOOKUP(fsales[[#This Row],[ProductID]],dProduct[[#All],[ProductID]],dProduct[[#All],[Supplier]])</f>
        <v>Gel Booms</v>
      </c>
      <c r="H146" s="11" t="str" cm="1">
        <f t="array" ref="H146">_xlfn.XLOOKUP(fsales[[#This Row],[SalesRepID]],dSalesRep[[#All],[SalesRepID]],dSalesRep[[#All],[Region]])</f>
        <v>CA</v>
      </c>
    </row>
    <row r="147" spans="1:8" x14ac:dyDescent="0.3">
      <c r="A147" s="1">
        <v>44526</v>
      </c>
      <c r="B147">
        <v>3</v>
      </c>
      <c r="C147">
        <v>2</v>
      </c>
      <c r="D147">
        <v>106</v>
      </c>
      <c r="E147" s="11" cm="1">
        <f t="array" ref="E147">_xlfn.XLOOKUP(fsales[[#This Row],[ProductID]],dProduct[[#All],[ProductID]],dProduct[[#All],[Price]])*fsales[[#This Row],[Units]]</f>
        <v>2750.7</v>
      </c>
      <c r="F147" s="11" t="str" cm="1">
        <f t="array" ref="F147">_xlfn.XLOOKUP(fsales[[#This Row],[ProductID]],dProduct[[#All],[ProductID]],dProduct[[#All],[Product]])</f>
        <v>Aspen</v>
      </c>
      <c r="G147" s="11" t="str" cm="1">
        <f t="array" ref="G147">_xlfn.XLOOKUP(fsales[[#This Row],[ProductID]],dProduct[[#All],[ProductID]],dProduct[[#All],[Supplier]])</f>
        <v>Colorado Booms</v>
      </c>
      <c r="H147" s="11" t="str" cm="1">
        <f t="array" ref="H147">_xlfn.XLOOKUP(fsales[[#This Row],[SalesRepID]],dSalesRep[[#All],[SalesRepID]],dSalesRep[[#All],[Region]])</f>
        <v>CA</v>
      </c>
    </row>
    <row r="148" spans="1:8" x14ac:dyDescent="0.3">
      <c r="A148" s="1">
        <v>44549</v>
      </c>
      <c r="B148">
        <v>2</v>
      </c>
      <c r="C148">
        <v>4</v>
      </c>
      <c r="D148">
        <v>97</v>
      </c>
      <c r="E148" s="11" cm="1">
        <f t="array" ref="E148">_xlfn.XLOOKUP(fsales[[#This Row],[ProductID]],dProduct[[#All],[ProductID]],dProduct[[#All],[Price]])*fsales[[#This Row],[Units]]</f>
        <v>2905.15</v>
      </c>
      <c r="F148" s="11" t="str" cm="1">
        <f t="array" ref="F148">_xlfn.XLOOKUP(fsales[[#This Row],[ProductID]],dProduct[[#All],[ProductID]],dProduct[[#All],[Product]])</f>
        <v>Carlota</v>
      </c>
      <c r="G148" s="11" t="str" cm="1">
        <f t="array" ref="G148">_xlfn.XLOOKUP(fsales[[#This Row],[ProductID]],dProduct[[#All],[ProductID]],dProduct[[#All],[Supplier]])</f>
        <v>Gel Booms</v>
      </c>
      <c r="H148" s="11" t="str" cm="1">
        <f t="array" ref="H148">_xlfn.XLOOKUP(fsales[[#This Row],[SalesRepID]],dSalesRep[[#All],[SalesRepID]],dSalesRep[[#All],[Region]])</f>
        <v>WA</v>
      </c>
    </row>
    <row r="149" spans="1:8" x14ac:dyDescent="0.3">
      <c r="A149" s="1">
        <v>45238</v>
      </c>
      <c r="B149">
        <v>3</v>
      </c>
      <c r="C149">
        <v>4</v>
      </c>
      <c r="D149">
        <v>210</v>
      </c>
      <c r="E149" s="11" cm="1">
        <f t="array" ref="E149">_xlfn.XLOOKUP(fsales[[#This Row],[ProductID]],dProduct[[#All],[ProductID]],dProduct[[#All],[Price]])*fsales[[#This Row],[Units]]</f>
        <v>5449.5</v>
      </c>
      <c r="F149" s="11" t="str" cm="1">
        <f t="array" ref="F149">_xlfn.XLOOKUP(fsales[[#This Row],[ProductID]],dProduct[[#All],[ProductID]],dProduct[[#All],[Product]])</f>
        <v>Aspen</v>
      </c>
      <c r="G149" s="11" t="str" cm="1">
        <f t="array" ref="G149">_xlfn.XLOOKUP(fsales[[#This Row],[ProductID]],dProduct[[#All],[ProductID]],dProduct[[#All],[Supplier]])</f>
        <v>Colorado Booms</v>
      </c>
      <c r="H149" s="11" t="str" cm="1">
        <f t="array" ref="H149">_xlfn.XLOOKUP(fsales[[#This Row],[SalesRepID]],dSalesRep[[#All],[SalesRepID]],dSalesRep[[#All],[Region]])</f>
        <v>WA</v>
      </c>
    </row>
    <row r="150" spans="1:8" x14ac:dyDescent="0.3">
      <c r="A150" s="1">
        <v>44809</v>
      </c>
      <c r="B150">
        <v>3</v>
      </c>
      <c r="C150">
        <v>4</v>
      </c>
      <c r="D150">
        <v>101</v>
      </c>
      <c r="E150" s="11" cm="1">
        <f t="array" ref="E150">_xlfn.XLOOKUP(fsales[[#This Row],[ProductID]],dProduct[[#All],[ProductID]],dProduct[[#All],[Price]])*fsales[[#This Row],[Units]]</f>
        <v>2620.9499999999998</v>
      </c>
      <c r="F150" s="11" t="str" cm="1">
        <f t="array" ref="F150">_xlfn.XLOOKUP(fsales[[#This Row],[ProductID]],dProduct[[#All],[ProductID]],dProduct[[#All],[Product]])</f>
        <v>Aspen</v>
      </c>
      <c r="G150" s="11" t="str" cm="1">
        <f t="array" ref="G150">_xlfn.XLOOKUP(fsales[[#This Row],[ProductID]],dProduct[[#All],[ProductID]],dProduct[[#All],[Supplier]])</f>
        <v>Colorado Booms</v>
      </c>
      <c r="H150" s="11" t="str" cm="1">
        <f t="array" ref="H150">_xlfn.XLOOKUP(fsales[[#This Row],[SalesRepID]],dSalesRep[[#All],[SalesRepID]],dSalesRep[[#All],[Region]])</f>
        <v>WA</v>
      </c>
    </row>
    <row r="151" spans="1:8" x14ac:dyDescent="0.3">
      <c r="A151" s="1">
        <v>44422</v>
      </c>
      <c r="B151">
        <v>1</v>
      </c>
      <c r="C151">
        <v>4</v>
      </c>
      <c r="D151">
        <v>70</v>
      </c>
      <c r="E151" s="11" cm="1">
        <f t="array" ref="E151">_xlfn.XLOOKUP(fsales[[#This Row],[ProductID]],dProduct[[#All],[ProductID]],dProduct[[#All],[Price]])*fsales[[#This Row],[Units]]</f>
        <v>3076.5</v>
      </c>
      <c r="F151" s="11" t="str" cm="1">
        <f t="array" ref="F151">_xlfn.XLOOKUP(fsales[[#This Row],[ProductID]],dProduct[[#All],[ProductID]],dProduct[[#All],[Product]])</f>
        <v>Quad</v>
      </c>
      <c r="G151" s="11" t="str" cm="1">
        <f t="array" ref="G151">_xlfn.XLOOKUP(fsales[[#This Row],[ProductID]],dProduct[[#All],[ProductID]],dProduct[[#All],[Supplier]])</f>
        <v>Gel Booms</v>
      </c>
      <c r="H151" s="11" t="str" cm="1">
        <f t="array" ref="H151">_xlfn.XLOOKUP(fsales[[#This Row],[SalesRepID]],dSalesRep[[#All],[SalesRepID]],dSalesRep[[#All],[Region]])</f>
        <v>WA</v>
      </c>
    </row>
    <row r="152" spans="1:8" x14ac:dyDescent="0.3">
      <c r="A152" s="1">
        <v>44977</v>
      </c>
      <c r="B152">
        <v>4</v>
      </c>
      <c r="C152">
        <v>2</v>
      </c>
      <c r="D152">
        <v>264</v>
      </c>
      <c r="E152" s="11" cm="1">
        <f t="array" ref="E152">_xlfn.XLOOKUP(fsales[[#This Row],[ProductID]],dProduct[[#All],[ProductID]],dProduct[[#All],[Price]])*fsales[[#This Row],[Units]]</f>
        <v>6322.8</v>
      </c>
      <c r="F152" s="11" t="str" cm="1">
        <f t="array" ref="F152">_xlfn.XLOOKUP(fsales[[#This Row],[ProductID]],dProduct[[#All],[ProductID]],dProduct[[#All],[Product]])</f>
        <v>Yanaki</v>
      </c>
      <c r="G152" s="11" t="str" cm="1">
        <f t="array" ref="G152">_xlfn.XLOOKUP(fsales[[#This Row],[ProductID]],dProduct[[#All],[ProductID]],dProduct[[#All],[Supplier]])</f>
        <v>Colorado Booms</v>
      </c>
      <c r="H152" s="11" t="str" cm="1">
        <f t="array" ref="H152">_xlfn.XLOOKUP(fsales[[#This Row],[SalesRepID]],dSalesRep[[#All],[SalesRepID]],dSalesRep[[#All],[Region]])</f>
        <v>CA</v>
      </c>
    </row>
    <row r="153" spans="1:8" x14ac:dyDescent="0.3">
      <c r="A153" s="1">
        <v>45256</v>
      </c>
      <c r="B153">
        <v>2</v>
      </c>
      <c r="C153">
        <v>3</v>
      </c>
      <c r="D153">
        <v>107</v>
      </c>
      <c r="E153" s="11" cm="1">
        <f t="array" ref="E153">_xlfn.XLOOKUP(fsales[[#This Row],[ProductID]],dProduct[[#All],[ProductID]],dProduct[[#All],[Price]])*fsales[[#This Row],[Units]]</f>
        <v>3204.65</v>
      </c>
      <c r="F153" s="11" t="str" cm="1">
        <f t="array" ref="F153">_xlfn.XLOOKUP(fsales[[#This Row],[ProductID]],dProduct[[#All],[ProductID]],dProduct[[#All],[Product]])</f>
        <v>Carlota</v>
      </c>
      <c r="G153" s="11" t="str" cm="1">
        <f t="array" ref="G153">_xlfn.XLOOKUP(fsales[[#This Row],[ProductID]],dProduct[[#All],[ProductID]],dProduct[[#All],[Supplier]])</f>
        <v>Gel Booms</v>
      </c>
      <c r="H153" s="11" t="str" cm="1">
        <f t="array" ref="H153">_xlfn.XLOOKUP(fsales[[#This Row],[SalesRepID]],dSalesRep[[#All],[SalesRepID]],dSalesRep[[#All],[Region]])</f>
        <v>WA</v>
      </c>
    </row>
    <row r="154" spans="1:8" x14ac:dyDescent="0.3">
      <c r="A154" s="1">
        <v>44754</v>
      </c>
      <c r="B154">
        <v>3</v>
      </c>
      <c r="C154">
        <v>4</v>
      </c>
      <c r="D154">
        <v>71</v>
      </c>
      <c r="E154" s="11" cm="1">
        <f t="array" ref="E154">_xlfn.XLOOKUP(fsales[[#This Row],[ProductID]],dProduct[[#All],[ProductID]],dProduct[[#All],[Price]])*fsales[[#This Row],[Units]]</f>
        <v>1842.45</v>
      </c>
      <c r="F154" s="11" t="str" cm="1">
        <f t="array" ref="F154">_xlfn.XLOOKUP(fsales[[#This Row],[ProductID]],dProduct[[#All],[ProductID]],dProduct[[#All],[Product]])</f>
        <v>Aspen</v>
      </c>
      <c r="G154" s="11" t="str" cm="1">
        <f t="array" ref="G154">_xlfn.XLOOKUP(fsales[[#This Row],[ProductID]],dProduct[[#All],[ProductID]],dProduct[[#All],[Supplier]])</f>
        <v>Colorado Booms</v>
      </c>
      <c r="H154" s="11" t="str" cm="1">
        <f t="array" ref="H154">_xlfn.XLOOKUP(fsales[[#This Row],[SalesRepID]],dSalesRep[[#All],[SalesRepID]],dSalesRep[[#All],[Region]])</f>
        <v>WA</v>
      </c>
    </row>
    <row r="155" spans="1:8" x14ac:dyDescent="0.3">
      <c r="A155" s="1">
        <v>45220</v>
      </c>
      <c r="B155">
        <v>2</v>
      </c>
      <c r="C155">
        <v>2</v>
      </c>
      <c r="D155">
        <v>275</v>
      </c>
      <c r="E155" s="11" cm="1">
        <f t="array" ref="E155">_xlfn.XLOOKUP(fsales[[#This Row],[ProductID]],dProduct[[#All],[ProductID]],dProduct[[#All],[Price]])*fsales[[#This Row],[Units]]</f>
        <v>8236.25</v>
      </c>
      <c r="F155" s="11" t="str" cm="1">
        <f t="array" ref="F155">_xlfn.XLOOKUP(fsales[[#This Row],[ProductID]],dProduct[[#All],[ProductID]],dProduct[[#All],[Product]])</f>
        <v>Carlota</v>
      </c>
      <c r="G155" s="11" t="str" cm="1">
        <f t="array" ref="G155">_xlfn.XLOOKUP(fsales[[#This Row],[ProductID]],dProduct[[#All],[ProductID]],dProduct[[#All],[Supplier]])</f>
        <v>Gel Booms</v>
      </c>
      <c r="H155" s="11" t="str" cm="1">
        <f t="array" ref="H155">_xlfn.XLOOKUP(fsales[[#This Row],[SalesRepID]],dSalesRep[[#All],[SalesRepID]],dSalesRep[[#All],[Region]])</f>
        <v>CA</v>
      </c>
    </row>
    <row r="156" spans="1:8" x14ac:dyDescent="0.3">
      <c r="A156" s="1">
        <v>45225</v>
      </c>
      <c r="B156">
        <v>1</v>
      </c>
      <c r="C156">
        <v>4</v>
      </c>
      <c r="D156">
        <v>83</v>
      </c>
      <c r="E156" s="11" cm="1">
        <f t="array" ref="E156">_xlfn.XLOOKUP(fsales[[#This Row],[ProductID]],dProduct[[#All],[ProductID]],dProduct[[#All],[Price]])*fsales[[#This Row],[Units]]</f>
        <v>3647.8500000000004</v>
      </c>
      <c r="F156" s="11" t="str" cm="1">
        <f t="array" ref="F156">_xlfn.XLOOKUP(fsales[[#This Row],[ProductID]],dProduct[[#All],[ProductID]],dProduct[[#All],[Product]])</f>
        <v>Quad</v>
      </c>
      <c r="G156" s="11" t="str" cm="1">
        <f t="array" ref="G156">_xlfn.XLOOKUP(fsales[[#This Row],[ProductID]],dProduct[[#All],[ProductID]],dProduct[[#All],[Supplier]])</f>
        <v>Gel Booms</v>
      </c>
      <c r="H156" s="11" t="str" cm="1">
        <f t="array" ref="H156">_xlfn.XLOOKUP(fsales[[#This Row],[SalesRepID]],dSalesRep[[#All],[SalesRepID]],dSalesRep[[#All],[Region]])</f>
        <v>WA</v>
      </c>
    </row>
    <row r="157" spans="1:8" x14ac:dyDescent="0.3">
      <c r="A157" s="1">
        <v>44872</v>
      </c>
      <c r="B157">
        <v>2</v>
      </c>
      <c r="C157">
        <v>1</v>
      </c>
      <c r="D157">
        <v>63</v>
      </c>
      <c r="E157" s="11" cm="1">
        <f t="array" ref="E157">_xlfn.XLOOKUP(fsales[[#This Row],[ProductID]],dProduct[[#All],[ProductID]],dProduct[[#All],[Price]])*fsales[[#This Row],[Units]]</f>
        <v>1886.85</v>
      </c>
      <c r="F157" s="11" t="str" cm="1">
        <f t="array" ref="F157">_xlfn.XLOOKUP(fsales[[#This Row],[ProductID]],dProduct[[#All],[ProductID]],dProduct[[#All],[Product]])</f>
        <v>Carlota</v>
      </c>
      <c r="G157" s="11" t="str" cm="1">
        <f t="array" ref="G157">_xlfn.XLOOKUP(fsales[[#This Row],[ProductID]],dProduct[[#All],[ProductID]],dProduct[[#All],[Supplier]])</f>
        <v>Gel Booms</v>
      </c>
      <c r="H157" s="11" t="str" cm="1">
        <f t="array" ref="H157">_xlfn.XLOOKUP(fsales[[#This Row],[SalesRepID]],dSalesRep[[#All],[SalesRepID]],dSalesRep[[#All],[Region]])</f>
        <v>CA</v>
      </c>
    </row>
    <row r="158" spans="1:8" x14ac:dyDescent="0.3">
      <c r="A158" s="1">
        <v>44488</v>
      </c>
      <c r="B158">
        <v>1</v>
      </c>
      <c r="C158">
        <v>2</v>
      </c>
      <c r="D158">
        <v>3</v>
      </c>
      <c r="E158" s="11" cm="1">
        <f t="array" ref="E158">_xlfn.XLOOKUP(fsales[[#This Row],[ProductID]],dProduct[[#All],[ProductID]],dProduct[[#All],[Price]])*fsales[[#This Row],[Units]]</f>
        <v>131.85000000000002</v>
      </c>
      <c r="F158" s="11" t="str" cm="1">
        <f t="array" ref="F158">_xlfn.XLOOKUP(fsales[[#This Row],[ProductID]],dProduct[[#All],[ProductID]],dProduct[[#All],[Product]])</f>
        <v>Quad</v>
      </c>
      <c r="G158" s="11" t="str" cm="1">
        <f t="array" ref="G158">_xlfn.XLOOKUP(fsales[[#This Row],[ProductID]],dProduct[[#All],[ProductID]],dProduct[[#All],[Supplier]])</f>
        <v>Gel Booms</v>
      </c>
      <c r="H158" s="11" t="str" cm="1">
        <f t="array" ref="H158">_xlfn.XLOOKUP(fsales[[#This Row],[SalesRepID]],dSalesRep[[#All],[SalesRepID]],dSalesRep[[#All],[Region]])</f>
        <v>CA</v>
      </c>
    </row>
    <row r="159" spans="1:8" x14ac:dyDescent="0.3">
      <c r="A159" s="1">
        <v>44411</v>
      </c>
      <c r="B159">
        <v>4</v>
      </c>
      <c r="C159">
        <v>4</v>
      </c>
      <c r="D159">
        <v>93</v>
      </c>
      <c r="E159" s="11" cm="1">
        <f t="array" ref="E159">_xlfn.XLOOKUP(fsales[[#This Row],[ProductID]],dProduct[[#All],[ProductID]],dProduct[[#All],[Price]])*fsales[[#This Row],[Units]]</f>
        <v>2227.35</v>
      </c>
      <c r="F159" s="11" t="str" cm="1">
        <f t="array" ref="F159">_xlfn.XLOOKUP(fsales[[#This Row],[ProductID]],dProduct[[#All],[ProductID]],dProduct[[#All],[Product]])</f>
        <v>Yanaki</v>
      </c>
      <c r="G159" s="11" t="str" cm="1">
        <f t="array" ref="G159">_xlfn.XLOOKUP(fsales[[#This Row],[ProductID]],dProduct[[#All],[ProductID]],dProduct[[#All],[Supplier]])</f>
        <v>Colorado Booms</v>
      </c>
      <c r="H159" s="11" t="str" cm="1">
        <f t="array" ref="H159">_xlfn.XLOOKUP(fsales[[#This Row],[SalesRepID]],dSalesRep[[#All],[SalesRepID]],dSalesRep[[#All],[Region]])</f>
        <v>WA</v>
      </c>
    </row>
    <row r="160" spans="1:8" x14ac:dyDescent="0.3">
      <c r="A160" s="1">
        <v>45275</v>
      </c>
      <c r="B160">
        <v>2</v>
      </c>
      <c r="C160">
        <v>4</v>
      </c>
      <c r="D160">
        <v>289</v>
      </c>
      <c r="E160" s="11" cm="1">
        <f t="array" ref="E160">_xlfn.XLOOKUP(fsales[[#This Row],[ProductID]],dProduct[[#All],[ProductID]],dProduct[[#All],[Price]])*fsales[[#This Row],[Units]]</f>
        <v>8655.5499999999993</v>
      </c>
      <c r="F160" s="11" t="str" cm="1">
        <f t="array" ref="F160">_xlfn.XLOOKUP(fsales[[#This Row],[ProductID]],dProduct[[#All],[ProductID]],dProduct[[#All],[Product]])</f>
        <v>Carlota</v>
      </c>
      <c r="G160" s="11" t="str" cm="1">
        <f t="array" ref="G160">_xlfn.XLOOKUP(fsales[[#This Row],[ProductID]],dProduct[[#All],[ProductID]],dProduct[[#All],[Supplier]])</f>
        <v>Gel Booms</v>
      </c>
      <c r="H160" s="11" t="str" cm="1">
        <f t="array" ref="H160">_xlfn.XLOOKUP(fsales[[#This Row],[SalesRepID]],dSalesRep[[#All],[SalesRepID]],dSalesRep[[#All],[Region]])</f>
        <v>WA</v>
      </c>
    </row>
    <row r="161" spans="1:8" x14ac:dyDescent="0.3">
      <c r="A161" s="1">
        <v>44848</v>
      </c>
      <c r="B161">
        <v>1</v>
      </c>
      <c r="C161">
        <v>4</v>
      </c>
      <c r="D161">
        <v>4</v>
      </c>
      <c r="E161" s="11" cm="1">
        <f t="array" ref="E161">_xlfn.XLOOKUP(fsales[[#This Row],[ProductID]],dProduct[[#All],[ProductID]],dProduct[[#All],[Price]])*fsales[[#This Row],[Units]]</f>
        <v>175.8</v>
      </c>
      <c r="F161" s="11" t="str" cm="1">
        <f t="array" ref="F161">_xlfn.XLOOKUP(fsales[[#This Row],[ProductID]],dProduct[[#All],[ProductID]],dProduct[[#All],[Product]])</f>
        <v>Quad</v>
      </c>
      <c r="G161" s="11" t="str" cm="1">
        <f t="array" ref="G161">_xlfn.XLOOKUP(fsales[[#This Row],[ProductID]],dProduct[[#All],[ProductID]],dProduct[[#All],[Supplier]])</f>
        <v>Gel Booms</v>
      </c>
      <c r="H161" s="11" t="str" cm="1">
        <f t="array" ref="H161">_xlfn.XLOOKUP(fsales[[#This Row],[SalesRepID]],dSalesRep[[#All],[SalesRepID]],dSalesRep[[#All],[Region]])</f>
        <v>WA</v>
      </c>
    </row>
    <row r="162" spans="1:8" x14ac:dyDescent="0.3">
      <c r="A162" s="1">
        <v>45227</v>
      </c>
      <c r="B162">
        <v>2</v>
      </c>
      <c r="C162">
        <v>2</v>
      </c>
      <c r="D162">
        <v>78</v>
      </c>
      <c r="E162" s="11" cm="1">
        <f t="array" ref="E162">_xlfn.XLOOKUP(fsales[[#This Row],[ProductID]],dProduct[[#All],[ProductID]],dProduct[[#All],[Price]])*fsales[[#This Row],[Units]]</f>
        <v>2336.1</v>
      </c>
      <c r="F162" s="11" t="str" cm="1">
        <f t="array" ref="F162">_xlfn.XLOOKUP(fsales[[#This Row],[ProductID]],dProduct[[#All],[ProductID]],dProduct[[#All],[Product]])</f>
        <v>Carlota</v>
      </c>
      <c r="G162" s="11" t="str" cm="1">
        <f t="array" ref="G162">_xlfn.XLOOKUP(fsales[[#This Row],[ProductID]],dProduct[[#All],[ProductID]],dProduct[[#All],[Supplier]])</f>
        <v>Gel Booms</v>
      </c>
      <c r="H162" s="11" t="str" cm="1">
        <f t="array" ref="H162">_xlfn.XLOOKUP(fsales[[#This Row],[SalesRepID]],dSalesRep[[#All],[SalesRepID]],dSalesRep[[#All],[Region]])</f>
        <v>CA</v>
      </c>
    </row>
    <row r="163" spans="1:8" x14ac:dyDescent="0.3">
      <c r="A163" s="1">
        <v>44910</v>
      </c>
      <c r="B163">
        <v>4</v>
      </c>
      <c r="C163">
        <v>4</v>
      </c>
      <c r="D163">
        <v>155</v>
      </c>
      <c r="E163" s="11" cm="1">
        <f t="array" ref="E163">_xlfn.XLOOKUP(fsales[[#This Row],[ProductID]],dProduct[[#All],[ProductID]],dProduct[[#All],[Price]])*fsales[[#This Row],[Units]]</f>
        <v>3712.25</v>
      </c>
      <c r="F163" s="11" t="str" cm="1">
        <f t="array" ref="F163">_xlfn.XLOOKUP(fsales[[#This Row],[ProductID]],dProduct[[#All],[ProductID]],dProduct[[#All],[Product]])</f>
        <v>Yanaki</v>
      </c>
      <c r="G163" s="11" t="str" cm="1">
        <f t="array" ref="G163">_xlfn.XLOOKUP(fsales[[#This Row],[ProductID]],dProduct[[#All],[ProductID]],dProduct[[#All],[Supplier]])</f>
        <v>Colorado Booms</v>
      </c>
      <c r="H163" s="11" t="str" cm="1">
        <f t="array" ref="H163">_xlfn.XLOOKUP(fsales[[#This Row],[SalesRepID]],dSalesRep[[#All],[SalesRepID]],dSalesRep[[#All],[Region]])</f>
        <v>WA</v>
      </c>
    </row>
    <row r="164" spans="1:8" x14ac:dyDescent="0.3">
      <c r="A164" s="1">
        <v>44904</v>
      </c>
      <c r="B164">
        <v>2</v>
      </c>
      <c r="C164">
        <v>4</v>
      </c>
      <c r="D164">
        <v>247</v>
      </c>
      <c r="E164" s="11" cm="1">
        <f t="array" ref="E164">_xlfn.XLOOKUP(fsales[[#This Row],[ProductID]],dProduct[[#All],[ProductID]],dProduct[[#All],[Price]])*fsales[[#This Row],[Units]]</f>
        <v>7397.65</v>
      </c>
      <c r="F164" s="11" t="str" cm="1">
        <f t="array" ref="F164">_xlfn.XLOOKUP(fsales[[#This Row],[ProductID]],dProduct[[#All],[ProductID]],dProduct[[#All],[Product]])</f>
        <v>Carlota</v>
      </c>
      <c r="G164" s="11" t="str" cm="1">
        <f t="array" ref="G164">_xlfn.XLOOKUP(fsales[[#This Row],[ProductID]],dProduct[[#All],[ProductID]],dProduct[[#All],[Supplier]])</f>
        <v>Gel Booms</v>
      </c>
      <c r="H164" s="11" t="str" cm="1">
        <f t="array" ref="H164">_xlfn.XLOOKUP(fsales[[#This Row],[SalesRepID]],dSalesRep[[#All],[SalesRepID]],dSalesRep[[#All],[Region]])</f>
        <v>WA</v>
      </c>
    </row>
    <row r="165" spans="1:8" x14ac:dyDescent="0.3">
      <c r="A165" s="1">
        <v>45257</v>
      </c>
      <c r="B165">
        <v>2</v>
      </c>
      <c r="C165">
        <v>4</v>
      </c>
      <c r="D165">
        <v>89</v>
      </c>
      <c r="E165" s="11" cm="1">
        <f t="array" ref="E165">_xlfn.XLOOKUP(fsales[[#This Row],[ProductID]],dProduct[[#All],[ProductID]],dProduct[[#All],[Price]])*fsales[[#This Row],[Units]]</f>
        <v>2665.5499999999997</v>
      </c>
      <c r="F165" s="11" t="str" cm="1">
        <f t="array" ref="F165">_xlfn.XLOOKUP(fsales[[#This Row],[ProductID]],dProduct[[#All],[ProductID]],dProduct[[#All],[Product]])</f>
        <v>Carlota</v>
      </c>
      <c r="G165" s="11" t="str" cm="1">
        <f t="array" ref="G165">_xlfn.XLOOKUP(fsales[[#This Row],[ProductID]],dProduct[[#All],[ProductID]],dProduct[[#All],[Supplier]])</f>
        <v>Gel Booms</v>
      </c>
      <c r="H165" s="11" t="str" cm="1">
        <f t="array" ref="H165">_xlfn.XLOOKUP(fsales[[#This Row],[SalesRepID]],dSalesRep[[#All],[SalesRepID]],dSalesRep[[#All],[Region]])</f>
        <v>WA</v>
      </c>
    </row>
    <row r="166" spans="1:8" x14ac:dyDescent="0.3">
      <c r="A166" s="1">
        <v>44543</v>
      </c>
      <c r="B166">
        <v>2</v>
      </c>
      <c r="C166">
        <v>4</v>
      </c>
      <c r="D166">
        <v>88</v>
      </c>
      <c r="E166" s="11" cm="1">
        <f t="array" ref="E166">_xlfn.XLOOKUP(fsales[[#This Row],[ProductID]],dProduct[[#All],[ProductID]],dProduct[[#All],[Price]])*fsales[[#This Row],[Units]]</f>
        <v>2635.6</v>
      </c>
      <c r="F166" s="11" t="str" cm="1">
        <f t="array" ref="F166">_xlfn.XLOOKUP(fsales[[#This Row],[ProductID]],dProduct[[#All],[ProductID]],dProduct[[#All],[Product]])</f>
        <v>Carlota</v>
      </c>
      <c r="G166" s="11" t="str" cm="1">
        <f t="array" ref="G166">_xlfn.XLOOKUP(fsales[[#This Row],[ProductID]],dProduct[[#All],[ProductID]],dProduct[[#All],[Supplier]])</f>
        <v>Gel Booms</v>
      </c>
      <c r="H166" s="11" t="str" cm="1">
        <f t="array" ref="H166">_xlfn.XLOOKUP(fsales[[#This Row],[SalesRepID]],dSalesRep[[#All],[SalesRepID]],dSalesRep[[#All],[Region]])</f>
        <v>WA</v>
      </c>
    </row>
    <row r="167" spans="1:8" x14ac:dyDescent="0.3">
      <c r="A167" s="1">
        <v>44778</v>
      </c>
      <c r="B167">
        <v>3</v>
      </c>
      <c r="C167">
        <v>4</v>
      </c>
      <c r="D167">
        <v>69</v>
      </c>
      <c r="E167" s="11" cm="1">
        <f t="array" ref="E167">_xlfn.XLOOKUP(fsales[[#This Row],[ProductID]],dProduct[[#All],[ProductID]],dProduct[[#All],[Price]])*fsales[[#This Row],[Units]]</f>
        <v>1790.55</v>
      </c>
      <c r="F167" s="11" t="str" cm="1">
        <f t="array" ref="F167">_xlfn.XLOOKUP(fsales[[#This Row],[ProductID]],dProduct[[#All],[ProductID]],dProduct[[#All],[Product]])</f>
        <v>Aspen</v>
      </c>
      <c r="G167" s="11" t="str" cm="1">
        <f t="array" ref="G167">_xlfn.XLOOKUP(fsales[[#This Row],[ProductID]],dProduct[[#All],[ProductID]],dProduct[[#All],[Supplier]])</f>
        <v>Colorado Booms</v>
      </c>
      <c r="H167" s="11" t="str" cm="1">
        <f t="array" ref="H167">_xlfn.XLOOKUP(fsales[[#This Row],[SalesRepID]],dSalesRep[[#All],[SalesRepID]],dSalesRep[[#All],[Region]])</f>
        <v>WA</v>
      </c>
    </row>
    <row r="168" spans="1:8" x14ac:dyDescent="0.3">
      <c r="A168" s="1">
        <v>44908</v>
      </c>
      <c r="B168">
        <v>4</v>
      </c>
      <c r="C168">
        <v>2</v>
      </c>
      <c r="D168">
        <v>230</v>
      </c>
      <c r="E168" s="11" cm="1">
        <f t="array" ref="E168">_xlfn.XLOOKUP(fsales[[#This Row],[ProductID]],dProduct[[#All],[ProductID]],dProduct[[#All],[Price]])*fsales[[#This Row],[Units]]</f>
        <v>5508.5</v>
      </c>
      <c r="F168" s="11" t="str" cm="1">
        <f t="array" ref="F168">_xlfn.XLOOKUP(fsales[[#This Row],[ProductID]],dProduct[[#All],[ProductID]],dProduct[[#All],[Product]])</f>
        <v>Yanaki</v>
      </c>
      <c r="G168" s="11" t="str" cm="1">
        <f t="array" ref="G168">_xlfn.XLOOKUP(fsales[[#This Row],[ProductID]],dProduct[[#All],[ProductID]],dProduct[[#All],[Supplier]])</f>
        <v>Colorado Booms</v>
      </c>
      <c r="H168" s="11" t="str" cm="1">
        <f t="array" ref="H168">_xlfn.XLOOKUP(fsales[[#This Row],[SalesRepID]],dSalesRep[[#All],[SalesRepID]],dSalesRep[[#All],[Region]])</f>
        <v>CA</v>
      </c>
    </row>
    <row r="169" spans="1:8" x14ac:dyDescent="0.3">
      <c r="A169" s="1">
        <v>45270</v>
      </c>
      <c r="B169">
        <v>4</v>
      </c>
      <c r="C169">
        <v>2</v>
      </c>
      <c r="D169">
        <v>3</v>
      </c>
      <c r="E169" s="11" cm="1">
        <f t="array" ref="E169">_xlfn.XLOOKUP(fsales[[#This Row],[ProductID]],dProduct[[#All],[ProductID]],dProduct[[#All],[Price]])*fsales[[#This Row],[Units]]</f>
        <v>71.849999999999994</v>
      </c>
      <c r="F169" s="11" t="str" cm="1">
        <f t="array" ref="F169">_xlfn.XLOOKUP(fsales[[#This Row],[ProductID]],dProduct[[#All],[ProductID]],dProduct[[#All],[Product]])</f>
        <v>Yanaki</v>
      </c>
      <c r="G169" s="11" t="str" cm="1">
        <f t="array" ref="G169">_xlfn.XLOOKUP(fsales[[#This Row],[ProductID]],dProduct[[#All],[ProductID]],dProduct[[#All],[Supplier]])</f>
        <v>Colorado Booms</v>
      </c>
      <c r="H169" s="11" t="str" cm="1">
        <f t="array" ref="H169">_xlfn.XLOOKUP(fsales[[#This Row],[SalesRepID]],dSalesRep[[#All],[SalesRepID]],dSalesRep[[#All],[Region]])</f>
        <v>CA</v>
      </c>
    </row>
    <row r="170" spans="1:8" x14ac:dyDescent="0.3">
      <c r="A170" s="1">
        <v>44924</v>
      </c>
      <c r="B170">
        <v>1</v>
      </c>
      <c r="C170">
        <v>4</v>
      </c>
      <c r="D170">
        <v>4</v>
      </c>
      <c r="E170" s="11" cm="1">
        <f t="array" ref="E170">_xlfn.XLOOKUP(fsales[[#This Row],[ProductID]],dProduct[[#All],[ProductID]],dProduct[[#All],[Price]])*fsales[[#This Row],[Units]]</f>
        <v>175.8</v>
      </c>
      <c r="F170" s="11" t="str" cm="1">
        <f t="array" ref="F170">_xlfn.XLOOKUP(fsales[[#This Row],[ProductID]],dProduct[[#All],[ProductID]],dProduct[[#All],[Product]])</f>
        <v>Quad</v>
      </c>
      <c r="G170" s="11" t="str" cm="1">
        <f t="array" ref="G170">_xlfn.XLOOKUP(fsales[[#This Row],[ProductID]],dProduct[[#All],[ProductID]],dProduct[[#All],[Supplier]])</f>
        <v>Gel Booms</v>
      </c>
      <c r="H170" s="11" t="str" cm="1">
        <f t="array" ref="H170">_xlfn.XLOOKUP(fsales[[#This Row],[SalesRepID]],dSalesRep[[#All],[SalesRepID]],dSalesRep[[#All],[Region]])</f>
        <v>WA</v>
      </c>
    </row>
    <row r="171" spans="1:8" x14ac:dyDescent="0.3">
      <c r="A171" s="1">
        <v>44401</v>
      </c>
      <c r="B171">
        <v>2</v>
      </c>
      <c r="C171">
        <v>4</v>
      </c>
      <c r="D171">
        <v>4</v>
      </c>
      <c r="E171" s="11" cm="1">
        <f t="array" ref="E171">_xlfn.XLOOKUP(fsales[[#This Row],[ProductID]],dProduct[[#All],[ProductID]],dProduct[[#All],[Price]])*fsales[[#This Row],[Units]]</f>
        <v>119.8</v>
      </c>
      <c r="F171" s="11" t="str" cm="1">
        <f t="array" ref="F171">_xlfn.XLOOKUP(fsales[[#This Row],[ProductID]],dProduct[[#All],[ProductID]],dProduct[[#All],[Product]])</f>
        <v>Carlota</v>
      </c>
      <c r="G171" s="11" t="str" cm="1">
        <f t="array" ref="G171">_xlfn.XLOOKUP(fsales[[#This Row],[ProductID]],dProduct[[#All],[ProductID]],dProduct[[#All],[Supplier]])</f>
        <v>Gel Booms</v>
      </c>
      <c r="H171" s="11" t="str" cm="1">
        <f t="array" ref="H171">_xlfn.XLOOKUP(fsales[[#This Row],[SalesRepID]],dSalesRep[[#All],[SalesRepID]],dSalesRep[[#All],[Region]])</f>
        <v>WA</v>
      </c>
    </row>
    <row r="172" spans="1:8" x14ac:dyDescent="0.3">
      <c r="A172" s="1">
        <v>45264</v>
      </c>
      <c r="B172">
        <v>2</v>
      </c>
      <c r="C172">
        <v>2</v>
      </c>
      <c r="D172">
        <v>283</v>
      </c>
      <c r="E172" s="11" cm="1">
        <f t="array" ref="E172">_xlfn.XLOOKUP(fsales[[#This Row],[ProductID]],dProduct[[#All],[ProductID]],dProduct[[#All],[Price]])*fsales[[#This Row],[Units]]</f>
        <v>8475.85</v>
      </c>
      <c r="F172" s="11" t="str" cm="1">
        <f t="array" ref="F172">_xlfn.XLOOKUP(fsales[[#This Row],[ProductID]],dProduct[[#All],[ProductID]],dProduct[[#All],[Product]])</f>
        <v>Carlota</v>
      </c>
      <c r="G172" s="11" t="str" cm="1">
        <f t="array" ref="G172">_xlfn.XLOOKUP(fsales[[#This Row],[ProductID]],dProduct[[#All],[ProductID]],dProduct[[#All],[Supplier]])</f>
        <v>Gel Booms</v>
      </c>
      <c r="H172" s="11" t="str" cm="1">
        <f t="array" ref="H172">_xlfn.XLOOKUP(fsales[[#This Row],[SalesRepID]],dSalesRep[[#All],[SalesRepID]],dSalesRep[[#All],[Region]])</f>
        <v>CA</v>
      </c>
    </row>
    <row r="173" spans="1:8" x14ac:dyDescent="0.3">
      <c r="A173" s="1">
        <v>44834</v>
      </c>
      <c r="B173">
        <v>2</v>
      </c>
      <c r="C173">
        <v>4</v>
      </c>
      <c r="D173">
        <v>3</v>
      </c>
      <c r="E173" s="11" cm="1">
        <f t="array" ref="E173">_xlfn.XLOOKUP(fsales[[#This Row],[ProductID]],dProduct[[#All],[ProductID]],dProduct[[#All],[Price]])*fsales[[#This Row],[Units]]</f>
        <v>89.85</v>
      </c>
      <c r="F173" s="11" t="str" cm="1">
        <f t="array" ref="F173">_xlfn.XLOOKUP(fsales[[#This Row],[ProductID]],dProduct[[#All],[ProductID]],dProduct[[#All],[Product]])</f>
        <v>Carlota</v>
      </c>
      <c r="G173" s="11" t="str" cm="1">
        <f t="array" ref="G173">_xlfn.XLOOKUP(fsales[[#This Row],[ProductID]],dProduct[[#All],[ProductID]],dProduct[[#All],[Supplier]])</f>
        <v>Gel Booms</v>
      </c>
      <c r="H173" s="11" t="str" cm="1">
        <f t="array" ref="H173">_xlfn.XLOOKUP(fsales[[#This Row],[SalesRepID]],dSalesRep[[#All],[SalesRepID]],dSalesRep[[#All],[Region]])</f>
        <v>WA</v>
      </c>
    </row>
    <row r="174" spans="1:8" x14ac:dyDescent="0.3">
      <c r="A174" s="1">
        <v>44382</v>
      </c>
      <c r="B174">
        <v>2</v>
      </c>
      <c r="C174">
        <v>4</v>
      </c>
      <c r="D174">
        <v>91</v>
      </c>
      <c r="E174" s="11" cm="1">
        <f t="array" ref="E174">_xlfn.XLOOKUP(fsales[[#This Row],[ProductID]],dProduct[[#All],[ProductID]],dProduct[[#All],[Price]])*fsales[[#This Row],[Units]]</f>
        <v>2725.45</v>
      </c>
      <c r="F174" s="11" t="str" cm="1">
        <f t="array" ref="F174">_xlfn.XLOOKUP(fsales[[#This Row],[ProductID]],dProduct[[#All],[ProductID]],dProduct[[#All],[Product]])</f>
        <v>Carlota</v>
      </c>
      <c r="G174" s="11" t="str" cm="1">
        <f t="array" ref="G174">_xlfn.XLOOKUP(fsales[[#This Row],[ProductID]],dProduct[[#All],[ProductID]],dProduct[[#All],[Supplier]])</f>
        <v>Gel Booms</v>
      </c>
      <c r="H174" s="11" t="str" cm="1">
        <f t="array" ref="H174">_xlfn.XLOOKUP(fsales[[#This Row],[SalesRepID]],dSalesRep[[#All],[SalesRepID]],dSalesRep[[#All],[Region]])</f>
        <v>WA</v>
      </c>
    </row>
    <row r="175" spans="1:8" x14ac:dyDescent="0.3">
      <c r="A175" s="1">
        <v>44617</v>
      </c>
      <c r="B175">
        <v>2</v>
      </c>
      <c r="C175">
        <v>2</v>
      </c>
      <c r="D175">
        <v>190</v>
      </c>
      <c r="E175" s="11" cm="1">
        <f t="array" ref="E175">_xlfn.XLOOKUP(fsales[[#This Row],[ProductID]],dProduct[[#All],[ProductID]],dProduct[[#All],[Price]])*fsales[[#This Row],[Units]]</f>
        <v>5690.5</v>
      </c>
      <c r="F175" s="11" t="str" cm="1">
        <f t="array" ref="F175">_xlfn.XLOOKUP(fsales[[#This Row],[ProductID]],dProduct[[#All],[ProductID]],dProduct[[#All],[Product]])</f>
        <v>Carlota</v>
      </c>
      <c r="G175" s="11" t="str" cm="1">
        <f t="array" ref="G175">_xlfn.XLOOKUP(fsales[[#This Row],[ProductID]],dProduct[[#All],[ProductID]],dProduct[[#All],[Supplier]])</f>
        <v>Gel Booms</v>
      </c>
      <c r="H175" s="11" t="str" cm="1">
        <f t="array" ref="H175">_xlfn.XLOOKUP(fsales[[#This Row],[SalesRepID]],dSalesRep[[#All],[SalesRepID]],dSalesRep[[#All],[Region]])</f>
        <v>CA</v>
      </c>
    </row>
    <row r="176" spans="1:8" x14ac:dyDescent="0.3">
      <c r="A176" s="1">
        <v>44751</v>
      </c>
      <c r="B176">
        <v>1</v>
      </c>
      <c r="C176">
        <v>2</v>
      </c>
      <c r="D176">
        <v>101</v>
      </c>
      <c r="E176" s="11" cm="1">
        <f t="array" ref="E176">_xlfn.XLOOKUP(fsales[[#This Row],[ProductID]],dProduct[[#All],[ProductID]],dProduct[[#All],[Price]])*fsales[[#This Row],[Units]]</f>
        <v>4438.9500000000007</v>
      </c>
      <c r="F176" s="11" t="str" cm="1">
        <f t="array" ref="F176">_xlfn.XLOOKUP(fsales[[#This Row],[ProductID]],dProduct[[#All],[ProductID]],dProduct[[#All],[Product]])</f>
        <v>Quad</v>
      </c>
      <c r="G176" s="11" t="str" cm="1">
        <f t="array" ref="G176">_xlfn.XLOOKUP(fsales[[#This Row],[ProductID]],dProduct[[#All],[ProductID]],dProduct[[#All],[Supplier]])</f>
        <v>Gel Booms</v>
      </c>
      <c r="H176" s="11" t="str" cm="1">
        <f t="array" ref="H176">_xlfn.XLOOKUP(fsales[[#This Row],[SalesRepID]],dSalesRep[[#All],[SalesRepID]],dSalesRep[[#All],[Region]])</f>
        <v>CA</v>
      </c>
    </row>
    <row r="177" spans="1:8" x14ac:dyDescent="0.3">
      <c r="A177" s="1">
        <v>44808</v>
      </c>
      <c r="B177">
        <v>4</v>
      </c>
      <c r="C177">
        <v>2</v>
      </c>
      <c r="D177">
        <v>74</v>
      </c>
      <c r="E177" s="11" cm="1">
        <f t="array" ref="E177">_xlfn.XLOOKUP(fsales[[#This Row],[ProductID]],dProduct[[#All],[ProductID]],dProduct[[#All],[Price]])*fsales[[#This Row],[Units]]</f>
        <v>1772.3</v>
      </c>
      <c r="F177" s="11" t="str" cm="1">
        <f t="array" ref="F177">_xlfn.XLOOKUP(fsales[[#This Row],[ProductID]],dProduct[[#All],[ProductID]],dProduct[[#All],[Product]])</f>
        <v>Yanaki</v>
      </c>
      <c r="G177" s="11" t="str" cm="1">
        <f t="array" ref="G177">_xlfn.XLOOKUP(fsales[[#This Row],[ProductID]],dProduct[[#All],[ProductID]],dProduct[[#All],[Supplier]])</f>
        <v>Colorado Booms</v>
      </c>
      <c r="H177" s="11" t="str" cm="1">
        <f t="array" ref="H177">_xlfn.XLOOKUP(fsales[[#This Row],[SalesRepID]],dSalesRep[[#All],[SalesRepID]],dSalesRep[[#All],[Region]])</f>
        <v>CA</v>
      </c>
    </row>
    <row r="178" spans="1:8" x14ac:dyDescent="0.3">
      <c r="A178" s="1">
        <v>44518</v>
      </c>
      <c r="B178">
        <v>2</v>
      </c>
      <c r="C178">
        <v>4</v>
      </c>
      <c r="D178">
        <v>84</v>
      </c>
      <c r="E178" s="11" cm="1">
        <f t="array" ref="E178">_xlfn.XLOOKUP(fsales[[#This Row],[ProductID]],dProduct[[#All],[ProductID]],dProduct[[#All],[Price]])*fsales[[#This Row],[Units]]</f>
        <v>2515.7999999999997</v>
      </c>
      <c r="F178" s="11" t="str" cm="1">
        <f t="array" ref="F178">_xlfn.XLOOKUP(fsales[[#This Row],[ProductID]],dProduct[[#All],[ProductID]],dProduct[[#All],[Product]])</f>
        <v>Carlota</v>
      </c>
      <c r="G178" s="11" t="str" cm="1">
        <f t="array" ref="G178">_xlfn.XLOOKUP(fsales[[#This Row],[ProductID]],dProduct[[#All],[ProductID]],dProduct[[#All],[Supplier]])</f>
        <v>Gel Booms</v>
      </c>
      <c r="H178" s="11" t="str" cm="1">
        <f t="array" ref="H178">_xlfn.XLOOKUP(fsales[[#This Row],[SalesRepID]],dSalesRep[[#All],[SalesRepID]],dSalesRep[[#All],[Region]])</f>
        <v>WA</v>
      </c>
    </row>
    <row r="179" spans="1:8" x14ac:dyDescent="0.3">
      <c r="A179" s="1">
        <v>44884</v>
      </c>
      <c r="B179">
        <v>2</v>
      </c>
      <c r="C179">
        <v>2</v>
      </c>
      <c r="D179">
        <v>5</v>
      </c>
      <c r="E179" s="11" cm="1">
        <f t="array" ref="E179">_xlfn.XLOOKUP(fsales[[#This Row],[ProductID]],dProduct[[#All],[ProductID]],dProduct[[#All],[Price]])*fsales[[#This Row],[Units]]</f>
        <v>149.75</v>
      </c>
      <c r="F179" s="11" t="str" cm="1">
        <f t="array" ref="F179">_xlfn.XLOOKUP(fsales[[#This Row],[ProductID]],dProduct[[#All],[ProductID]],dProduct[[#All],[Product]])</f>
        <v>Carlota</v>
      </c>
      <c r="G179" s="11" t="str" cm="1">
        <f t="array" ref="G179">_xlfn.XLOOKUP(fsales[[#This Row],[ProductID]],dProduct[[#All],[ProductID]],dProduct[[#All],[Supplier]])</f>
        <v>Gel Booms</v>
      </c>
      <c r="H179" s="11" t="str" cm="1">
        <f t="array" ref="H179">_xlfn.XLOOKUP(fsales[[#This Row],[SalesRepID]],dSalesRep[[#All],[SalesRepID]],dSalesRep[[#All],[Region]])</f>
        <v>CA</v>
      </c>
    </row>
    <row r="180" spans="1:8" x14ac:dyDescent="0.3">
      <c r="A180" s="1">
        <v>44534</v>
      </c>
      <c r="B180">
        <v>2</v>
      </c>
      <c r="C180">
        <v>4</v>
      </c>
      <c r="D180">
        <v>3</v>
      </c>
      <c r="E180" s="11" cm="1">
        <f t="array" ref="E180">_xlfn.XLOOKUP(fsales[[#This Row],[ProductID]],dProduct[[#All],[ProductID]],dProduct[[#All],[Price]])*fsales[[#This Row],[Units]]</f>
        <v>89.85</v>
      </c>
      <c r="F180" s="11" t="str" cm="1">
        <f t="array" ref="F180">_xlfn.XLOOKUP(fsales[[#This Row],[ProductID]],dProduct[[#All],[ProductID]],dProduct[[#All],[Product]])</f>
        <v>Carlota</v>
      </c>
      <c r="G180" s="11" t="str" cm="1">
        <f t="array" ref="G180">_xlfn.XLOOKUP(fsales[[#This Row],[ProductID]],dProduct[[#All],[ProductID]],dProduct[[#All],[Supplier]])</f>
        <v>Gel Booms</v>
      </c>
      <c r="H180" s="11" t="str" cm="1">
        <f t="array" ref="H180">_xlfn.XLOOKUP(fsales[[#This Row],[SalesRepID]],dSalesRep[[#All],[SalesRepID]],dSalesRep[[#All],[Region]])</f>
        <v>WA</v>
      </c>
    </row>
    <row r="181" spans="1:8" x14ac:dyDescent="0.3">
      <c r="A181" s="1">
        <v>44506</v>
      </c>
      <c r="B181">
        <v>2</v>
      </c>
      <c r="C181">
        <v>2</v>
      </c>
      <c r="D181">
        <v>176</v>
      </c>
      <c r="E181" s="11" cm="1">
        <f t="array" ref="E181">_xlfn.XLOOKUP(fsales[[#This Row],[ProductID]],dProduct[[#All],[ProductID]],dProduct[[#All],[Price]])*fsales[[#This Row],[Units]]</f>
        <v>5271.2</v>
      </c>
      <c r="F181" s="11" t="str" cm="1">
        <f t="array" ref="F181">_xlfn.XLOOKUP(fsales[[#This Row],[ProductID]],dProduct[[#All],[ProductID]],dProduct[[#All],[Product]])</f>
        <v>Carlota</v>
      </c>
      <c r="G181" s="11" t="str" cm="1">
        <f t="array" ref="G181">_xlfn.XLOOKUP(fsales[[#This Row],[ProductID]],dProduct[[#All],[ProductID]],dProduct[[#All],[Supplier]])</f>
        <v>Gel Booms</v>
      </c>
      <c r="H181" s="11" t="str" cm="1">
        <f t="array" ref="H181">_xlfn.XLOOKUP(fsales[[#This Row],[SalesRepID]],dSalesRep[[#All],[SalesRepID]],dSalesRep[[#All],[Region]])</f>
        <v>CA</v>
      </c>
    </row>
    <row r="182" spans="1:8" x14ac:dyDescent="0.3">
      <c r="A182" s="1">
        <v>45203</v>
      </c>
      <c r="B182">
        <v>2</v>
      </c>
      <c r="C182">
        <v>2</v>
      </c>
      <c r="D182">
        <v>71</v>
      </c>
      <c r="E182" s="11" cm="1">
        <f t="array" ref="E182">_xlfn.XLOOKUP(fsales[[#This Row],[ProductID]],dProduct[[#All],[ProductID]],dProduct[[#All],[Price]])*fsales[[#This Row],[Units]]</f>
        <v>2126.4499999999998</v>
      </c>
      <c r="F182" s="11" t="str" cm="1">
        <f t="array" ref="F182">_xlfn.XLOOKUP(fsales[[#This Row],[ProductID]],dProduct[[#All],[ProductID]],dProduct[[#All],[Product]])</f>
        <v>Carlota</v>
      </c>
      <c r="G182" s="11" t="str" cm="1">
        <f t="array" ref="G182">_xlfn.XLOOKUP(fsales[[#This Row],[ProductID]],dProduct[[#All],[ProductID]],dProduct[[#All],[Supplier]])</f>
        <v>Gel Booms</v>
      </c>
      <c r="H182" s="11" t="str" cm="1">
        <f t="array" ref="H182">_xlfn.XLOOKUP(fsales[[#This Row],[SalesRepID]],dSalesRep[[#All],[SalesRepID]],dSalesRep[[#All],[Region]])</f>
        <v>CA</v>
      </c>
    </row>
    <row r="183" spans="1:8" x14ac:dyDescent="0.3">
      <c r="A183" s="1">
        <v>44353</v>
      </c>
      <c r="B183">
        <v>2</v>
      </c>
      <c r="C183">
        <v>2</v>
      </c>
      <c r="D183">
        <v>2</v>
      </c>
      <c r="E183" s="11" cm="1">
        <f t="array" ref="E183">_xlfn.XLOOKUP(fsales[[#This Row],[ProductID]],dProduct[[#All],[ProductID]],dProduct[[#All],[Price]])*fsales[[#This Row],[Units]]</f>
        <v>59.9</v>
      </c>
      <c r="F183" s="11" t="str" cm="1">
        <f t="array" ref="F183">_xlfn.XLOOKUP(fsales[[#This Row],[ProductID]],dProduct[[#All],[ProductID]],dProduct[[#All],[Product]])</f>
        <v>Carlota</v>
      </c>
      <c r="G183" s="11" t="str" cm="1">
        <f t="array" ref="G183">_xlfn.XLOOKUP(fsales[[#This Row],[ProductID]],dProduct[[#All],[ProductID]],dProduct[[#All],[Supplier]])</f>
        <v>Gel Booms</v>
      </c>
      <c r="H183" s="11" t="str" cm="1">
        <f t="array" ref="H183">_xlfn.XLOOKUP(fsales[[#This Row],[SalesRepID]],dSalesRep[[#All],[SalesRepID]],dSalesRep[[#All],[Region]])</f>
        <v>CA</v>
      </c>
    </row>
    <row r="184" spans="1:8" x14ac:dyDescent="0.3">
      <c r="A184" s="1">
        <v>45092</v>
      </c>
      <c r="B184">
        <v>1</v>
      </c>
      <c r="C184">
        <v>1</v>
      </c>
      <c r="D184">
        <v>4</v>
      </c>
      <c r="E184" s="11" cm="1">
        <f t="array" ref="E184">_xlfn.XLOOKUP(fsales[[#This Row],[ProductID]],dProduct[[#All],[ProductID]],dProduct[[#All],[Price]])*fsales[[#This Row],[Units]]</f>
        <v>175.8</v>
      </c>
      <c r="F184" s="11" t="str" cm="1">
        <f t="array" ref="F184">_xlfn.XLOOKUP(fsales[[#This Row],[ProductID]],dProduct[[#All],[ProductID]],dProduct[[#All],[Product]])</f>
        <v>Quad</v>
      </c>
      <c r="G184" s="11" t="str" cm="1">
        <f t="array" ref="G184">_xlfn.XLOOKUP(fsales[[#This Row],[ProductID]],dProduct[[#All],[ProductID]],dProduct[[#All],[Supplier]])</f>
        <v>Gel Booms</v>
      </c>
      <c r="H184" s="11" t="str" cm="1">
        <f t="array" ref="H184">_xlfn.XLOOKUP(fsales[[#This Row],[SalesRepID]],dSalesRep[[#All],[SalesRepID]],dSalesRep[[#All],[Region]])</f>
        <v>CA</v>
      </c>
    </row>
    <row r="185" spans="1:8" x14ac:dyDescent="0.3">
      <c r="A185" s="1">
        <v>45238</v>
      </c>
      <c r="B185">
        <v>2</v>
      </c>
      <c r="C185">
        <v>1</v>
      </c>
      <c r="D185">
        <v>89</v>
      </c>
      <c r="E185" s="11" cm="1">
        <f t="array" ref="E185">_xlfn.XLOOKUP(fsales[[#This Row],[ProductID]],dProduct[[#All],[ProductID]],dProduct[[#All],[Price]])*fsales[[#This Row],[Units]]</f>
        <v>2665.5499999999997</v>
      </c>
      <c r="F185" s="11" t="str" cm="1">
        <f t="array" ref="F185">_xlfn.XLOOKUP(fsales[[#This Row],[ProductID]],dProduct[[#All],[ProductID]],dProduct[[#All],[Product]])</f>
        <v>Carlota</v>
      </c>
      <c r="G185" s="11" t="str" cm="1">
        <f t="array" ref="G185">_xlfn.XLOOKUP(fsales[[#This Row],[ProductID]],dProduct[[#All],[ProductID]],dProduct[[#All],[Supplier]])</f>
        <v>Gel Booms</v>
      </c>
      <c r="H185" s="11" t="str" cm="1">
        <f t="array" ref="H185">_xlfn.XLOOKUP(fsales[[#This Row],[SalesRepID]],dSalesRep[[#All],[SalesRepID]],dSalesRep[[#All],[Region]])</f>
        <v>CA</v>
      </c>
    </row>
    <row r="186" spans="1:8" x14ac:dyDescent="0.3">
      <c r="A186" s="1">
        <v>44982</v>
      </c>
      <c r="B186">
        <v>3</v>
      </c>
      <c r="C186">
        <v>3</v>
      </c>
      <c r="D186">
        <v>150</v>
      </c>
      <c r="E186" s="11" cm="1">
        <f t="array" ref="E186">_xlfn.XLOOKUP(fsales[[#This Row],[ProductID]],dProduct[[#All],[ProductID]],dProduct[[#All],[Price]])*fsales[[#This Row],[Units]]</f>
        <v>3892.5</v>
      </c>
      <c r="F186" s="11" t="str" cm="1">
        <f t="array" ref="F186">_xlfn.XLOOKUP(fsales[[#This Row],[ProductID]],dProduct[[#All],[ProductID]],dProduct[[#All],[Product]])</f>
        <v>Aspen</v>
      </c>
      <c r="G186" s="11" t="str" cm="1">
        <f t="array" ref="G186">_xlfn.XLOOKUP(fsales[[#This Row],[ProductID]],dProduct[[#All],[ProductID]],dProduct[[#All],[Supplier]])</f>
        <v>Colorado Booms</v>
      </c>
      <c r="H186" s="11" t="str" cm="1">
        <f t="array" ref="H186">_xlfn.XLOOKUP(fsales[[#This Row],[SalesRepID]],dSalesRep[[#All],[SalesRepID]],dSalesRep[[#All],[Region]])</f>
        <v>WA</v>
      </c>
    </row>
    <row r="187" spans="1:8" x14ac:dyDescent="0.3">
      <c r="A187" s="1">
        <v>44526</v>
      </c>
      <c r="B187">
        <v>3</v>
      </c>
      <c r="C187">
        <v>2</v>
      </c>
      <c r="D187">
        <v>2</v>
      </c>
      <c r="E187" s="11" cm="1">
        <f t="array" ref="E187">_xlfn.XLOOKUP(fsales[[#This Row],[ProductID]],dProduct[[#All],[ProductID]],dProduct[[#All],[Price]])*fsales[[#This Row],[Units]]</f>
        <v>51.9</v>
      </c>
      <c r="F187" s="11" t="str" cm="1">
        <f t="array" ref="F187">_xlfn.XLOOKUP(fsales[[#This Row],[ProductID]],dProduct[[#All],[ProductID]],dProduct[[#All],[Product]])</f>
        <v>Aspen</v>
      </c>
      <c r="G187" s="11" t="str" cm="1">
        <f t="array" ref="G187">_xlfn.XLOOKUP(fsales[[#This Row],[ProductID]],dProduct[[#All],[ProductID]],dProduct[[#All],[Supplier]])</f>
        <v>Colorado Booms</v>
      </c>
      <c r="H187" s="11" t="str" cm="1">
        <f t="array" ref="H187">_xlfn.XLOOKUP(fsales[[#This Row],[SalesRepID]],dSalesRep[[#All],[SalesRepID]],dSalesRep[[#All],[Region]])</f>
        <v>CA</v>
      </c>
    </row>
    <row r="188" spans="1:8" x14ac:dyDescent="0.3">
      <c r="A188" s="1">
        <v>44880</v>
      </c>
      <c r="B188">
        <v>1</v>
      </c>
      <c r="C188">
        <v>2</v>
      </c>
      <c r="D188">
        <v>277</v>
      </c>
      <c r="E188" s="11" cm="1">
        <f t="array" ref="E188">_xlfn.XLOOKUP(fsales[[#This Row],[ProductID]],dProduct[[#All],[ProductID]],dProduct[[#All],[Price]])*fsales[[#This Row],[Units]]</f>
        <v>12174.150000000001</v>
      </c>
      <c r="F188" s="11" t="str" cm="1">
        <f t="array" ref="F188">_xlfn.XLOOKUP(fsales[[#This Row],[ProductID]],dProduct[[#All],[ProductID]],dProduct[[#All],[Product]])</f>
        <v>Quad</v>
      </c>
      <c r="G188" s="11" t="str" cm="1">
        <f t="array" ref="G188">_xlfn.XLOOKUP(fsales[[#This Row],[ProductID]],dProduct[[#All],[ProductID]],dProduct[[#All],[Supplier]])</f>
        <v>Gel Booms</v>
      </c>
      <c r="H188" s="11" t="str" cm="1">
        <f t="array" ref="H188">_xlfn.XLOOKUP(fsales[[#This Row],[SalesRepID]],dSalesRep[[#All],[SalesRepID]],dSalesRep[[#All],[Region]])</f>
        <v>CA</v>
      </c>
    </row>
    <row r="189" spans="1:8" x14ac:dyDescent="0.3">
      <c r="A189" s="1">
        <v>45270</v>
      </c>
      <c r="B189">
        <v>2</v>
      </c>
      <c r="C189">
        <v>4</v>
      </c>
      <c r="D189">
        <v>194</v>
      </c>
      <c r="E189" s="11" cm="1">
        <f t="array" ref="E189">_xlfn.XLOOKUP(fsales[[#This Row],[ProductID]],dProduct[[#All],[ProductID]],dProduct[[#All],[Price]])*fsales[[#This Row],[Units]]</f>
        <v>5810.3</v>
      </c>
      <c r="F189" s="11" t="str" cm="1">
        <f t="array" ref="F189">_xlfn.XLOOKUP(fsales[[#This Row],[ProductID]],dProduct[[#All],[ProductID]],dProduct[[#All],[Product]])</f>
        <v>Carlota</v>
      </c>
      <c r="G189" s="11" t="str" cm="1">
        <f t="array" ref="G189">_xlfn.XLOOKUP(fsales[[#This Row],[ProductID]],dProduct[[#All],[ProductID]],dProduct[[#All],[Supplier]])</f>
        <v>Gel Booms</v>
      </c>
      <c r="H189" s="11" t="str" cm="1">
        <f t="array" ref="H189">_xlfn.XLOOKUP(fsales[[#This Row],[SalesRepID]],dSalesRep[[#All],[SalesRepID]],dSalesRep[[#All],[Region]])</f>
        <v>WA</v>
      </c>
    </row>
    <row r="190" spans="1:8" x14ac:dyDescent="0.3">
      <c r="A190" s="1">
        <v>44630</v>
      </c>
      <c r="B190">
        <v>2</v>
      </c>
      <c r="C190">
        <v>2</v>
      </c>
      <c r="D190">
        <v>112</v>
      </c>
      <c r="E190" s="11" cm="1">
        <f t="array" ref="E190">_xlfn.XLOOKUP(fsales[[#This Row],[ProductID]],dProduct[[#All],[ProductID]],dProduct[[#All],[Price]])*fsales[[#This Row],[Units]]</f>
        <v>3354.4</v>
      </c>
      <c r="F190" s="11" t="str" cm="1">
        <f t="array" ref="F190">_xlfn.XLOOKUP(fsales[[#This Row],[ProductID]],dProduct[[#All],[ProductID]],dProduct[[#All],[Product]])</f>
        <v>Carlota</v>
      </c>
      <c r="G190" s="11" t="str" cm="1">
        <f t="array" ref="G190">_xlfn.XLOOKUP(fsales[[#This Row],[ProductID]],dProduct[[#All],[ProductID]],dProduct[[#All],[Supplier]])</f>
        <v>Gel Booms</v>
      </c>
      <c r="H190" s="11" t="str" cm="1">
        <f t="array" ref="H190">_xlfn.XLOOKUP(fsales[[#This Row],[SalesRepID]],dSalesRep[[#All],[SalesRepID]],dSalesRep[[#All],[Region]])</f>
        <v>CA</v>
      </c>
    </row>
    <row r="191" spans="1:8" x14ac:dyDescent="0.3">
      <c r="A191" s="1">
        <v>44515</v>
      </c>
      <c r="B191">
        <v>2</v>
      </c>
      <c r="C191">
        <v>4</v>
      </c>
      <c r="D191">
        <v>223</v>
      </c>
      <c r="E191" s="11" cm="1">
        <f t="array" ref="E191">_xlfn.XLOOKUP(fsales[[#This Row],[ProductID]],dProduct[[#All],[ProductID]],dProduct[[#All],[Price]])*fsales[[#This Row],[Units]]</f>
        <v>6678.8499999999995</v>
      </c>
      <c r="F191" s="11" t="str" cm="1">
        <f t="array" ref="F191">_xlfn.XLOOKUP(fsales[[#This Row],[ProductID]],dProduct[[#All],[ProductID]],dProduct[[#All],[Product]])</f>
        <v>Carlota</v>
      </c>
      <c r="G191" s="11" t="str" cm="1">
        <f t="array" ref="G191">_xlfn.XLOOKUP(fsales[[#This Row],[ProductID]],dProduct[[#All],[ProductID]],dProduct[[#All],[Supplier]])</f>
        <v>Gel Booms</v>
      </c>
      <c r="H191" s="11" t="str" cm="1">
        <f t="array" ref="H191">_xlfn.XLOOKUP(fsales[[#This Row],[SalesRepID]],dSalesRep[[#All],[SalesRepID]],dSalesRep[[#All],[Region]])</f>
        <v>WA</v>
      </c>
    </row>
    <row r="192" spans="1:8" x14ac:dyDescent="0.3">
      <c r="A192" s="1">
        <v>44697</v>
      </c>
      <c r="B192">
        <v>4</v>
      </c>
      <c r="C192">
        <v>3</v>
      </c>
      <c r="D192">
        <v>28</v>
      </c>
      <c r="E192" s="11" cm="1">
        <f t="array" ref="E192">_xlfn.XLOOKUP(fsales[[#This Row],[ProductID]],dProduct[[#All],[ProductID]],dProduct[[#All],[Price]])*fsales[[#This Row],[Units]]</f>
        <v>670.6</v>
      </c>
      <c r="F192" s="11" t="str" cm="1">
        <f t="array" ref="F192">_xlfn.XLOOKUP(fsales[[#This Row],[ProductID]],dProduct[[#All],[ProductID]],dProduct[[#All],[Product]])</f>
        <v>Yanaki</v>
      </c>
      <c r="G192" s="11" t="str" cm="1">
        <f t="array" ref="G192">_xlfn.XLOOKUP(fsales[[#This Row],[ProductID]],dProduct[[#All],[ProductID]],dProduct[[#All],[Supplier]])</f>
        <v>Colorado Booms</v>
      </c>
      <c r="H192" s="11" t="str" cm="1">
        <f t="array" ref="H192">_xlfn.XLOOKUP(fsales[[#This Row],[SalesRepID]],dSalesRep[[#All],[SalesRepID]],dSalesRep[[#All],[Region]])</f>
        <v>WA</v>
      </c>
    </row>
    <row r="193" spans="1:8" x14ac:dyDescent="0.3">
      <c r="A193" s="1">
        <v>44527</v>
      </c>
      <c r="B193">
        <v>2</v>
      </c>
      <c r="C193">
        <v>4</v>
      </c>
      <c r="D193">
        <v>89</v>
      </c>
      <c r="E193" s="11" cm="1">
        <f t="array" ref="E193">_xlfn.XLOOKUP(fsales[[#This Row],[ProductID]],dProduct[[#All],[ProductID]],dProduct[[#All],[Price]])*fsales[[#This Row],[Units]]</f>
        <v>2665.5499999999997</v>
      </c>
      <c r="F193" s="11" t="str" cm="1">
        <f t="array" ref="F193">_xlfn.XLOOKUP(fsales[[#This Row],[ProductID]],dProduct[[#All],[ProductID]],dProduct[[#All],[Product]])</f>
        <v>Carlota</v>
      </c>
      <c r="G193" s="11" t="str" cm="1">
        <f t="array" ref="G193">_xlfn.XLOOKUP(fsales[[#This Row],[ProductID]],dProduct[[#All],[ProductID]],dProduct[[#All],[Supplier]])</f>
        <v>Gel Booms</v>
      </c>
      <c r="H193" s="11" t="str" cm="1">
        <f t="array" ref="H193">_xlfn.XLOOKUP(fsales[[#This Row],[SalesRepID]],dSalesRep[[#All],[SalesRepID]],dSalesRep[[#All],[Region]])</f>
        <v>WA</v>
      </c>
    </row>
    <row r="194" spans="1:8" x14ac:dyDescent="0.3">
      <c r="A194" s="1">
        <v>45258</v>
      </c>
      <c r="B194">
        <v>2</v>
      </c>
      <c r="C194">
        <v>1</v>
      </c>
      <c r="D194">
        <v>95</v>
      </c>
      <c r="E194" s="11" cm="1">
        <f t="array" ref="E194">_xlfn.XLOOKUP(fsales[[#This Row],[ProductID]],dProduct[[#All],[ProductID]],dProduct[[#All],[Price]])*fsales[[#This Row],[Units]]</f>
        <v>2845.25</v>
      </c>
      <c r="F194" s="11" t="str" cm="1">
        <f t="array" ref="F194">_xlfn.XLOOKUP(fsales[[#This Row],[ProductID]],dProduct[[#All],[ProductID]],dProduct[[#All],[Product]])</f>
        <v>Carlota</v>
      </c>
      <c r="G194" s="11" t="str" cm="1">
        <f t="array" ref="G194">_xlfn.XLOOKUP(fsales[[#This Row],[ProductID]],dProduct[[#All],[ProductID]],dProduct[[#All],[Supplier]])</f>
        <v>Gel Booms</v>
      </c>
      <c r="H194" s="11" t="str" cm="1">
        <f t="array" ref="H194">_xlfn.XLOOKUP(fsales[[#This Row],[SalesRepID]],dSalesRep[[#All],[SalesRepID]],dSalesRep[[#All],[Region]])</f>
        <v>CA</v>
      </c>
    </row>
    <row r="195" spans="1:8" x14ac:dyDescent="0.3">
      <c r="A195" s="1">
        <v>45290</v>
      </c>
      <c r="B195">
        <v>2</v>
      </c>
      <c r="C195">
        <v>2</v>
      </c>
      <c r="D195">
        <v>141</v>
      </c>
      <c r="E195" s="11" cm="1">
        <f t="array" ref="E195">_xlfn.XLOOKUP(fsales[[#This Row],[ProductID]],dProduct[[#All],[ProductID]],dProduct[[#All],[Price]])*fsales[[#This Row],[Units]]</f>
        <v>4222.95</v>
      </c>
      <c r="F195" s="11" t="str" cm="1">
        <f t="array" ref="F195">_xlfn.XLOOKUP(fsales[[#This Row],[ProductID]],dProduct[[#All],[ProductID]],dProduct[[#All],[Product]])</f>
        <v>Carlota</v>
      </c>
      <c r="G195" s="11" t="str" cm="1">
        <f t="array" ref="G195">_xlfn.XLOOKUP(fsales[[#This Row],[ProductID]],dProduct[[#All],[ProductID]],dProduct[[#All],[Supplier]])</f>
        <v>Gel Booms</v>
      </c>
      <c r="H195" s="11" t="str" cm="1">
        <f t="array" ref="H195">_xlfn.XLOOKUP(fsales[[#This Row],[SalesRepID]],dSalesRep[[#All],[SalesRepID]],dSalesRep[[#All],[Region]])</f>
        <v>CA</v>
      </c>
    </row>
    <row r="196" spans="1:8" x14ac:dyDescent="0.3">
      <c r="A196" s="1">
        <v>45252</v>
      </c>
      <c r="B196">
        <v>2</v>
      </c>
      <c r="C196">
        <v>4</v>
      </c>
      <c r="D196">
        <v>73</v>
      </c>
      <c r="E196" s="11" cm="1">
        <f t="array" ref="E196">_xlfn.XLOOKUP(fsales[[#This Row],[ProductID]],dProduct[[#All],[ProductID]],dProduct[[#All],[Price]])*fsales[[#This Row],[Units]]</f>
        <v>2186.35</v>
      </c>
      <c r="F196" s="11" t="str" cm="1">
        <f t="array" ref="F196">_xlfn.XLOOKUP(fsales[[#This Row],[ProductID]],dProduct[[#All],[ProductID]],dProduct[[#All],[Product]])</f>
        <v>Carlota</v>
      </c>
      <c r="G196" s="11" t="str" cm="1">
        <f t="array" ref="G196">_xlfn.XLOOKUP(fsales[[#This Row],[ProductID]],dProduct[[#All],[ProductID]],dProduct[[#All],[Supplier]])</f>
        <v>Gel Booms</v>
      </c>
      <c r="H196" s="11" t="str" cm="1">
        <f t="array" ref="H196">_xlfn.XLOOKUP(fsales[[#This Row],[SalesRepID]],dSalesRep[[#All],[SalesRepID]],dSalesRep[[#All],[Region]])</f>
        <v>WA</v>
      </c>
    </row>
    <row r="197" spans="1:8" x14ac:dyDescent="0.3">
      <c r="A197" s="1">
        <v>44876</v>
      </c>
      <c r="B197">
        <v>2</v>
      </c>
      <c r="C197">
        <v>4</v>
      </c>
      <c r="D197">
        <v>5</v>
      </c>
      <c r="E197" s="11" cm="1">
        <f t="array" ref="E197">_xlfn.XLOOKUP(fsales[[#This Row],[ProductID]],dProduct[[#All],[ProductID]],dProduct[[#All],[Price]])*fsales[[#This Row],[Units]]</f>
        <v>149.75</v>
      </c>
      <c r="F197" s="11" t="str" cm="1">
        <f t="array" ref="F197">_xlfn.XLOOKUP(fsales[[#This Row],[ProductID]],dProduct[[#All],[ProductID]],dProduct[[#All],[Product]])</f>
        <v>Carlota</v>
      </c>
      <c r="G197" s="11" t="str" cm="1">
        <f t="array" ref="G197">_xlfn.XLOOKUP(fsales[[#This Row],[ProductID]],dProduct[[#All],[ProductID]],dProduct[[#All],[Supplier]])</f>
        <v>Gel Booms</v>
      </c>
      <c r="H197" s="11" t="str" cm="1">
        <f t="array" ref="H197">_xlfn.XLOOKUP(fsales[[#This Row],[SalesRepID]],dSalesRep[[#All],[SalesRepID]],dSalesRep[[#All],[Region]])</f>
        <v>WA</v>
      </c>
    </row>
    <row r="198" spans="1:8" x14ac:dyDescent="0.3">
      <c r="A198" s="1">
        <v>44527</v>
      </c>
      <c r="B198">
        <v>1</v>
      </c>
      <c r="C198">
        <v>2</v>
      </c>
      <c r="D198">
        <v>83</v>
      </c>
      <c r="E198" s="11" cm="1">
        <f t="array" ref="E198">_xlfn.XLOOKUP(fsales[[#This Row],[ProductID]],dProduct[[#All],[ProductID]],dProduct[[#All],[Price]])*fsales[[#This Row],[Units]]</f>
        <v>3647.8500000000004</v>
      </c>
      <c r="F198" s="11" t="str" cm="1">
        <f t="array" ref="F198">_xlfn.XLOOKUP(fsales[[#This Row],[ProductID]],dProduct[[#All],[ProductID]],dProduct[[#All],[Product]])</f>
        <v>Quad</v>
      </c>
      <c r="G198" s="11" t="str" cm="1">
        <f t="array" ref="G198">_xlfn.XLOOKUP(fsales[[#This Row],[ProductID]],dProduct[[#All],[ProductID]],dProduct[[#All],[Supplier]])</f>
        <v>Gel Booms</v>
      </c>
      <c r="H198" s="11" t="str" cm="1">
        <f t="array" ref="H198">_xlfn.XLOOKUP(fsales[[#This Row],[SalesRepID]],dSalesRep[[#All],[SalesRepID]],dSalesRep[[#All],[Region]])</f>
        <v>CA</v>
      </c>
    </row>
    <row r="199" spans="1:8" x14ac:dyDescent="0.3">
      <c r="A199" s="1">
        <v>45146</v>
      </c>
      <c r="B199">
        <v>2</v>
      </c>
      <c r="C199">
        <v>4</v>
      </c>
      <c r="D199">
        <v>223</v>
      </c>
      <c r="E199" s="11" cm="1">
        <f t="array" ref="E199">_xlfn.XLOOKUP(fsales[[#This Row],[ProductID]],dProduct[[#All],[ProductID]],dProduct[[#All],[Price]])*fsales[[#This Row],[Units]]</f>
        <v>6678.8499999999995</v>
      </c>
      <c r="F199" s="11" t="str" cm="1">
        <f t="array" ref="F199">_xlfn.XLOOKUP(fsales[[#This Row],[ProductID]],dProduct[[#All],[ProductID]],dProduct[[#All],[Product]])</f>
        <v>Carlota</v>
      </c>
      <c r="G199" s="11" t="str" cm="1">
        <f t="array" ref="G199">_xlfn.XLOOKUP(fsales[[#This Row],[ProductID]],dProduct[[#All],[ProductID]],dProduct[[#All],[Supplier]])</f>
        <v>Gel Booms</v>
      </c>
      <c r="H199" s="11" t="str" cm="1">
        <f t="array" ref="H199">_xlfn.XLOOKUP(fsales[[#This Row],[SalesRepID]],dSalesRep[[#All],[SalesRepID]],dSalesRep[[#All],[Region]])</f>
        <v>WA</v>
      </c>
    </row>
    <row r="200" spans="1:8" x14ac:dyDescent="0.3">
      <c r="A200" s="1">
        <v>44496</v>
      </c>
      <c r="B200">
        <v>2</v>
      </c>
      <c r="C200">
        <v>4</v>
      </c>
      <c r="D200">
        <v>87</v>
      </c>
      <c r="E200" s="11" cm="1">
        <f t="array" ref="E200">_xlfn.XLOOKUP(fsales[[#This Row],[ProductID]],dProduct[[#All],[ProductID]],dProduct[[#All],[Price]])*fsales[[#This Row],[Units]]</f>
        <v>2605.65</v>
      </c>
      <c r="F200" s="11" t="str" cm="1">
        <f t="array" ref="F200">_xlfn.XLOOKUP(fsales[[#This Row],[ProductID]],dProduct[[#All],[ProductID]],dProduct[[#All],[Product]])</f>
        <v>Carlota</v>
      </c>
      <c r="G200" s="11" t="str" cm="1">
        <f t="array" ref="G200">_xlfn.XLOOKUP(fsales[[#This Row],[ProductID]],dProduct[[#All],[ProductID]],dProduct[[#All],[Supplier]])</f>
        <v>Gel Booms</v>
      </c>
      <c r="H200" s="11" t="str" cm="1">
        <f t="array" ref="H200">_xlfn.XLOOKUP(fsales[[#This Row],[SalesRepID]],dSalesRep[[#All],[SalesRepID]],dSalesRep[[#All],[Region]])</f>
        <v>WA</v>
      </c>
    </row>
    <row r="201" spans="1:8" x14ac:dyDescent="0.3">
      <c r="A201" s="1">
        <v>44631</v>
      </c>
      <c r="B201">
        <v>2</v>
      </c>
      <c r="C201">
        <v>1</v>
      </c>
      <c r="D201">
        <v>4</v>
      </c>
      <c r="E201" s="11" cm="1">
        <f t="array" ref="E201">_xlfn.XLOOKUP(fsales[[#This Row],[ProductID]],dProduct[[#All],[ProductID]],dProduct[[#All],[Price]])*fsales[[#This Row],[Units]]</f>
        <v>119.8</v>
      </c>
      <c r="F201" s="11" t="str" cm="1">
        <f t="array" ref="F201">_xlfn.XLOOKUP(fsales[[#This Row],[ProductID]],dProduct[[#All],[ProductID]],dProduct[[#All],[Product]])</f>
        <v>Carlota</v>
      </c>
      <c r="G201" s="11" t="str" cm="1">
        <f t="array" ref="G201">_xlfn.XLOOKUP(fsales[[#This Row],[ProductID]],dProduct[[#All],[ProductID]],dProduct[[#All],[Supplier]])</f>
        <v>Gel Booms</v>
      </c>
      <c r="H201" s="11" t="str" cm="1">
        <f t="array" ref="H201">_xlfn.XLOOKUP(fsales[[#This Row],[SalesRepID]],dSalesRep[[#All],[SalesRepID]],dSalesRep[[#All],[Region]])</f>
        <v>CA</v>
      </c>
    </row>
    <row r="202" spans="1:8" x14ac:dyDescent="0.3">
      <c r="A202" s="1">
        <v>45282</v>
      </c>
      <c r="B202">
        <v>2</v>
      </c>
      <c r="C202">
        <v>4</v>
      </c>
      <c r="D202">
        <v>286</v>
      </c>
      <c r="E202" s="11" cm="1">
        <f t="array" ref="E202">_xlfn.XLOOKUP(fsales[[#This Row],[ProductID]],dProduct[[#All],[ProductID]],dProduct[[#All],[Price]])*fsales[[#This Row],[Units]]</f>
        <v>8565.6999999999989</v>
      </c>
      <c r="F202" s="11" t="str" cm="1">
        <f t="array" ref="F202">_xlfn.XLOOKUP(fsales[[#This Row],[ProductID]],dProduct[[#All],[ProductID]],dProduct[[#All],[Product]])</f>
        <v>Carlota</v>
      </c>
      <c r="G202" s="11" t="str" cm="1">
        <f t="array" ref="G202">_xlfn.XLOOKUP(fsales[[#This Row],[ProductID]],dProduct[[#All],[ProductID]],dProduct[[#All],[Supplier]])</f>
        <v>Gel Booms</v>
      </c>
      <c r="H202" s="11" t="str" cm="1">
        <f t="array" ref="H202">_xlfn.XLOOKUP(fsales[[#This Row],[SalesRepID]],dSalesRep[[#All],[SalesRepID]],dSalesRep[[#All],[Region]])</f>
        <v>WA</v>
      </c>
    </row>
    <row r="203" spans="1:8" x14ac:dyDescent="0.3">
      <c r="A203" s="1">
        <v>44449</v>
      </c>
      <c r="B203">
        <v>1</v>
      </c>
      <c r="C203">
        <v>2</v>
      </c>
      <c r="D203">
        <v>86</v>
      </c>
      <c r="E203" s="11" cm="1">
        <f t="array" ref="E203">_xlfn.XLOOKUP(fsales[[#This Row],[ProductID]],dProduct[[#All],[ProductID]],dProduct[[#All],[Price]])*fsales[[#This Row],[Units]]</f>
        <v>3779.7000000000003</v>
      </c>
      <c r="F203" s="11" t="str" cm="1">
        <f t="array" ref="F203">_xlfn.XLOOKUP(fsales[[#This Row],[ProductID]],dProduct[[#All],[ProductID]],dProduct[[#All],[Product]])</f>
        <v>Quad</v>
      </c>
      <c r="G203" s="11" t="str" cm="1">
        <f t="array" ref="G203">_xlfn.XLOOKUP(fsales[[#This Row],[ProductID]],dProduct[[#All],[ProductID]],dProduct[[#All],[Supplier]])</f>
        <v>Gel Booms</v>
      </c>
      <c r="H203" s="11" t="str" cm="1">
        <f t="array" ref="H203">_xlfn.XLOOKUP(fsales[[#This Row],[SalesRepID]],dSalesRep[[#All],[SalesRepID]],dSalesRep[[#All],[Region]])</f>
        <v>CA</v>
      </c>
    </row>
    <row r="204" spans="1:8" x14ac:dyDescent="0.3">
      <c r="A204" s="1">
        <v>44512</v>
      </c>
      <c r="B204">
        <v>2</v>
      </c>
      <c r="C204">
        <v>4</v>
      </c>
      <c r="D204">
        <v>6</v>
      </c>
      <c r="E204" s="11" cm="1">
        <f t="array" ref="E204">_xlfn.XLOOKUP(fsales[[#This Row],[ProductID]],dProduct[[#All],[ProductID]],dProduct[[#All],[Price]])*fsales[[#This Row],[Units]]</f>
        <v>179.7</v>
      </c>
      <c r="F204" s="11" t="str" cm="1">
        <f t="array" ref="F204">_xlfn.XLOOKUP(fsales[[#This Row],[ProductID]],dProduct[[#All],[ProductID]],dProduct[[#All],[Product]])</f>
        <v>Carlota</v>
      </c>
      <c r="G204" s="11" t="str" cm="1">
        <f t="array" ref="G204">_xlfn.XLOOKUP(fsales[[#This Row],[ProductID]],dProduct[[#All],[ProductID]],dProduct[[#All],[Supplier]])</f>
        <v>Gel Booms</v>
      </c>
      <c r="H204" s="11" t="str" cm="1">
        <f t="array" ref="H204">_xlfn.XLOOKUP(fsales[[#This Row],[SalesRepID]],dSalesRep[[#All],[SalesRepID]],dSalesRep[[#All],[Region]])</f>
        <v>WA</v>
      </c>
    </row>
    <row r="205" spans="1:8" x14ac:dyDescent="0.3">
      <c r="A205" s="1">
        <v>44392</v>
      </c>
      <c r="B205">
        <v>2</v>
      </c>
      <c r="C205">
        <v>2</v>
      </c>
      <c r="D205">
        <v>5</v>
      </c>
      <c r="E205" s="11" cm="1">
        <f t="array" ref="E205">_xlfn.XLOOKUP(fsales[[#This Row],[ProductID]],dProduct[[#All],[ProductID]],dProduct[[#All],[Price]])*fsales[[#This Row],[Units]]</f>
        <v>149.75</v>
      </c>
      <c r="F205" s="11" t="str" cm="1">
        <f t="array" ref="F205">_xlfn.XLOOKUP(fsales[[#This Row],[ProductID]],dProduct[[#All],[ProductID]],dProduct[[#All],[Product]])</f>
        <v>Carlota</v>
      </c>
      <c r="G205" s="11" t="str" cm="1">
        <f t="array" ref="G205">_xlfn.XLOOKUP(fsales[[#This Row],[ProductID]],dProduct[[#All],[ProductID]],dProduct[[#All],[Supplier]])</f>
        <v>Gel Booms</v>
      </c>
      <c r="H205" s="11" t="str" cm="1">
        <f t="array" ref="H205">_xlfn.XLOOKUP(fsales[[#This Row],[SalesRepID]],dSalesRep[[#All],[SalesRepID]],dSalesRep[[#All],[Region]])</f>
        <v>CA</v>
      </c>
    </row>
    <row r="206" spans="1:8" x14ac:dyDescent="0.3">
      <c r="A206" s="1">
        <v>44358</v>
      </c>
      <c r="B206">
        <v>2</v>
      </c>
      <c r="C206">
        <v>4</v>
      </c>
      <c r="D206">
        <v>92</v>
      </c>
      <c r="E206" s="11" cm="1">
        <f t="array" ref="E206">_xlfn.XLOOKUP(fsales[[#This Row],[ProductID]],dProduct[[#All],[ProductID]],dProduct[[#All],[Price]])*fsales[[#This Row],[Units]]</f>
        <v>2755.4</v>
      </c>
      <c r="F206" s="11" t="str" cm="1">
        <f t="array" ref="F206">_xlfn.XLOOKUP(fsales[[#This Row],[ProductID]],dProduct[[#All],[ProductID]],dProduct[[#All],[Product]])</f>
        <v>Carlota</v>
      </c>
      <c r="G206" s="11" t="str" cm="1">
        <f t="array" ref="G206">_xlfn.XLOOKUP(fsales[[#This Row],[ProductID]],dProduct[[#All],[ProductID]],dProduct[[#All],[Supplier]])</f>
        <v>Gel Booms</v>
      </c>
      <c r="H206" s="11" t="str" cm="1">
        <f t="array" ref="H206">_xlfn.XLOOKUP(fsales[[#This Row],[SalesRepID]],dSalesRep[[#All],[SalesRepID]],dSalesRep[[#All],[Region]])</f>
        <v>WA</v>
      </c>
    </row>
    <row r="207" spans="1:8" x14ac:dyDescent="0.3">
      <c r="A207" s="1">
        <v>45025</v>
      </c>
      <c r="B207">
        <v>2</v>
      </c>
      <c r="C207">
        <v>2</v>
      </c>
      <c r="D207">
        <v>4</v>
      </c>
      <c r="E207" s="11" cm="1">
        <f t="array" ref="E207">_xlfn.XLOOKUP(fsales[[#This Row],[ProductID]],dProduct[[#All],[ProductID]],dProduct[[#All],[Price]])*fsales[[#This Row],[Units]]</f>
        <v>119.8</v>
      </c>
      <c r="F207" s="11" t="str" cm="1">
        <f t="array" ref="F207">_xlfn.XLOOKUP(fsales[[#This Row],[ProductID]],dProduct[[#All],[ProductID]],dProduct[[#All],[Product]])</f>
        <v>Carlota</v>
      </c>
      <c r="G207" s="11" t="str" cm="1">
        <f t="array" ref="G207">_xlfn.XLOOKUP(fsales[[#This Row],[ProductID]],dProduct[[#All],[ProductID]],dProduct[[#All],[Supplier]])</f>
        <v>Gel Booms</v>
      </c>
      <c r="H207" s="11" t="str" cm="1">
        <f t="array" ref="H207">_xlfn.XLOOKUP(fsales[[#This Row],[SalesRepID]],dSalesRep[[#All],[SalesRepID]],dSalesRep[[#All],[Region]])</f>
        <v>CA</v>
      </c>
    </row>
    <row r="208" spans="1:8" x14ac:dyDescent="0.3">
      <c r="A208" s="1">
        <v>45254</v>
      </c>
      <c r="B208">
        <v>2</v>
      </c>
      <c r="C208">
        <v>2</v>
      </c>
      <c r="D208">
        <v>6</v>
      </c>
      <c r="E208" s="11" cm="1">
        <f t="array" ref="E208">_xlfn.XLOOKUP(fsales[[#This Row],[ProductID]],dProduct[[#All],[ProductID]],dProduct[[#All],[Price]])*fsales[[#This Row],[Units]]</f>
        <v>179.7</v>
      </c>
      <c r="F208" s="11" t="str" cm="1">
        <f t="array" ref="F208">_xlfn.XLOOKUP(fsales[[#This Row],[ProductID]],dProduct[[#All],[ProductID]],dProduct[[#All],[Product]])</f>
        <v>Carlota</v>
      </c>
      <c r="G208" s="11" t="str" cm="1">
        <f t="array" ref="G208">_xlfn.XLOOKUP(fsales[[#This Row],[ProductID]],dProduct[[#All],[ProductID]],dProduct[[#All],[Supplier]])</f>
        <v>Gel Booms</v>
      </c>
      <c r="H208" s="11" t="str" cm="1">
        <f t="array" ref="H208">_xlfn.XLOOKUP(fsales[[#This Row],[SalesRepID]],dSalesRep[[#All],[SalesRepID]],dSalesRep[[#All],[Region]])</f>
        <v>CA</v>
      </c>
    </row>
    <row r="209" spans="1:8" x14ac:dyDescent="0.3">
      <c r="A209" s="1">
        <v>44709</v>
      </c>
      <c r="B209">
        <v>3</v>
      </c>
      <c r="C209">
        <v>4</v>
      </c>
      <c r="D209">
        <v>4</v>
      </c>
      <c r="E209" s="11" cm="1">
        <f t="array" ref="E209">_xlfn.XLOOKUP(fsales[[#This Row],[ProductID]],dProduct[[#All],[ProductID]],dProduct[[#All],[Price]])*fsales[[#This Row],[Units]]</f>
        <v>103.8</v>
      </c>
      <c r="F209" s="11" t="str" cm="1">
        <f t="array" ref="F209">_xlfn.XLOOKUP(fsales[[#This Row],[ProductID]],dProduct[[#All],[ProductID]],dProduct[[#All],[Product]])</f>
        <v>Aspen</v>
      </c>
      <c r="G209" s="11" t="str" cm="1">
        <f t="array" ref="G209">_xlfn.XLOOKUP(fsales[[#This Row],[ProductID]],dProduct[[#All],[ProductID]],dProduct[[#All],[Supplier]])</f>
        <v>Colorado Booms</v>
      </c>
      <c r="H209" s="11" t="str" cm="1">
        <f t="array" ref="H209">_xlfn.XLOOKUP(fsales[[#This Row],[SalesRepID]],dSalesRep[[#All],[SalesRepID]],dSalesRep[[#All],[Region]])</f>
        <v>WA</v>
      </c>
    </row>
    <row r="210" spans="1:8" x14ac:dyDescent="0.3">
      <c r="A210" s="1">
        <v>45017</v>
      </c>
      <c r="B210">
        <v>1</v>
      </c>
      <c r="C210">
        <v>1</v>
      </c>
      <c r="D210">
        <v>185</v>
      </c>
      <c r="E210" s="11" cm="1">
        <f t="array" ref="E210">_xlfn.XLOOKUP(fsales[[#This Row],[ProductID]],dProduct[[#All],[ProductID]],dProduct[[#All],[Price]])*fsales[[#This Row],[Units]]</f>
        <v>8130.7500000000009</v>
      </c>
      <c r="F210" s="11" t="str" cm="1">
        <f t="array" ref="F210">_xlfn.XLOOKUP(fsales[[#This Row],[ProductID]],dProduct[[#All],[ProductID]],dProduct[[#All],[Product]])</f>
        <v>Quad</v>
      </c>
      <c r="G210" s="11" t="str" cm="1">
        <f t="array" ref="G210">_xlfn.XLOOKUP(fsales[[#This Row],[ProductID]],dProduct[[#All],[ProductID]],dProduct[[#All],[Supplier]])</f>
        <v>Gel Booms</v>
      </c>
      <c r="H210" s="11" t="str" cm="1">
        <f t="array" ref="H210">_xlfn.XLOOKUP(fsales[[#This Row],[SalesRepID]],dSalesRep[[#All],[SalesRepID]],dSalesRep[[#All],[Region]])</f>
        <v>CA</v>
      </c>
    </row>
    <row r="211" spans="1:8" x14ac:dyDescent="0.3">
      <c r="A211" s="1">
        <v>44715</v>
      </c>
      <c r="B211">
        <v>3</v>
      </c>
      <c r="C211">
        <v>1</v>
      </c>
      <c r="D211">
        <v>61</v>
      </c>
      <c r="E211" s="11" cm="1">
        <f t="array" ref="E211">_xlfn.XLOOKUP(fsales[[#This Row],[ProductID]],dProduct[[#All],[ProductID]],dProduct[[#All],[Price]])*fsales[[#This Row],[Units]]</f>
        <v>1582.95</v>
      </c>
      <c r="F211" s="11" t="str" cm="1">
        <f t="array" ref="F211">_xlfn.XLOOKUP(fsales[[#This Row],[ProductID]],dProduct[[#All],[ProductID]],dProduct[[#All],[Product]])</f>
        <v>Aspen</v>
      </c>
      <c r="G211" s="11" t="str" cm="1">
        <f t="array" ref="G211">_xlfn.XLOOKUP(fsales[[#This Row],[ProductID]],dProduct[[#All],[ProductID]],dProduct[[#All],[Supplier]])</f>
        <v>Colorado Booms</v>
      </c>
      <c r="H211" s="11" t="str" cm="1">
        <f t="array" ref="H211">_xlfn.XLOOKUP(fsales[[#This Row],[SalesRepID]],dSalesRep[[#All],[SalesRepID]],dSalesRep[[#All],[Region]])</f>
        <v>CA</v>
      </c>
    </row>
    <row r="212" spans="1:8" x14ac:dyDescent="0.3">
      <c r="A212" s="1">
        <v>44921</v>
      </c>
      <c r="B212">
        <v>3</v>
      </c>
      <c r="C212">
        <v>2</v>
      </c>
      <c r="D212">
        <v>98</v>
      </c>
      <c r="E212" s="11" cm="1">
        <f t="array" ref="E212">_xlfn.XLOOKUP(fsales[[#This Row],[ProductID]],dProduct[[#All],[ProductID]],dProduct[[#All],[Price]])*fsales[[#This Row],[Units]]</f>
        <v>2543.1</v>
      </c>
      <c r="F212" s="11" t="str" cm="1">
        <f t="array" ref="F212">_xlfn.XLOOKUP(fsales[[#This Row],[ProductID]],dProduct[[#All],[ProductID]],dProduct[[#All],[Product]])</f>
        <v>Aspen</v>
      </c>
      <c r="G212" s="11" t="str" cm="1">
        <f t="array" ref="G212">_xlfn.XLOOKUP(fsales[[#This Row],[ProductID]],dProduct[[#All],[ProductID]],dProduct[[#All],[Supplier]])</f>
        <v>Colorado Booms</v>
      </c>
      <c r="H212" s="11" t="str" cm="1">
        <f t="array" ref="H212">_xlfn.XLOOKUP(fsales[[#This Row],[SalesRepID]],dSalesRep[[#All],[SalesRepID]],dSalesRep[[#All],[Region]])</f>
        <v>CA</v>
      </c>
    </row>
    <row r="213" spans="1:8" x14ac:dyDescent="0.3">
      <c r="A213" s="1">
        <v>44890</v>
      </c>
      <c r="B213">
        <v>2</v>
      </c>
      <c r="C213">
        <v>2</v>
      </c>
      <c r="D213">
        <v>56</v>
      </c>
      <c r="E213" s="11" cm="1">
        <f t="array" ref="E213">_xlfn.XLOOKUP(fsales[[#This Row],[ProductID]],dProduct[[#All],[ProductID]],dProduct[[#All],[Price]])*fsales[[#This Row],[Units]]</f>
        <v>1677.2</v>
      </c>
      <c r="F213" s="11" t="str" cm="1">
        <f t="array" ref="F213">_xlfn.XLOOKUP(fsales[[#This Row],[ProductID]],dProduct[[#All],[ProductID]],dProduct[[#All],[Product]])</f>
        <v>Carlota</v>
      </c>
      <c r="G213" s="11" t="str" cm="1">
        <f t="array" ref="G213">_xlfn.XLOOKUP(fsales[[#This Row],[ProductID]],dProduct[[#All],[ProductID]],dProduct[[#All],[Supplier]])</f>
        <v>Gel Booms</v>
      </c>
      <c r="H213" s="11" t="str" cm="1">
        <f t="array" ref="H213">_xlfn.XLOOKUP(fsales[[#This Row],[SalesRepID]],dSalesRep[[#All],[SalesRepID]],dSalesRep[[#All],[Region]])</f>
        <v>CA</v>
      </c>
    </row>
    <row r="214" spans="1:8" x14ac:dyDescent="0.3">
      <c r="A214" s="1">
        <v>44225</v>
      </c>
      <c r="B214">
        <v>1</v>
      </c>
      <c r="C214">
        <v>4</v>
      </c>
      <c r="D214">
        <v>108</v>
      </c>
      <c r="E214" s="11" cm="1">
        <f t="array" ref="E214">_xlfn.XLOOKUP(fsales[[#This Row],[ProductID]],dProduct[[#All],[ProductID]],dProduct[[#All],[Price]])*fsales[[#This Row],[Units]]</f>
        <v>4746.6000000000004</v>
      </c>
      <c r="F214" s="11" t="str" cm="1">
        <f t="array" ref="F214">_xlfn.XLOOKUP(fsales[[#This Row],[ProductID]],dProduct[[#All],[ProductID]],dProduct[[#All],[Product]])</f>
        <v>Quad</v>
      </c>
      <c r="G214" s="11" t="str" cm="1">
        <f t="array" ref="G214">_xlfn.XLOOKUP(fsales[[#This Row],[ProductID]],dProduct[[#All],[ProductID]],dProduct[[#All],[Supplier]])</f>
        <v>Gel Booms</v>
      </c>
      <c r="H214" s="11" t="str" cm="1">
        <f t="array" ref="H214">_xlfn.XLOOKUP(fsales[[#This Row],[SalesRepID]],dSalesRep[[#All],[SalesRepID]],dSalesRep[[#All],[Region]])</f>
        <v>WA</v>
      </c>
    </row>
    <row r="215" spans="1:8" x14ac:dyDescent="0.3">
      <c r="A215" s="1">
        <v>44841</v>
      </c>
      <c r="B215">
        <v>1</v>
      </c>
      <c r="C215">
        <v>1</v>
      </c>
      <c r="D215">
        <v>6</v>
      </c>
      <c r="E215" s="11" cm="1">
        <f t="array" ref="E215">_xlfn.XLOOKUP(fsales[[#This Row],[ProductID]],dProduct[[#All],[ProductID]],dProduct[[#All],[Price]])*fsales[[#This Row],[Units]]</f>
        <v>263.70000000000005</v>
      </c>
      <c r="F215" s="11" t="str" cm="1">
        <f t="array" ref="F215">_xlfn.XLOOKUP(fsales[[#This Row],[ProductID]],dProduct[[#All],[ProductID]],dProduct[[#All],[Product]])</f>
        <v>Quad</v>
      </c>
      <c r="G215" s="11" t="str" cm="1">
        <f t="array" ref="G215">_xlfn.XLOOKUP(fsales[[#This Row],[ProductID]],dProduct[[#All],[ProductID]],dProduct[[#All],[Supplier]])</f>
        <v>Gel Booms</v>
      </c>
      <c r="H215" s="11" t="str" cm="1">
        <f t="array" ref="H215">_xlfn.XLOOKUP(fsales[[#This Row],[SalesRepID]],dSalesRep[[#All],[SalesRepID]],dSalesRep[[#All],[Region]])</f>
        <v>CA</v>
      </c>
    </row>
    <row r="216" spans="1:8" x14ac:dyDescent="0.3">
      <c r="A216" s="1">
        <v>44907</v>
      </c>
      <c r="B216">
        <v>2</v>
      </c>
      <c r="C216">
        <v>2</v>
      </c>
      <c r="D216">
        <v>5</v>
      </c>
      <c r="E216" s="11" cm="1">
        <f t="array" ref="E216">_xlfn.XLOOKUP(fsales[[#This Row],[ProductID]],dProduct[[#All],[ProductID]],dProduct[[#All],[Price]])*fsales[[#This Row],[Units]]</f>
        <v>149.75</v>
      </c>
      <c r="F216" s="11" t="str" cm="1">
        <f t="array" ref="F216">_xlfn.XLOOKUP(fsales[[#This Row],[ProductID]],dProduct[[#All],[ProductID]],dProduct[[#All],[Product]])</f>
        <v>Carlota</v>
      </c>
      <c r="G216" s="11" t="str" cm="1">
        <f t="array" ref="G216">_xlfn.XLOOKUP(fsales[[#This Row],[ProductID]],dProduct[[#All],[ProductID]],dProduct[[#All],[Supplier]])</f>
        <v>Gel Booms</v>
      </c>
      <c r="H216" s="11" t="str" cm="1">
        <f t="array" ref="H216">_xlfn.XLOOKUP(fsales[[#This Row],[SalesRepID]],dSalesRep[[#All],[SalesRepID]],dSalesRep[[#All],[Region]])</f>
        <v>CA</v>
      </c>
    </row>
    <row r="217" spans="1:8" x14ac:dyDescent="0.3">
      <c r="A217" s="1">
        <v>44924</v>
      </c>
      <c r="B217">
        <v>2</v>
      </c>
      <c r="C217">
        <v>1</v>
      </c>
      <c r="D217">
        <v>148</v>
      </c>
      <c r="E217" s="11" cm="1">
        <f t="array" ref="E217">_xlfn.XLOOKUP(fsales[[#This Row],[ProductID]],dProduct[[#All],[ProductID]],dProduct[[#All],[Price]])*fsales[[#This Row],[Units]]</f>
        <v>4432.5999999999995</v>
      </c>
      <c r="F217" s="11" t="str" cm="1">
        <f t="array" ref="F217">_xlfn.XLOOKUP(fsales[[#This Row],[ProductID]],dProduct[[#All],[ProductID]],dProduct[[#All],[Product]])</f>
        <v>Carlota</v>
      </c>
      <c r="G217" s="11" t="str" cm="1">
        <f t="array" ref="G217">_xlfn.XLOOKUP(fsales[[#This Row],[ProductID]],dProduct[[#All],[ProductID]],dProduct[[#All],[Supplier]])</f>
        <v>Gel Booms</v>
      </c>
      <c r="H217" s="11" t="str" cm="1">
        <f t="array" ref="H217">_xlfn.XLOOKUP(fsales[[#This Row],[SalesRepID]],dSalesRep[[#All],[SalesRepID]],dSalesRep[[#All],[Region]])</f>
        <v>CA</v>
      </c>
    </row>
    <row r="218" spans="1:8" x14ac:dyDescent="0.3">
      <c r="A218" s="1">
        <v>44503</v>
      </c>
      <c r="B218">
        <v>2</v>
      </c>
      <c r="C218">
        <v>2</v>
      </c>
      <c r="D218">
        <v>251</v>
      </c>
      <c r="E218" s="11" cm="1">
        <f t="array" ref="E218">_xlfn.XLOOKUP(fsales[[#This Row],[ProductID]],dProduct[[#All],[ProductID]],dProduct[[#All],[Price]])*fsales[[#This Row],[Units]]</f>
        <v>7517.45</v>
      </c>
      <c r="F218" s="11" t="str" cm="1">
        <f t="array" ref="F218">_xlfn.XLOOKUP(fsales[[#This Row],[ProductID]],dProduct[[#All],[ProductID]],dProduct[[#All],[Product]])</f>
        <v>Carlota</v>
      </c>
      <c r="G218" s="11" t="str" cm="1">
        <f t="array" ref="G218">_xlfn.XLOOKUP(fsales[[#This Row],[ProductID]],dProduct[[#All],[ProductID]],dProduct[[#All],[Supplier]])</f>
        <v>Gel Booms</v>
      </c>
      <c r="H218" s="11" t="str" cm="1">
        <f t="array" ref="H218">_xlfn.XLOOKUP(fsales[[#This Row],[SalesRepID]],dSalesRep[[#All],[SalesRepID]],dSalesRep[[#All],[Region]])</f>
        <v>CA</v>
      </c>
    </row>
    <row r="219" spans="1:8" x14ac:dyDescent="0.3">
      <c r="A219" s="1">
        <v>44893</v>
      </c>
      <c r="B219">
        <v>2</v>
      </c>
      <c r="C219">
        <v>2</v>
      </c>
      <c r="D219">
        <v>82</v>
      </c>
      <c r="E219" s="11" cm="1">
        <f t="array" ref="E219">_xlfn.XLOOKUP(fsales[[#This Row],[ProductID]],dProduct[[#All],[ProductID]],dProduct[[#All],[Price]])*fsales[[#This Row],[Units]]</f>
        <v>2455.9</v>
      </c>
      <c r="F219" s="11" t="str" cm="1">
        <f t="array" ref="F219">_xlfn.XLOOKUP(fsales[[#This Row],[ProductID]],dProduct[[#All],[ProductID]],dProduct[[#All],[Product]])</f>
        <v>Carlota</v>
      </c>
      <c r="G219" s="11" t="str" cm="1">
        <f t="array" ref="G219">_xlfn.XLOOKUP(fsales[[#This Row],[ProductID]],dProduct[[#All],[ProductID]],dProduct[[#All],[Supplier]])</f>
        <v>Gel Booms</v>
      </c>
      <c r="H219" s="11" t="str" cm="1">
        <f t="array" ref="H219">_xlfn.XLOOKUP(fsales[[#This Row],[SalesRepID]],dSalesRep[[#All],[SalesRepID]],dSalesRep[[#All],[Region]])</f>
        <v>CA</v>
      </c>
    </row>
    <row r="220" spans="1:8" x14ac:dyDescent="0.3">
      <c r="A220" s="1">
        <v>44734</v>
      </c>
      <c r="B220">
        <v>2</v>
      </c>
      <c r="C220">
        <v>4</v>
      </c>
      <c r="D220">
        <v>100</v>
      </c>
      <c r="E220" s="11" cm="1">
        <f t="array" ref="E220">_xlfn.XLOOKUP(fsales[[#This Row],[ProductID]],dProduct[[#All],[ProductID]],dProduct[[#All],[Price]])*fsales[[#This Row],[Units]]</f>
        <v>2995</v>
      </c>
      <c r="F220" s="11" t="str" cm="1">
        <f t="array" ref="F220">_xlfn.XLOOKUP(fsales[[#This Row],[ProductID]],dProduct[[#All],[ProductID]],dProduct[[#All],[Product]])</f>
        <v>Carlota</v>
      </c>
      <c r="G220" s="11" t="str" cm="1">
        <f t="array" ref="G220">_xlfn.XLOOKUP(fsales[[#This Row],[ProductID]],dProduct[[#All],[ProductID]],dProduct[[#All],[Supplier]])</f>
        <v>Gel Booms</v>
      </c>
      <c r="H220" s="11" t="str" cm="1">
        <f t="array" ref="H220">_xlfn.XLOOKUP(fsales[[#This Row],[SalesRepID]],dSalesRep[[#All],[SalesRepID]],dSalesRep[[#All],[Region]])</f>
        <v>WA</v>
      </c>
    </row>
    <row r="221" spans="1:8" x14ac:dyDescent="0.3">
      <c r="A221" s="1">
        <v>44528</v>
      </c>
      <c r="B221">
        <v>2</v>
      </c>
      <c r="C221">
        <v>2</v>
      </c>
      <c r="D221">
        <v>244</v>
      </c>
      <c r="E221" s="11" cm="1">
        <f t="array" ref="E221">_xlfn.XLOOKUP(fsales[[#This Row],[ProductID]],dProduct[[#All],[ProductID]],dProduct[[#All],[Price]])*fsales[[#This Row],[Units]]</f>
        <v>7307.8</v>
      </c>
      <c r="F221" s="11" t="str" cm="1">
        <f t="array" ref="F221">_xlfn.XLOOKUP(fsales[[#This Row],[ProductID]],dProduct[[#All],[ProductID]],dProduct[[#All],[Product]])</f>
        <v>Carlota</v>
      </c>
      <c r="G221" s="11" t="str" cm="1">
        <f t="array" ref="G221">_xlfn.XLOOKUP(fsales[[#This Row],[ProductID]],dProduct[[#All],[ProductID]],dProduct[[#All],[Supplier]])</f>
        <v>Gel Booms</v>
      </c>
      <c r="H221" s="11" t="str" cm="1">
        <f t="array" ref="H221">_xlfn.XLOOKUP(fsales[[#This Row],[SalesRepID]],dSalesRep[[#All],[SalesRepID]],dSalesRep[[#All],[Region]])</f>
        <v>CA</v>
      </c>
    </row>
    <row r="222" spans="1:8" x14ac:dyDescent="0.3">
      <c r="A222" s="1">
        <v>44881</v>
      </c>
      <c r="B222">
        <v>2</v>
      </c>
      <c r="C222">
        <v>4</v>
      </c>
      <c r="D222">
        <v>3</v>
      </c>
      <c r="E222" s="11" cm="1">
        <f t="array" ref="E222">_xlfn.XLOOKUP(fsales[[#This Row],[ProductID]],dProduct[[#All],[ProductID]],dProduct[[#All],[Price]])*fsales[[#This Row],[Units]]</f>
        <v>89.85</v>
      </c>
      <c r="F222" s="11" t="str" cm="1">
        <f t="array" ref="F222">_xlfn.XLOOKUP(fsales[[#This Row],[ProductID]],dProduct[[#All],[ProductID]],dProduct[[#All],[Product]])</f>
        <v>Carlota</v>
      </c>
      <c r="G222" s="11" t="str" cm="1">
        <f t="array" ref="G222">_xlfn.XLOOKUP(fsales[[#This Row],[ProductID]],dProduct[[#All],[ProductID]],dProduct[[#All],[Supplier]])</f>
        <v>Gel Booms</v>
      </c>
      <c r="H222" s="11" t="str" cm="1">
        <f t="array" ref="H222">_xlfn.XLOOKUP(fsales[[#This Row],[SalesRepID]],dSalesRep[[#All],[SalesRepID]],dSalesRep[[#All],[Region]])</f>
        <v>WA</v>
      </c>
    </row>
    <row r="223" spans="1:8" x14ac:dyDescent="0.3">
      <c r="A223" s="1">
        <v>44726</v>
      </c>
      <c r="B223">
        <v>2</v>
      </c>
      <c r="C223">
        <v>4</v>
      </c>
      <c r="D223">
        <v>1</v>
      </c>
      <c r="E223" s="11" cm="1">
        <f t="array" ref="E223">_xlfn.XLOOKUP(fsales[[#This Row],[ProductID]],dProduct[[#All],[ProductID]],dProduct[[#All],[Price]])*fsales[[#This Row],[Units]]</f>
        <v>29.95</v>
      </c>
      <c r="F223" s="11" t="str" cm="1">
        <f t="array" ref="F223">_xlfn.XLOOKUP(fsales[[#This Row],[ProductID]],dProduct[[#All],[ProductID]],dProduct[[#All],[Product]])</f>
        <v>Carlota</v>
      </c>
      <c r="G223" s="11" t="str" cm="1">
        <f t="array" ref="G223">_xlfn.XLOOKUP(fsales[[#This Row],[ProductID]],dProduct[[#All],[ProductID]],dProduct[[#All],[Supplier]])</f>
        <v>Gel Booms</v>
      </c>
      <c r="H223" s="11" t="str" cm="1">
        <f t="array" ref="H223">_xlfn.XLOOKUP(fsales[[#This Row],[SalesRepID]],dSalesRep[[#All],[SalesRepID]],dSalesRep[[#All],[Region]])</f>
        <v>WA</v>
      </c>
    </row>
    <row r="224" spans="1:8" x14ac:dyDescent="0.3">
      <c r="A224" s="1">
        <v>44426</v>
      </c>
      <c r="B224">
        <v>2</v>
      </c>
      <c r="C224">
        <v>4</v>
      </c>
      <c r="D224">
        <v>2</v>
      </c>
      <c r="E224" s="11" cm="1">
        <f t="array" ref="E224">_xlfn.XLOOKUP(fsales[[#This Row],[ProductID]],dProduct[[#All],[ProductID]],dProduct[[#All],[Price]])*fsales[[#This Row],[Units]]</f>
        <v>59.9</v>
      </c>
      <c r="F224" s="11" t="str" cm="1">
        <f t="array" ref="F224">_xlfn.XLOOKUP(fsales[[#This Row],[ProductID]],dProduct[[#All],[ProductID]],dProduct[[#All],[Product]])</f>
        <v>Carlota</v>
      </c>
      <c r="G224" s="11" t="str" cm="1">
        <f t="array" ref="G224">_xlfn.XLOOKUP(fsales[[#This Row],[ProductID]],dProduct[[#All],[ProductID]],dProduct[[#All],[Supplier]])</f>
        <v>Gel Booms</v>
      </c>
      <c r="H224" s="11" t="str" cm="1">
        <f t="array" ref="H224">_xlfn.XLOOKUP(fsales[[#This Row],[SalesRepID]],dSalesRep[[#All],[SalesRepID]],dSalesRep[[#All],[Region]])</f>
        <v>WA</v>
      </c>
    </row>
    <row r="225" spans="1:8" x14ac:dyDescent="0.3">
      <c r="A225" s="1">
        <v>44894</v>
      </c>
      <c r="B225">
        <v>3</v>
      </c>
      <c r="C225">
        <v>4</v>
      </c>
      <c r="D225">
        <v>209</v>
      </c>
      <c r="E225" s="11" cm="1">
        <f t="array" ref="E225">_xlfn.XLOOKUP(fsales[[#This Row],[ProductID]],dProduct[[#All],[ProductID]],dProduct[[#All],[Price]])*fsales[[#This Row],[Units]]</f>
        <v>5423.55</v>
      </c>
      <c r="F225" s="11" t="str" cm="1">
        <f t="array" ref="F225">_xlfn.XLOOKUP(fsales[[#This Row],[ProductID]],dProduct[[#All],[ProductID]],dProduct[[#All],[Product]])</f>
        <v>Aspen</v>
      </c>
      <c r="G225" s="11" t="str" cm="1">
        <f t="array" ref="G225">_xlfn.XLOOKUP(fsales[[#This Row],[ProductID]],dProduct[[#All],[ProductID]],dProduct[[#All],[Supplier]])</f>
        <v>Colorado Booms</v>
      </c>
      <c r="H225" s="11" t="str" cm="1">
        <f t="array" ref="H225">_xlfn.XLOOKUP(fsales[[#This Row],[SalesRepID]],dSalesRep[[#All],[SalesRepID]],dSalesRep[[#All],[Region]])</f>
        <v>WA</v>
      </c>
    </row>
    <row r="226" spans="1:8" x14ac:dyDescent="0.3">
      <c r="A226" s="1">
        <v>44546</v>
      </c>
      <c r="B226">
        <v>2</v>
      </c>
      <c r="C226">
        <v>2</v>
      </c>
      <c r="D226">
        <v>100</v>
      </c>
      <c r="E226" s="11" cm="1">
        <f t="array" ref="E226">_xlfn.XLOOKUP(fsales[[#This Row],[ProductID]],dProduct[[#All],[ProductID]],dProduct[[#All],[Price]])*fsales[[#This Row],[Units]]</f>
        <v>2995</v>
      </c>
      <c r="F226" s="11" t="str" cm="1">
        <f t="array" ref="F226">_xlfn.XLOOKUP(fsales[[#This Row],[ProductID]],dProduct[[#All],[ProductID]],dProduct[[#All],[Product]])</f>
        <v>Carlota</v>
      </c>
      <c r="G226" s="11" t="str" cm="1">
        <f t="array" ref="G226">_xlfn.XLOOKUP(fsales[[#This Row],[ProductID]],dProduct[[#All],[ProductID]],dProduct[[#All],[Supplier]])</f>
        <v>Gel Booms</v>
      </c>
      <c r="H226" s="11" t="str" cm="1">
        <f t="array" ref="H226">_xlfn.XLOOKUP(fsales[[#This Row],[SalesRepID]],dSalesRep[[#All],[SalesRepID]],dSalesRep[[#All],[Region]])</f>
        <v>CA</v>
      </c>
    </row>
    <row r="227" spans="1:8" x14ac:dyDescent="0.3">
      <c r="A227" s="1">
        <v>45199</v>
      </c>
      <c r="B227">
        <v>2</v>
      </c>
      <c r="C227">
        <v>3</v>
      </c>
      <c r="D227">
        <v>2</v>
      </c>
      <c r="E227" s="11" cm="1">
        <f t="array" ref="E227">_xlfn.XLOOKUP(fsales[[#This Row],[ProductID]],dProduct[[#All],[ProductID]],dProduct[[#All],[Price]])*fsales[[#This Row],[Units]]</f>
        <v>59.9</v>
      </c>
      <c r="F227" s="11" t="str" cm="1">
        <f t="array" ref="F227">_xlfn.XLOOKUP(fsales[[#This Row],[ProductID]],dProduct[[#All],[ProductID]],dProduct[[#All],[Product]])</f>
        <v>Carlota</v>
      </c>
      <c r="G227" s="11" t="str" cm="1">
        <f t="array" ref="G227">_xlfn.XLOOKUP(fsales[[#This Row],[ProductID]],dProduct[[#All],[ProductID]],dProduct[[#All],[Supplier]])</f>
        <v>Gel Booms</v>
      </c>
      <c r="H227" s="11" t="str" cm="1">
        <f t="array" ref="H227">_xlfn.XLOOKUP(fsales[[#This Row],[SalesRepID]],dSalesRep[[#All],[SalesRepID]],dSalesRep[[#All],[Region]])</f>
        <v>WA</v>
      </c>
    </row>
    <row r="228" spans="1:8" x14ac:dyDescent="0.3">
      <c r="A228" s="1">
        <v>45212</v>
      </c>
      <c r="B228">
        <v>1</v>
      </c>
      <c r="C228">
        <v>1</v>
      </c>
      <c r="D228">
        <v>83</v>
      </c>
      <c r="E228" s="11" cm="1">
        <f t="array" ref="E228">_xlfn.XLOOKUP(fsales[[#This Row],[ProductID]],dProduct[[#All],[ProductID]],dProduct[[#All],[Price]])*fsales[[#This Row],[Units]]</f>
        <v>3647.8500000000004</v>
      </c>
      <c r="F228" s="11" t="str" cm="1">
        <f t="array" ref="F228">_xlfn.XLOOKUP(fsales[[#This Row],[ProductID]],dProduct[[#All],[ProductID]],dProduct[[#All],[Product]])</f>
        <v>Quad</v>
      </c>
      <c r="G228" s="11" t="str" cm="1">
        <f t="array" ref="G228">_xlfn.XLOOKUP(fsales[[#This Row],[ProductID]],dProduct[[#All],[ProductID]],dProduct[[#All],[Supplier]])</f>
        <v>Gel Booms</v>
      </c>
      <c r="H228" s="11" t="str" cm="1">
        <f t="array" ref="H228">_xlfn.XLOOKUP(fsales[[#This Row],[SalesRepID]],dSalesRep[[#All],[SalesRepID]],dSalesRep[[#All],[Region]])</f>
        <v>CA</v>
      </c>
    </row>
    <row r="229" spans="1:8" x14ac:dyDescent="0.3">
      <c r="A229" s="1">
        <v>45046</v>
      </c>
      <c r="B229">
        <v>2</v>
      </c>
      <c r="C229">
        <v>2</v>
      </c>
      <c r="D229">
        <v>210</v>
      </c>
      <c r="E229" s="11" cm="1">
        <f t="array" ref="E229">_xlfn.XLOOKUP(fsales[[#This Row],[ProductID]],dProduct[[#All],[ProductID]],dProduct[[#All],[Price]])*fsales[[#This Row],[Units]]</f>
        <v>6289.5</v>
      </c>
      <c r="F229" s="11" t="str" cm="1">
        <f t="array" ref="F229">_xlfn.XLOOKUP(fsales[[#This Row],[ProductID]],dProduct[[#All],[ProductID]],dProduct[[#All],[Product]])</f>
        <v>Carlota</v>
      </c>
      <c r="G229" s="11" t="str" cm="1">
        <f t="array" ref="G229">_xlfn.XLOOKUP(fsales[[#This Row],[ProductID]],dProduct[[#All],[ProductID]],dProduct[[#All],[Supplier]])</f>
        <v>Gel Booms</v>
      </c>
      <c r="H229" s="11" t="str" cm="1">
        <f t="array" ref="H229">_xlfn.XLOOKUP(fsales[[#This Row],[SalesRepID]],dSalesRep[[#All],[SalesRepID]],dSalesRep[[#All],[Region]])</f>
        <v>CA</v>
      </c>
    </row>
    <row r="230" spans="1:8" x14ac:dyDescent="0.3">
      <c r="A230" s="1">
        <v>45054</v>
      </c>
      <c r="B230">
        <v>2</v>
      </c>
      <c r="C230">
        <v>2</v>
      </c>
      <c r="D230">
        <v>5</v>
      </c>
      <c r="E230" s="11" cm="1">
        <f t="array" ref="E230">_xlfn.XLOOKUP(fsales[[#This Row],[ProductID]],dProduct[[#All],[ProductID]],dProduct[[#All],[Price]])*fsales[[#This Row],[Units]]</f>
        <v>149.75</v>
      </c>
      <c r="F230" s="11" t="str" cm="1">
        <f t="array" ref="F230">_xlfn.XLOOKUP(fsales[[#This Row],[ProductID]],dProduct[[#All],[ProductID]],dProduct[[#All],[Product]])</f>
        <v>Carlota</v>
      </c>
      <c r="G230" s="11" t="str" cm="1">
        <f t="array" ref="G230">_xlfn.XLOOKUP(fsales[[#This Row],[ProductID]],dProduct[[#All],[ProductID]],dProduct[[#All],[Supplier]])</f>
        <v>Gel Booms</v>
      </c>
      <c r="H230" s="11" t="str" cm="1">
        <f t="array" ref="H230">_xlfn.XLOOKUP(fsales[[#This Row],[SalesRepID]],dSalesRep[[#All],[SalesRepID]],dSalesRep[[#All],[Region]])</f>
        <v>CA</v>
      </c>
    </row>
    <row r="231" spans="1:8" x14ac:dyDescent="0.3">
      <c r="A231" s="1">
        <v>45126</v>
      </c>
      <c r="B231">
        <v>3</v>
      </c>
      <c r="C231">
        <v>3</v>
      </c>
      <c r="D231">
        <v>91</v>
      </c>
      <c r="E231" s="11" cm="1">
        <f t="array" ref="E231">_xlfn.XLOOKUP(fsales[[#This Row],[ProductID]],dProduct[[#All],[ProductID]],dProduct[[#All],[Price]])*fsales[[#This Row],[Units]]</f>
        <v>2361.4499999999998</v>
      </c>
      <c r="F231" s="11" t="str" cm="1">
        <f t="array" ref="F231">_xlfn.XLOOKUP(fsales[[#This Row],[ProductID]],dProduct[[#All],[ProductID]],dProduct[[#All],[Product]])</f>
        <v>Aspen</v>
      </c>
      <c r="G231" s="11" t="str" cm="1">
        <f t="array" ref="G231">_xlfn.XLOOKUP(fsales[[#This Row],[ProductID]],dProduct[[#All],[ProductID]],dProduct[[#All],[Supplier]])</f>
        <v>Colorado Booms</v>
      </c>
      <c r="H231" s="11" t="str" cm="1">
        <f t="array" ref="H231">_xlfn.XLOOKUP(fsales[[#This Row],[SalesRepID]],dSalesRep[[#All],[SalesRepID]],dSalesRep[[#All],[Region]])</f>
        <v>WA</v>
      </c>
    </row>
    <row r="232" spans="1:8" x14ac:dyDescent="0.3">
      <c r="A232" s="1">
        <v>44624</v>
      </c>
      <c r="B232">
        <v>3</v>
      </c>
      <c r="C232">
        <v>4</v>
      </c>
      <c r="D232">
        <v>2</v>
      </c>
      <c r="E232" s="11" cm="1">
        <f t="array" ref="E232">_xlfn.XLOOKUP(fsales[[#This Row],[ProductID]],dProduct[[#All],[ProductID]],dProduct[[#All],[Price]])*fsales[[#This Row],[Units]]</f>
        <v>51.9</v>
      </c>
      <c r="F232" s="11" t="str" cm="1">
        <f t="array" ref="F232">_xlfn.XLOOKUP(fsales[[#This Row],[ProductID]],dProduct[[#All],[ProductID]],dProduct[[#All],[Product]])</f>
        <v>Aspen</v>
      </c>
      <c r="G232" s="11" t="str" cm="1">
        <f t="array" ref="G232">_xlfn.XLOOKUP(fsales[[#This Row],[ProductID]],dProduct[[#All],[ProductID]],dProduct[[#All],[Supplier]])</f>
        <v>Colorado Booms</v>
      </c>
      <c r="H232" s="11" t="str" cm="1">
        <f t="array" ref="H232">_xlfn.XLOOKUP(fsales[[#This Row],[SalesRepID]],dSalesRep[[#All],[SalesRepID]],dSalesRep[[#All],[Region]])</f>
        <v>WA</v>
      </c>
    </row>
    <row r="233" spans="1:8" x14ac:dyDescent="0.3">
      <c r="A233" s="1">
        <v>45071</v>
      </c>
      <c r="B233">
        <v>2</v>
      </c>
      <c r="C233">
        <v>2</v>
      </c>
      <c r="D233">
        <v>56</v>
      </c>
      <c r="E233" s="11" cm="1">
        <f t="array" ref="E233">_xlfn.XLOOKUP(fsales[[#This Row],[ProductID]],dProduct[[#All],[ProductID]],dProduct[[#All],[Price]])*fsales[[#This Row],[Units]]</f>
        <v>1677.2</v>
      </c>
      <c r="F233" s="11" t="str" cm="1">
        <f t="array" ref="F233">_xlfn.XLOOKUP(fsales[[#This Row],[ProductID]],dProduct[[#All],[ProductID]],dProduct[[#All],[Product]])</f>
        <v>Carlota</v>
      </c>
      <c r="G233" s="11" t="str" cm="1">
        <f t="array" ref="G233">_xlfn.XLOOKUP(fsales[[#This Row],[ProductID]],dProduct[[#All],[ProductID]],dProduct[[#All],[Supplier]])</f>
        <v>Gel Booms</v>
      </c>
      <c r="H233" s="11" t="str" cm="1">
        <f t="array" ref="H233">_xlfn.XLOOKUP(fsales[[#This Row],[SalesRepID]],dSalesRep[[#All],[SalesRepID]],dSalesRep[[#All],[Region]])</f>
        <v>CA</v>
      </c>
    </row>
    <row r="234" spans="1:8" x14ac:dyDescent="0.3">
      <c r="A234" s="1">
        <v>44774</v>
      </c>
      <c r="B234">
        <v>2</v>
      </c>
      <c r="C234">
        <v>2</v>
      </c>
      <c r="D234">
        <v>4</v>
      </c>
      <c r="E234" s="11" cm="1">
        <f t="array" ref="E234">_xlfn.XLOOKUP(fsales[[#This Row],[ProductID]],dProduct[[#All],[ProductID]],dProduct[[#All],[Price]])*fsales[[#This Row],[Units]]</f>
        <v>119.8</v>
      </c>
      <c r="F234" s="11" t="str" cm="1">
        <f t="array" ref="F234">_xlfn.XLOOKUP(fsales[[#This Row],[ProductID]],dProduct[[#All],[ProductID]],dProduct[[#All],[Product]])</f>
        <v>Carlota</v>
      </c>
      <c r="G234" s="11" t="str" cm="1">
        <f t="array" ref="G234">_xlfn.XLOOKUP(fsales[[#This Row],[ProductID]],dProduct[[#All],[ProductID]],dProduct[[#All],[Supplier]])</f>
        <v>Gel Booms</v>
      </c>
      <c r="H234" s="11" t="str" cm="1">
        <f t="array" ref="H234">_xlfn.XLOOKUP(fsales[[#This Row],[SalesRepID]],dSalesRep[[#All],[SalesRepID]],dSalesRep[[#All],[Region]])</f>
        <v>CA</v>
      </c>
    </row>
    <row r="235" spans="1:8" x14ac:dyDescent="0.3">
      <c r="A235" s="1">
        <v>44656</v>
      </c>
      <c r="B235">
        <v>2</v>
      </c>
      <c r="C235">
        <v>2</v>
      </c>
      <c r="D235">
        <v>2</v>
      </c>
      <c r="E235" s="11" cm="1">
        <f t="array" ref="E235">_xlfn.XLOOKUP(fsales[[#This Row],[ProductID]],dProduct[[#All],[ProductID]],dProduct[[#All],[Price]])*fsales[[#This Row],[Units]]</f>
        <v>59.9</v>
      </c>
      <c r="F235" s="11" t="str" cm="1">
        <f t="array" ref="F235">_xlfn.XLOOKUP(fsales[[#This Row],[ProductID]],dProduct[[#All],[ProductID]],dProduct[[#All],[Product]])</f>
        <v>Carlota</v>
      </c>
      <c r="G235" s="11" t="str" cm="1">
        <f t="array" ref="G235">_xlfn.XLOOKUP(fsales[[#This Row],[ProductID]],dProduct[[#All],[ProductID]],dProduct[[#All],[Supplier]])</f>
        <v>Gel Booms</v>
      </c>
      <c r="H235" s="11" t="str" cm="1">
        <f t="array" ref="H235">_xlfn.XLOOKUP(fsales[[#This Row],[SalesRepID]],dSalesRep[[#All],[SalesRepID]],dSalesRep[[#All],[Region]])</f>
        <v>CA</v>
      </c>
    </row>
    <row r="236" spans="1:8" x14ac:dyDescent="0.3">
      <c r="A236" s="1">
        <v>44314</v>
      </c>
      <c r="B236">
        <v>3</v>
      </c>
      <c r="C236">
        <v>2</v>
      </c>
      <c r="D236">
        <v>18</v>
      </c>
      <c r="E236" s="11" cm="1">
        <f t="array" ref="E236">_xlfn.XLOOKUP(fsales[[#This Row],[ProductID]],dProduct[[#All],[ProductID]],dProduct[[#All],[Price]])*fsales[[#This Row],[Units]]</f>
        <v>467.09999999999997</v>
      </c>
      <c r="F236" s="11" t="str" cm="1">
        <f t="array" ref="F236">_xlfn.XLOOKUP(fsales[[#This Row],[ProductID]],dProduct[[#All],[ProductID]],dProduct[[#All],[Product]])</f>
        <v>Aspen</v>
      </c>
      <c r="G236" s="11" t="str" cm="1">
        <f t="array" ref="G236">_xlfn.XLOOKUP(fsales[[#This Row],[ProductID]],dProduct[[#All],[ProductID]],dProduct[[#All],[Supplier]])</f>
        <v>Colorado Booms</v>
      </c>
      <c r="H236" s="11" t="str" cm="1">
        <f t="array" ref="H236">_xlfn.XLOOKUP(fsales[[#This Row],[SalesRepID]],dSalesRep[[#All],[SalesRepID]],dSalesRep[[#All],[Region]])</f>
        <v>CA</v>
      </c>
    </row>
    <row r="237" spans="1:8" x14ac:dyDescent="0.3">
      <c r="A237" s="1">
        <v>45199</v>
      </c>
      <c r="B237">
        <v>2</v>
      </c>
      <c r="C237">
        <v>4</v>
      </c>
      <c r="D237">
        <v>266</v>
      </c>
      <c r="E237" s="11" cm="1">
        <f t="array" ref="E237">_xlfn.XLOOKUP(fsales[[#This Row],[ProductID]],dProduct[[#All],[ProductID]],dProduct[[#All],[Price]])*fsales[[#This Row],[Units]]</f>
        <v>7966.7</v>
      </c>
      <c r="F237" s="11" t="str" cm="1">
        <f t="array" ref="F237">_xlfn.XLOOKUP(fsales[[#This Row],[ProductID]],dProduct[[#All],[ProductID]],dProduct[[#All],[Product]])</f>
        <v>Carlota</v>
      </c>
      <c r="G237" s="11" t="str" cm="1">
        <f t="array" ref="G237">_xlfn.XLOOKUP(fsales[[#This Row],[ProductID]],dProduct[[#All],[ProductID]],dProduct[[#All],[Supplier]])</f>
        <v>Gel Booms</v>
      </c>
      <c r="H237" s="11" t="str" cm="1">
        <f t="array" ref="H237">_xlfn.XLOOKUP(fsales[[#This Row],[SalesRepID]],dSalesRep[[#All],[SalesRepID]],dSalesRep[[#All],[Region]])</f>
        <v>WA</v>
      </c>
    </row>
    <row r="238" spans="1:8" x14ac:dyDescent="0.3">
      <c r="A238" s="1">
        <v>44531</v>
      </c>
      <c r="B238">
        <v>2</v>
      </c>
      <c r="C238">
        <v>4</v>
      </c>
      <c r="D238">
        <v>78</v>
      </c>
      <c r="E238" s="11" cm="1">
        <f t="array" ref="E238">_xlfn.XLOOKUP(fsales[[#This Row],[ProductID]],dProduct[[#All],[ProductID]],dProduct[[#All],[Price]])*fsales[[#This Row],[Units]]</f>
        <v>2336.1</v>
      </c>
      <c r="F238" s="11" t="str" cm="1">
        <f t="array" ref="F238">_xlfn.XLOOKUP(fsales[[#This Row],[ProductID]],dProduct[[#All],[ProductID]],dProduct[[#All],[Product]])</f>
        <v>Carlota</v>
      </c>
      <c r="G238" s="11" t="str" cm="1">
        <f t="array" ref="G238">_xlfn.XLOOKUP(fsales[[#This Row],[ProductID]],dProduct[[#All],[ProductID]],dProduct[[#All],[Supplier]])</f>
        <v>Gel Booms</v>
      </c>
      <c r="H238" s="11" t="str" cm="1">
        <f t="array" ref="H238">_xlfn.XLOOKUP(fsales[[#This Row],[SalesRepID]],dSalesRep[[#All],[SalesRepID]],dSalesRep[[#All],[Region]])</f>
        <v>WA</v>
      </c>
    </row>
    <row r="239" spans="1:8" x14ac:dyDescent="0.3">
      <c r="A239" s="1">
        <v>44875</v>
      </c>
      <c r="B239">
        <v>2</v>
      </c>
      <c r="C239">
        <v>2</v>
      </c>
      <c r="D239">
        <v>100</v>
      </c>
      <c r="E239" s="11" cm="1">
        <f t="array" ref="E239">_xlfn.XLOOKUP(fsales[[#This Row],[ProductID]],dProduct[[#All],[ProductID]],dProduct[[#All],[Price]])*fsales[[#This Row],[Units]]</f>
        <v>2995</v>
      </c>
      <c r="F239" s="11" t="str" cm="1">
        <f t="array" ref="F239">_xlfn.XLOOKUP(fsales[[#This Row],[ProductID]],dProduct[[#All],[ProductID]],dProduct[[#All],[Product]])</f>
        <v>Carlota</v>
      </c>
      <c r="G239" s="11" t="str" cm="1">
        <f t="array" ref="G239">_xlfn.XLOOKUP(fsales[[#This Row],[ProductID]],dProduct[[#All],[ProductID]],dProduct[[#All],[Supplier]])</f>
        <v>Gel Booms</v>
      </c>
      <c r="H239" s="11" t="str" cm="1">
        <f t="array" ref="H239">_xlfn.XLOOKUP(fsales[[#This Row],[SalesRepID]],dSalesRep[[#All],[SalesRepID]],dSalesRep[[#All],[Region]])</f>
        <v>CA</v>
      </c>
    </row>
    <row r="240" spans="1:8" x14ac:dyDescent="0.3">
      <c r="A240" s="1">
        <v>44914</v>
      </c>
      <c r="B240">
        <v>3</v>
      </c>
      <c r="C240">
        <v>2</v>
      </c>
      <c r="D240">
        <v>2</v>
      </c>
      <c r="E240" s="11" cm="1">
        <f t="array" ref="E240">_xlfn.XLOOKUP(fsales[[#This Row],[ProductID]],dProduct[[#All],[ProductID]],dProduct[[#All],[Price]])*fsales[[#This Row],[Units]]</f>
        <v>51.9</v>
      </c>
      <c r="F240" s="11" t="str" cm="1">
        <f t="array" ref="F240">_xlfn.XLOOKUP(fsales[[#This Row],[ProductID]],dProduct[[#All],[ProductID]],dProduct[[#All],[Product]])</f>
        <v>Aspen</v>
      </c>
      <c r="G240" s="11" t="str" cm="1">
        <f t="array" ref="G240">_xlfn.XLOOKUP(fsales[[#This Row],[ProductID]],dProduct[[#All],[ProductID]],dProduct[[#All],[Supplier]])</f>
        <v>Colorado Booms</v>
      </c>
      <c r="H240" s="11" t="str" cm="1">
        <f t="array" ref="H240">_xlfn.XLOOKUP(fsales[[#This Row],[SalesRepID]],dSalesRep[[#All],[SalesRepID]],dSalesRep[[#All],[Region]])</f>
        <v>CA</v>
      </c>
    </row>
    <row r="241" spans="1:8" x14ac:dyDescent="0.3">
      <c r="A241" s="1">
        <v>45274</v>
      </c>
      <c r="B241">
        <v>1</v>
      </c>
      <c r="C241">
        <v>2</v>
      </c>
      <c r="D241">
        <v>101</v>
      </c>
      <c r="E241" s="11" cm="1">
        <f t="array" ref="E241">_xlfn.XLOOKUP(fsales[[#This Row],[ProductID]],dProduct[[#All],[ProductID]],dProduct[[#All],[Price]])*fsales[[#This Row],[Units]]</f>
        <v>4438.9500000000007</v>
      </c>
      <c r="F241" s="11" t="str" cm="1">
        <f t="array" ref="F241">_xlfn.XLOOKUP(fsales[[#This Row],[ProductID]],dProduct[[#All],[ProductID]],dProduct[[#All],[Product]])</f>
        <v>Quad</v>
      </c>
      <c r="G241" s="11" t="str" cm="1">
        <f t="array" ref="G241">_xlfn.XLOOKUP(fsales[[#This Row],[ProductID]],dProduct[[#All],[ProductID]],dProduct[[#All],[Supplier]])</f>
        <v>Gel Booms</v>
      </c>
      <c r="H241" s="11" t="str" cm="1">
        <f t="array" ref="H241">_xlfn.XLOOKUP(fsales[[#This Row],[SalesRepID]],dSalesRep[[#All],[SalesRepID]],dSalesRep[[#All],[Region]])</f>
        <v>CA</v>
      </c>
    </row>
    <row r="242" spans="1:8" x14ac:dyDescent="0.3">
      <c r="A242" s="1">
        <v>45192</v>
      </c>
      <c r="B242">
        <v>2</v>
      </c>
      <c r="C242">
        <v>4</v>
      </c>
      <c r="D242">
        <v>115</v>
      </c>
      <c r="E242" s="11" cm="1">
        <f t="array" ref="E242">_xlfn.XLOOKUP(fsales[[#This Row],[ProductID]],dProduct[[#All],[ProductID]],dProduct[[#All],[Price]])*fsales[[#This Row],[Units]]</f>
        <v>3444.25</v>
      </c>
      <c r="F242" s="11" t="str" cm="1">
        <f t="array" ref="F242">_xlfn.XLOOKUP(fsales[[#This Row],[ProductID]],dProduct[[#All],[ProductID]],dProduct[[#All],[Product]])</f>
        <v>Carlota</v>
      </c>
      <c r="G242" s="11" t="str" cm="1">
        <f t="array" ref="G242">_xlfn.XLOOKUP(fsales[[#This Row],[ProductID]],dProduct[[#All],[ProductID]],dProduct[[#All],[Supplier]])</f>
        <v>Gel Booms</v>
      </c>
      <c r="H242" s="11" t="str" cm="1">
        <f t="array" ref="H242">_xlfn.XLOOKUP(fsales[[#This Row],[SalesRepID]],dSalesRep[[#All],[SalesRepID]],dSalesRep[[#All],[Region]])</f>
        <v>WA</v>
      </c>
    </row>
    <row r="243" spans="1:8" x14ac:dyDescent="0.3">
      <c r="A243" s="1">
        <v>45181</v>
      </c>
      <c r="B243">
        <v>4</v>
      </c>
      <c r="C243">
        <v>2</v>
      </c>
      <c r="D243">
        <v>292</v>
      </c>
      <c r="E243" s="11" cm="1">
        <f t="array" ref="E243">_xlfn.XLOOKUP(fsales[[#This Row],[ProductID]],dProduct[[#All],[ProductID]],dProduct[[#All],[Price]])*fsales[[#This Row],[Units]]</f>
        <v>6993.4</v>
      </c>
      <c r="F243" s="11" t="str" cm="1">
        <f t="array" ref="F243">_xlfn.XLOOKUP(fsales[[#This Row],[ProductID]],dProduct[[#All],[ProductID]],dProduct[[#All],[Product]])</f>
        <v>Yanaki</v>
      </c>
      <c r="G243" s="11" t="str" cm="1">
        <f t="array" ref="G243">_xlfn.XLOOKUP(fsales[[#This Row],[ProductID]],dProduct[[#All],[ProductID]],dProduct[[#All],[Supplier]])</f>
        <v>Colorado Booms</v>
      </c>
      <c r="H243" s="11" t="str" cm="1">
        <f t="array" ref="H243">_xlfn.XLOOKUP(fsales[[#This Row],[SalesRepID]],dSalesRep[[#All],[SalesRepID]],dSalesRep[[#All],[Region]])</f>
        <v>CA</v>
      </c>
    </row>
    <row r="244" spans="1:8" x14ac:dyDescent="0.3">
      <c r="A244" s="1">
        <v>44467</v>
      </c>
      <c r="B244">
        <v>4</v>
      </c>
      <c r="C244">
        <v>2</v>
      </c>
      <c r="D244">
        <v>31</v>
      </c>
      <c r="E244" s="11" cm="1">
        <f t="array" ref="E244">_xlfn.XLOOKUP(fsales[[#This Row],[ProductID]],dProduct[[#All],[ProductID]],dProduct[[#All],[Price]])*fsales[[#This Row],[Units]]</f>
        <v>742.44999999999993</v>
      </c>
      <c r="F244" s="11" t="str" cm="1">
        <f t="array" ref="F244">_xlfn.XLOOKUP(fsales[[#This Row],[ProductID]],dProduct[[#All],[ProductID]],dProduct[[#All],[Product]])</f>
        <v>Yanaki</v>
      </c>
      <c r="G244" s="11" t="str" cm="1">
        <f t="array" ref="G244">_xlfn.XLOOKUP(fsales[[#This Row],[ProductID]],dProduct[[#All],[ProductID]],dProduct[[#All],[Supplier]])</f>
        <v>Colorado Booms</v>
      </c>
      <c r="H244" s="11" t="str" cm="1">
        <f t="array" ref="H244">_xlfn.XLOOKUP(fsales[[#This Row],[SalesRepID]],dSalesRep[[#All],[SalesRepID]],dSalesRep[[#All],[Region]])</f>
        <v>CA</v>
      </c>
    </row>
    <row r="245" spans="1:8" x14ac:dyDescent="0.3">
      <c r="A245" s="1">
        <v>44608</v>
      </c>
      <c r="B245">
        <v>2</v>
      </c>
      <c r="C245">
        <v>3</v>
      </c>
      <c r="D245">
        <v>73</v>
      </c>
      <c r="E245" s="11" cm="1">
        <f t="array" ref="E245">_xlfn.XLOOKUP(fsales[[#This Row],[ProductID]],dProduct[[#All],[ProductID]],dProduct[[#All],[Price]])*fsales[[#This Row],[Units]]</f>
        <v>2186.35</v>
      </c>
      <c r="F245" s="11" t="str" cm="1">
        <f t="array" ref="F245">_xlfn.XLOOKUP(fsales[[#This Row],[ProductID]],dProduct[[#All],[ProductID]],dProduct[[#All],[Product]])</f>
        <v>Carlota</v>
      </c>
      <c r="G245" s="11" t="str" cm="1">
        <f t="array" ref="G245">_xlfn.XLOOKUP(fsales[[#This Row],[ProductID]],dProduct[[#All],[ProductID]],dProduct[[#All],[Supplier]])</f>
        <v>Gel Booms</v>
      </c>
      <c r="H245" s="11" t="str" cm="1">
        <f t="array" ref="H245">_xlfn.XLOOKUP(fsales[[#This Row],[SalesRepID]],dSalesRep[[#All],[SalesRepID]],dSalesRep[[#All],[Region]])</f>
        <v>WA</v>
      </c>
    </row>
    <row r="246" spans="1:8" x14ac:dyDescent="0.3">
      <c r="A246" s="1">
        <v>44554</v>
      </c>
      <c r="B246">
        <v>3</v>
      </c>
      <c r="C246">
        <v>4</v>
      </c>
      <c r="D246">
        <v>1</v>
      </c>
      <c r="E246" s="11" cm="1">
        <f t="array" ref="E246">_xlfn.XLOOKUP(fsales[[#This Row],[ProductID]],dProduct[[#All],[ProductID]],dProduct[[#All],[Price]])*fsales[[#This Row],[Units]]</f>
        <v>25.95</v>
      </c>
      <c r="F246" s="11" t="str" cm="1">
        <f t="array" ref="F246">_xlfn.XLOOKUP(fsales[[#This Row],[ProductID]],dProduct[[#All],[ProductID]],dProduct[[#All],[Product]])</f>
        <v>Aspen</v>
      </c>
      <c r="G246" s="11" t="str" cm="1">
        <f t="array" ref="G246">_xlfn.XLOOKUP(fsales[[#This Row],[ProductID]],dProduct[[#All],[ProductID]],dProduct[[#All],[Supplier]])</f>
        <v>Colorado Booms</v>
      </c>
      <c r="H246" s="11" t="str" cm="1">
        <f t="array" ref="H246">_xlfn.XLOOKUP(fsales[[#This Row],[SalesRepID]],dSalesRep[[#All],[SalesRepID]],dSalesRep[[#All],[Region]])</f>
        <v>WA</v>
      </c>
    </row>
    <row r="247" spans="1:8" x14ac:dyDescent="0.3">
      <c r="A247" s="1">
        <v>45274</v>
      </c>
      <c r="B247">
        <v>2</v>
      </c>
      <c r="C247">
        <v>2</v>
      </c>
      <c r="D247">
        <v>89</v>
      </c>
      <c r="E247" s="11" cm="1">
        <f t="array" ref="E247">_xlfn.XLOOKUP(fsales[[#This Row],[ProductID]],dProduct[[#All],[ProductID]],dProduct[[#All],[Price]])*fsales[[#This Row],[Units]]</f>
        <v>2665.5499999999997</v>
      </c>
      <c r="F247" s="11" t="str" cm="1">
        <f t="array" ref="F247">_xlfn.XLOOKUP(fsales[[#This Row],[ProductID]],dProduct[[#All],[ProductID]],dProduct[[#All],[Product]])</f>
        <v>Carlota</v>
      </c>
      <c r="G247" s="11" t="str" cm="1">
        <f t="array" ref="G247">_xlfn.XLOOKUP(fsales[[#This Row],[ProductID]],dProduct[[#All],[ProductID]],dProduct[[#All],[Supplier]])</f>
        <v>Gel Booms</v>
      </c>
      <c r="H247" s="11" t="str" cm="1">
        <f t="array" ref="H247">_xlfn.XLOOKUP(fsales[[#This Row],[SalesRepID]],dSalesRep[[#All],[SalesRepID]],dSalesRep[[#All],[Region]])</f>
        <v>CA</v>
      </c>
    </row>
    <row r="248" spans="1:8" x14ac:dyDescent="0.3">
      <c r="A248" s="1">
        <v>44650</v>
      </c>
      <c r="B248">
        <v>2</v>
      </c>
      <c r="C248">
        <v>2</v>
      </c>
      <c r="D248">
        <v>209</v>
      </c>
      <c r="E248" s="11" cm="1">
        <f t="array" ref="E248">_xlfn.XLOOKUP(fsales[[#This Row],[ProductID]],dProduct[[#All],[ProductID]],dProduct[[#All],[Price]])*fsales[[#This Row],[Units]]</f>
        <v>6259.55</v>
      </c>
      <c r="F248" s="11" t="str" cm="1">
        <f t="array" ref="F248">_xlfn.XLOOKUP(fsales[[#This Row],[ProductID]],dProduct[[#All],[ProductID]],dProduct[[#All],[Product]])</f>
        <v>Carlota</v>
      </c>
      <c r="G248" s="11" t="str" cm="1">
        <f t="array" ref="G248">_xlfn.XLOOKUP(fsales[[#This Row],[ProductID]],dProduct[[#All],[ProductID]],dProduct[[#All],[Supplier]])</f>
        <v>Gel Booms</v>
      </c>
      <c r="H248" s="11" t="str" cm="1">
        <f t="array" ref="H248">_xlfn.XLOOKUP(fsales[[#This Row],[SalesRepID]],dSalesRep[[#All],[SalesRepID]],dSalesRep[[#All],[Region]])</f>
        <v>CA</v>
      </c>
    </row>
    <row r="249" spans="1:8" x14ac:dyDescent="0.3">
      <c r="A249" s="1">
        <v>44277</v>
      </c>
      <c r="B249">
        <v>2</v>
      </c>
      <c r="C249">
        <v>2</v>
      </c>
      <c r="D249">
        <v>90</v>
      </c>
      <c r="E249" s="11" cm="1">
        <f t="array" ref="E249">_xlfn.XLOOKUP(fsales[[#This Row],[ProductID]],dProduct[[#All],[ProductID]],dProduct[[#All],[Price]])*fsales[[#This Row],[Units]]</f>
        <v>2695.5</v>
      </c>
      <c r="F249" s="11" t="str" cm="1">
        <f t="array" ref="F249">_xlfn.XLOOKUP(fsales[[#This Row],[ProductID]],dProduct[[#All],[ProductID]],dProduct[[#All],[Product]])</f>
        <v>Carlota</v>
      </c>
      <c r="G249" s="11" t="str" cm="1">
        <f t="array" ref="G249">_xlfn.XLOOKUP(fsales[[#This Row],[ProductID]],dProduct[[#All],[ProductID]],dProduct[[#All],[Supplier]])</f>
        <v>Gel Booms</v>
      </c>
      <c r="H249" s="11" t="str" cm="1">
        <f t="array" ref="H249">_xlfn.XLOOKUP(fsales[[#This Row],[SalesRepID]],dSalesRep[[#All],[SalesRepID]],dSalesRep[[#All],[Region]])</f>
        <v>CA</v>
      </c>
    </row>
    <row r="250" spans="1:8" x14ac:dyDescent="0.3">
      <c r="A250" s="1">
        <v>45236</v>
      </c>
      <c r="B250">
        <v>2</v>
      </c>
      <c r="C250">
        <v>2</v>
      </c>
      <c r="D250">
        <v>75</v>
      </c>
      <c r="E250" s="11" cm="1">
        <f t="array" ref="E250">_xlfn.XLOOKUP(fsales[[#This Row],[ProductID]],dProduct[[#All],[ProductID]],dProduct[[#All],[Price]])*fsales[[#This Row],[Units]]</f>
        <v>2246.25</v>
      </c>
      <c r="F250" s="11" t="str" cm="1">
        <f t="array" ref="F250">_xlfn.XLOOKUP(fsales[[#This Row],[ProductID]],dProduct[[#All],[ProductID]],dProduct[[#All],[Product]])</f>
        <v>Carlota</v>
      </c>
      <c r="G250" s="11" t="str" cm="1">
        <f t="array" ref="G250">_xlfn.XLOOKUP(fsales[[#This Row],[ProductID]],dProduct[[#All],[ProductID]],dProduct[[#All],[Supplier]])</f>
        <v>Gel Booms</v>
      </c>
      <c r="H250" s="11" t="str" cm="1">
        <f t="array" ref="H250">_xlfn.XLOOKUP(fsales[[#This Row],[SalesRepID]],dSalesRep[[#All],[SalesRepID]],dSalesRep[[#All],[Region]])</f>
        <v>CA</v>
      </c>
    </row>
    <row r="251" spans="1:8" x14ac:dyDescent="0.3">
      <c r="A251" s="1">
        <v>44879</v>
      </c>
      <c r="B251">
        <v>2</v>
      </c>
      <c r="C251">
        <v>4</v>
      </c>
      <c r="D251">
        <v>2</v>
      </c>
      <c r="E251" s="11" cm="1">
        <f t="array" ref="E251">_xlfn.XLOOKUP(fsales[[#This Row],[ProductID]],dProduct[[#All],[ProductID]],dProduct[[#All],[Price]])*fsales[[#This Row],[Units]]</f>
        <v>59.9</v>
      </c>
      <c r="F251" s="11" t="str" cm="1">
        <f t="array" ref="F251">_xlfn.XLOOKUP(fsales[[#This Row],[ProductID]],dProduct[[#All],[ProductID]],dProduct[[#All],[Product]])</f>
        <v>Carlota</v>
      </c>
      <c r="G251" s="11" t="str" cm="1">
        <f t="array" ref="G251">_xlfn.XLOOKUP(fsales[[#This Row],[ProductID]],dProduct[[#All],[ProductID]],dProduct[[#All],[Supplier]])</f>
        <v>Gel Booms</v>
      </c>
      <c r="H251" s="11" t="str" cm="1">
        <f t="array" ref="H251">_xlfn.XLOOKUP(fsales[[#This Row],[SalesRepID]],dSalesRep[[#All],[SalesRepID]],dSalesRep[[#All],[Region]])</f>
        <v>WA</v>
      </c>
    </row>
    <row r="252" spans="1:8" x14ac:dyDescent="0.3">
      <c r="A252" s="1">
        <v>44540</v>
      </c>
      <c r="B252">
        <v>1</v>
      </c>
      <c r="C252">
        <v>2</v>
      </c>
      <c r="D252">
        <v>200</v>
      </c>
      <c r="E252" s="11" cm="1">
        <f t="array" ref="E252">_xlfn.XLOOKUP(fsales[[#This Row],[ProductID]],dProduct[[#All],[ProductID]],dProduct[[#All],[Price]])*fsales[[#This Row],[Units]]</f>
        <v>8790</v>
      </c>
      <c r="F252" s="11" t="str" cm="1">
        <f t="array" ref="F252">_xlfn.XLOOKUP(fsales[[#This Row],[ProductID]],dProduct[[#All],[ProductID]],dProduct[[#All],[Product]])</f>
        <v>Quad</v>
      </c>
      <c r="G252" s="11" t="str" cm="1">
        <f t="array" ref="G252">_xlfn.XLOOKUP(fsales[[#This Row],[ProductID]],dProduct[[#All],[ProductID]],dProduct[[#All],[Supplier]])</f>
        <v>Gel Booms</v>
      </c>
      <c r="H252" s="11" t="str" cm="1">
        <f t="array" ref="H252">_xlfn.XLOOKUP(fsales[[#This Row],[SalesRepID]],dSalesRep[[#All],[SalesRepID]],dSalesRep[[#All],[Region]])</f>
        <v>CA</v>
      </c>
    </row>
    <row r="253" spans="1:8" x14ac:dyDescent="0.3">
      <c r="A253" s="1">
        <v>45146</v>
      </c>
      <c r="B253">
        <v>4</v>
      </c>
      <c r="C253">
        <v>4</v>
      </c>
      <c r="D253">
        <v>18</v>
      </c>
      <c r="E253" s="11" cm="1">
        <f t="array" ref="E253">_xlfn.XLOOKUP(fsales[[#This Row],[ProductID]],dProduct[[#All],[ProductID]],dProduct[[#All],[Price]])*fsales[[#This Row],[Units]]</f>
        <v>431.09999999999997</v>
      </c>
      <c r="F253" s="11" t="str" cm="1">
        <f t="array" ref="F253">_xlfn.XLOOKUP(fsales[[#This Row],[ProductID]],dProduct[[#All],[ProductID]],dProduct[[#All],[Product]])</f>
        <v>Yanaki</v>
      </c>
      <c r="G253" s="11" t="str" cm="1">
        <f t="array" ref="G253">_xlfn.XLOOKUP(fsales[[#This Row],[ProductID]],dProduct[[#All],[ProductID]],dProduct[[#All],[Supplier]])</f>
        <v>Colorado Booms</v>
      </c>
      <c r="H253" s="11" t="str" cm="1">
        <f t="array" ref="H253">_xlfn.XLOOKUP(fsales[[#This Row],[SalesRepID]],dSalesRep[[#All],[SalesRepID]],dSalesRep[[#All],[Region]])</f>
        <v>WA</v>
      </c>
    </row>
    <row r="254" spans="1:8" x14ac:dyDescent="0.3">
      <c r="A254" s="1">
        <v>45036</v>
      </c>
      <c r="B254">
        <v>2</v>
      </c>
      <c r="C254">
        <v>3</v>
      </c>
      <c r="D254">
        <v>63</v>
      </c>
      <c r="E254" s="11" cm="1">
        <f t="array" ref="E254">_xlfn.XLOOKUP(fsales[[#This Row],[ProductID]],dProduct[[#All],[ProductID]],dProduct[[#All],[Price]])*fsales[[#This Row],[Units]]</f>
        <v>1886.85</v>
      </c>
      <c r="F254" s="11" t="str" cm="1">
        <f t="array" ref="F254">_xlfn.XLOOKUP(fsales[[#This Row],[ProductID]],dProduct[[#All],[ProductID]],dProduct[[#All],[Product]])</f>
        <v>Carlota</v>
      </c>
      <c r="G254" s="11" t="str" cm="1">
        <f t="array" ref="G254">_xlfn.XLOOKUP(fsales[[#This Row],[ProductID]],dProduct[[#All],[ProductID]],dProduct[[#All],[Supplier]])</f>
        <v>Gel Booms</v>
      </c>
      <c r="H254" s="11" t="str" cm="1">
        <f t="array" ref="H254">_xlfn.XLOOKUP(fsales[[#This Row],[SalesRepID]],dSalesRep[[#All],[SalesRepID]],dSalesRep[[#All],[Region]])</f>
        <v>WA</v>
      </c>
    </row>
    <row r="255" spans="1:8" x14ac:dyDescent="0.3">
      <c r="A255" s="1">
        <v>45244</v>
      </c>
      <c r="B255">
        <v>4</v>
      </c>
      <c r="C255">
        <v>1</v>
      </c>
      <c r="D255">
        <v>6</v>
      </c>
      <c r="E255" s="11" cm="1">
        <f t="array" ref="E255">_xlfn.XLOOKUP(fsales[[#This Row],[ProductID]],dProduct[[#All],[ProductID]],dProduct[[#All],[Price]])*fsales[[#This Row],[Units]]</f>
        <v>143.69999999999999</v>
      </c>
      <c r="F255" s="11" t="str" cm="1">
        <f t="array" ref="F255">_xlfn.XLOOKUP(fsales[[#This Row],[ProductID]],dProduct[[#All],[ProductID]],dProduct[[#All],[Product]])</f>
        <v>Yanaki</v>
      </c>
      <c r="G255" s="11" t="str" cm="1">
        <f t="array" ref="G255">_xlfn.XLOOKUP(fsales[[#This Row],[ProductID]],dProduct[[#All],[ProductID]],dProduct[[#All],[Supplier]])</f>
        <v>Colorado Booms</v>
      </c>
      <c r="H255" s="11" t="str" cm="1">
        <f t="array" ref="H255">_xlfn.XLOOKUP(fsales[[#This Row],[SalesRepID]],dSalesRep[[#All],[SalesRepID]],dSalesRep[[#All],[Region]])</f>
        <v>CA</v>
      </c>
    </row>
    <row r="256" spans="1:8" x14ac:dyDescent="0.3">
      <c r="A256" s="1">
        <v>44971</v>
      </c>
      <c r="B256">
        <v>3</v>
      </c>
      <c r="C256">
        <v>2</v>
      </c>
      <c r="D256">
        <v>89</v>
      </c>
      <c r="E256" s="11" cm="1">
        <f t="array" ref="E256">_xlfn.XLOOKUP(fsales[[#This Row],[ProductID]],dProduct[[#All],[ProductID]],dProduct[[#All],[Price]])*fsales[[#This Row],[Units]]</f>
        <v>2309.5499999999997</v>
      </c>
      <c r="F256" s="11" t="str" cm="1">
        <f t="array" ref="F256">_xlfn.XLOOKUP(fsales[[#This Row],[ProductID]],dProduct[[#All],[ProductID]],dProduct[[#All],[Product]])</f>
        <v>Aspen</v>
      </c>
      <c r="G256" s="11" t="str" cm="1">
        <f t="array" ref="G256">_xlfn.XLOOKUP(fsales[[#This Row],[ProductID]],dProduct[[#All],[ProductID]],dProduct[[#All],[Supplier]])</f>
        <v>Colorado Booms</v>
      </c>
      <c r="H256" s="11" t="str" cm="1">
        <f t="array" ref="H256">_xlfn.XLOOKUP(fsales[[#This Row],[SalesRepID]],dSalesRep[[#All],[SalesRepID]],dSalesRep[[#All],[Region]])</f>
        <v>CA</v>
      </c>
    </row>
    <row r="257" spans="1:8" x14ac:dyDescent="0.3">
      <c r="A257" s="1">
        <v>45219</v>
      </c>
      <c r="B257">
        <v>2</v>
      </c>
      <c r="C257">
        <v>2</v>
      </c>
      <c r="D257">
        <v>280</v>
      </c>
      <c r="E257" s="11" cm="1">
        <f t="array" ref="E257">_xlfn.XLOOKUP(fsales[[#This Row],[ProductID]],dProduct[[#All],[ProductID]],dProduct[[#All],[Price]])*fsales[[#This Row],[Units]]</f>
        <v>8386</v>
      </c>
      <c r="F257" s="11" t="str" cm="1">
        <f t="array" ref="F257">_xlfn.XLOOKUP(fsales[[#This Row],[ProductID]],dProduct[[#All],[ProductID]],dProduct[[#All],[Product]])</f>
        <v>Carlota</v>
      </c>
      <c r="G257" s="11" t="str" cm="1">
        <f t="array" ref="G257">_xlfn.XLOOKUP(fsales[[#This Row],[ProductID]],dProduct[[#All],[ProductID]],dProduct[[#All],[Supplier]])</f>
        <v>Gel Booms</v>
      </c>
      <c r="H257" s="11" t="str" cm="1">
        <f t="array" ref="H257">_xlfn.XLOOKUP(fsales[[#This Row],[SalesRepID]],dSalesRep[[#All],[SalesRepID]],dSalesRep[[#All],[Region]])</f>
        <v>CA</v>
      </c>
    </row>
    <row r="258" spans="1:8" x14ac:dyDescent="0.3">
      <c r="A258" s="1">
        <v>44798</v>
      </c>
      <c r="B258">
        <v>2</v>
      </c>
      <c r="C258">
        <v>2</v>
      </c>
      <c r="D258">
        <v>264</v>
      </c>
      <c r="E258" s="11" cm="1">
        <f t="array" ref="E258">_xlfn.XLOOKUP(fsales[[#This Row],[ProductID]],dProduct[[#All],[ProductID]],dProduct[[#All],[Price]])*fsales[[#This Row],[Units]]</f>
        <v>7906.8</v>
      </c>
      <c r="F258" s="11" t="str" cm="1">
        <f t="array" ref="F258">_xlfn.XLOOKUP(fsales[[#This Row],[ProductID]],dProduct[[#All],[ProductID]],dProduct[[#All],[Product]])</f>
        <v>Carlota</v>
      </c>
      <c r="G258" s="11" t="str" cm="1">
        <f t="array" ref="G258">_xlfn.XLOOKUP(fsales[[#This Row],[ProductID]],dProduct[[#All],[ProductID]],dProduct[[#All],[Supplier]])</f>
        <v>Gel Booms</v>
      </c>
      <c r="H258" s="11" t="str" cm="1">
        <f t="array" ref="H258">_xlfn.XLOOKUP(fsales[[#This Row],[SalesRepID]],dSalesRep[[#All],[SalesRepID]],dSalesRep[[#All],[Region]])</f>
        <v>CA</v>
      </c>
    </row>
    <row r="259" spans="1:8" x14ac:dyDescent="0.3">
      <c r="A259" s="1">
        <v>44471</v>
      </c>
      <c r="B259">
        <v>2</v>
      </c>
      <c r="C259">
        <v>4</v>
      </c>
      <c r="D259">
        <v>4</v>
      </c>
      <c r="E259" s="11" cm="1">
        <f t="array" ref="E259">_xlfn.XLOOKUP(fsales[[#This Row],[ProductID]],dProduct[[#All],[ProductID]],dProduct[[#All],[Price]])*fsales[[#This Row],[Units]]</f>
        <v>119.8</v>
      </c>
      <c r="F259" s="11" t="str" cm="1">
        <f t="array" ref="F259">_xlfn.XLOOKUP(fsales[[#This Row],[ProductID]],dProduct[[#All],[ProductID]],dProduct[[#All],[Product]])</f>
        <v>Carlota</v>
      </c>
      <c r="G259" s="11" t="str" cm="1">
        <f t="array" ref="G259">_xlfn.XLOOKUP(fsales[[#This Row],[ProductID]],dProduct[[#All],[ProductID]],dProduct[[#All],[Supplier]])</f>
        <v>Gel Booms</v>
      </c>
      <c r="H259" s="11" t="str" cm="1">
        <f t="array" ref="H259">_xlfn.XLOOKUP(fsales[[#This Row],[SalesRepID]],dSalesRep[[#All],[SalesRepID]],dSalesRep[[#All],[Region]])</f>
        <v>WA</v>
      </c>
    </row>
    <row r="260" spans="1:8" x14ac:dyDescent="0.3">
      <c r="A260" s="1">
        <v>44711</v>
      </c>
      <c r="B260">
        <v>2</v>
      </c>
      <c r="C260">
        <v>2</v>
      </c>
      <c r="D260">
        <v>3</v>
      </c>
      <c r="E260" s="11" cm="1">
        <f t="array" ref="E260">_xlfn.XLOOKUP(fsales[[#This Row],[ProductID]],dProduct[[#All],[ProductID]],dProduct[[#All],[Price]])*fsales[[#This Row],[Units]]</f>
        <v>89.85</v>
      </c>
      <c r="F260" s="11" t="str" cm="1">
        <f t="array" ref="F260">_xlfn.XLOOKUP(fsales[[#This Row],[ProductID]],dProduct[[#All],[ProductID]],dProduct[[#All],[Product]])</f>
        <v>Carlota</v>
      </c>
      <c r="G260" s="11" t="str" cm="1">
        <f t="array" ref="G260">_xlfn.XLOOKUP(fsales[[#This Row],[ProductID]],dProduct[[#All],[ProductID]],dProduct[[#All],[Supplier]])</f>
        <v>Gel Booms</v>
      </c>
      <c r="H260" s="11" t="str" cm="1">
        <f t="array" ref="H260">_xlfn.XLOOKUP(fsales[[#This Row],[SalesRepID]],dSalesRep[[#All],[SalesRepID]],dSalesRep[[#All],[Region]])</f>
        <v>CA</v>
      </c>
    </row>
    <row r="261" spans="1:8" x14ac:dyDescent="0.3">
      <c r="A261" s="1">
        <v>44754</v>
      </c>
      <c r="B261">
        <v>2</v>
      </c>
      <c r="C261">
        <v>4</v>
      </c>
      <c r="D261">
        <v>4</v>
      </c>
      <c r="E261" s="11" cm="1">
        <f t="array" ref="E261">_xlfn.XLOOKUP(fsales[[#This Row],[ProductID]],dProduct[[#All],[ProductID]],dProduct[[#All],[Price]])*fsales[[#This Row],[Units]]</f>
        <v>119.8</v>
      </c>
      <c r="F261" s="11" t="str" cm="1">
        <f t="array" ref="F261">_xlfn.XLOOKUP(fsales[[#This Row],[ProductID]],dProduct[[#All],[ProductID]],dProduct[[#All],[Product]])</f>
        <v>Carlota</v>
      </c>
      <c r="G261" s="11" t="str" cm="1">
        <f t="array" ref="G261">_xlfn.XLOOKUP(fsales[[#This Row],[ProductID]],dProduct[[#All],[ProductID]],dProduct[[#All],[Supplier]])</f>
        <v>Gel Booms</v>
      </c>
      <c r="H261" s="11" t="str" cm="1">
        <f t="array" ref="H261">_xlfn.XLOOKUP(fsales[[#This Row],[SalesRepID]],dSalesRep[[#All],[SalesRepID]],dSalesRep[[#All],[Region]])</f>
        <v>WA</v>
      </c>
    </row>
    <row r="262" spans="1:8" x14ac:dyDescent="0.3">
      <c r="A262" s="1">
        <v>44443</v>
      </c>
      <c r="B262">
        <v>2</v>
      </c>
      <c r="C262">
        <v>2</v>
      </c>
      <c r="D262">
        <v>1</v>
      </c>
      <c r="E262" s="11" cm="1">
        <f t="array" ref="E262">_xlfn.XLOOKUP(fsales[[#This Row],[ProductID]],dProduct[[#All],[ProductID]],dProduct[[#All],[Price]])*fsales[[#This Row],[Units]]</f>
        <v>29.95</v>
      </c>
      <c r="F262" s="11" t="str" cm="1">
        <f t="array" ref="F262">_xlfn.XLOOKUP(fsales[[#This Row],[ProductID]],dProduct[[#All],[ProductID]],dProduct[[#All],[Product]])</f>
        <v>Carlota</v>
      </c>
      <c r="G262" s="11" t="str" cm="1">
        <f t="array" ref="G262">_xlfn.XLOOKUP(fsales[[#This Row],[ProductID]],dProduct[[#All],[ProductID]],dProduct[[#All],[Supplier]])</f>
        <v>Gel Booms</v>
      </c>
      <c r="H262" s="11" t="str" cm="1">
        <f t="array" ref="H262">_xlfn.XLOOKUP(fsales[[#This Row],[SalesRepID]],dSalesRep[[#All],[SalesRepID]],dSalesRep[[#All],[Region]])</f>
        <v>CA</v>
      </c>
    </row>
    <row r="263" spans="1:8" x14ac:dyDescent="0.3">
      <c r="A263" s="1">
        <v>45057</v>
      </c>
      <c r="B263">
        <v>1</v>
      </c>
      <c r="C263">
        <v>4</v>
      </c>
      <c r="D263">
        <v>1</v>
      </c>
      <c r="E263" s="11" cm="1">
        <f t="array" ref="E263">_xlfn.XLOOKUP(fsales[[#This Row],[ProductID]],dProduct[[#All],[ProductID]],dProduct[[#All],[Price]])*fsales[[#This Row],[Units]]</f>
        <v>43.95</v>
      </c>
      <c r="F263" s="11" t="str" cm="1">
        <f t="array" ref="F263">_xlfn.XLOOKUP(fsales[[#This Row],[ProductID]],dProduct[[#All],[ProductID]],dProduct[[#All],[Product]])</f>
        <v>Quad</v>
      </c>
      <c r="G263" s="11" t="str" cm="1">
        <f t="array" ref="G263">_xlfn.XLOOKUP(fsales[[#This Row],[ProductID]],dProduct[[#All],[ProductID]],dProduct[[#All],[Supplier]])</f>
        <v>Gel Booms</v>
      </c>
      <c r="H263" s="11" t="str" cm="1">
        <f t="array" ref="H263">_xlfn.XLOOKUP(fsales[[#This Row],[SalesRepID]],dSalesRep[[#All],[SalesRepID]],dSalesRep[[#All],[Region]])</f>
        <v>WA</v>
      </c>
    </row>
    <row r="264" spans="1:8" x14ac:dyDescent="0.3">
      <c r="A264" s="1">
        <v>44888</v>
      </c>
      <c r="B264">
        <v>1</v>
      </c>
      <c r="C264">
        <v>4</v>
      </c>
      <c r="D264">
        <v>5</v>
      </c>
      <c r="E264" s="11" cm="1">
        <f t="array" ref="E264">_xlfn.XLOOKUP(fsales[[#This Row],[ProductID]],dProduct[[#All],[ProductID]],dProduct[[#All],[Price]])*fsales[[#This Row],[Units]]</f>
        <v>219.75</v>
      </c>
      <c r="F264" s="11" t="str" cm="1">
        <f t="array" ref="F264">_xlfn.XLOOKUP(fsales[[#This Row],[ProductID]],dProduct[[#All],[ProductID]],dProduct[[#All],[Product]])</f>
        <v>Quad</v>
      </c>
      <c r="G264" s="11" t="str" cm="1">
        <f t="array" ref="G264">_xlfn.XLOOKUP(fsales[[#This Row],[ProductID]],dProduct[[#All],[ProductID]],dProduct[[#All],[Supplier]])</f>
        <v>Gel Booms</v>
      </c>
      <c r="H264" s="11" t="str" cm="1">
        <f t="array" ref="H264">_xlfn.XLOOKUP(fsales[[#This Row],[SalesRepID]],dSalesRep[[#All],[SalesRepID]],dSalesRep[[#All],[Region]])</f>
        <v>WA</v>
      </c>
    </row>
    <row r="265" spans="1:8" x14ac:dyDescent="0.3">
      <c r="A265" s="1">
        <v>44748</v>
      </c>
      <c r="B265">
        <v>3</v>
      </c>
      <c r="C265">
        <v>4</v>
      </c>
      <c r="D265">
        <v>224</v>
      </c>
      <c r="E265" s="11" cm="1">
        <f t="array" ref="E265">_xlfn.XLOOKUP(fsales[[#This Row],[ProductID]],dProduct[[#All],[ProductID]],dProduct[[#All],[Price]])*fsales[[#This Row],[Units]]</f>
        <v>5812.8</v>
      </c>
      <c r="F265" s="11" t="str" cm="1">
        <f t="array" ref="F265">_xlfn.XLOOKUP(fsales[[#This Row],[ProductID]],dProduct[[#All],[ProductID]],dProduct[[#All],[Product]])</f>
        <v>Aspen</v>
      </c>
      <c r="G265" s="11" t="str" cm="1">
        <f t="array" ref="G265">_xlfn.XLOOKUP(fsales[[#This Row],[ProductID]],dProduct[[#All],[ProductID]],dProduct[[#All],[Supplier]])</f>
        <v>Colorado Booms</v>
      </c>
      <c r="H265" s="11" t="str" cm="1">
        <f t="array" ref="H265">_xlfn.XLOOKUP(fsales[[#This Row],[SalesRepID]],dSalesRep[[#All],[SalesRepID]],dSalesRep[[#All],[Region]])</f>
        <v>WA</v>
      </c>
    </row>
    <row r="266" spans="1:8" x14ac:dyDescent="0.3">
      <c r="A266" s="1">
        <v>44729</v>
      </c>
      <c r="B266">
        <v>2</v>
      </c>
      <c r="C266">
        <v>2</v>
      </c>
      <c r="D266">
        <v>5</v>
      </c>
      <c r="E266" s="11" cm="1">
        <f t="array" ref="E266">_xlfn.XLOOKUP(fsales[[#This Row],[ProductID]],dProduct[[#All],[ProductID]],dProduct[[#All],[Price]])*fsales[[#This Row],[Units]]</f>
        <v>149.75</v>
      </c>
      <c r="F266" s="11" t="str" cm="1">
        <f t="array" ref="F266">_xlfn.XLOOKUP(fsales[[#This Row],[ProductID]],dProduct[[#All],[ProductID]],dProduct[[#All],[Product]])</f>
        <v>Carlota</v>
      </c>
      <c r="G266" s="11" t="str" cm="1">
        <f t="array" ref="G266">_xlfn.XLOOKUP(fsales[[#This Row],[ProductID]],dProduct[[#All],[ProductID]],dProduct[[#All],[Supplier]])</f>
        <v>Gel Booms</v>
      </c>
      <c r="H266" s="11" t="str" cm="1">
        <f t="array" ref="H266">_xlfn.XLOOKUP(fsales[[#This Row],[SalesRepID]],dSalesRep[[#All],[SalesRepID]],dSalesRep[[#All],[Region]])</f>
        <v>CA</v>
      </c>
    </row>
    <row r="267" spans="1:8" x14ac:dyDescent="0.3">
      <c r="A267" s="1">
        <v>44696</v>
      </c>
      <c r="B267">
        <v>3</v>
      </c>
      <c r="C267">
        <v>3</v>
      </c>
      <c r="D267">
        <v>4</v>
      </c>
      <c r="E267" s="11" cm="1">
        <f t="array" ref="E267">_xlfn.XLOOKUP(fsales[[#This Row],[ProductID]],dProduct[[#All],[ProductID]],dProduct[[#All],[Price]])*fsales[[#This Row],[Units]]</f>
        <v>103.8</v>
      </c>
      <c r="F267" s="11" t="str" cm="1">
        <f t="array" ref="F267">_xlfn.XLOOKUP(fsales[[#This Row],[ProductID]],dProduct[[#All],[ProductID]],dProduct[[#All],[Product]])</f>
        <v>Aspen</v>
      </c>
      <c r="G267" s="11" t="str" cm="1">
        <f t="array" ref="G267">_xlfn.XLOOKUP(fsales[[#This Row],[ProductID]],dProduct[[#All],[ProductID]],dProduct[[#All],[Supplier]])</f>
        <v>Colorado Booms</v>
      </c>
      <c r="H267" s="11" t="str" cm="1">
        <f t="array" ref="H267">_xlfn.XLOOKUP(fsales[[#This Row],[SalesRepID]],dSalesRep[[#All],[SalesRepID]],dSalesRep[[#All],[Region]])</f>
        <v>WA</v>
      </c>
    </row>
    <row r="268" spans="1:8" x14ac:dyDescent="0.3">
      <c r="A268" s="1">
        <v>44664</v>
      </c>
      <c r="B268">
        <v>3</v>
      </c>
      <c r="C268">
        <v>4</v>
      </c>
      <c r="D268">
        <v>4</v>
      </c>
      <c r="E268" s="11" cm="1">
        <f t="array" ref="E268">_xlfn.XLOOKUP(fsales[[#This Row],[ProductID]],dProduct[[#All],[ProductID]],dProduct[[#All],[Price]])*fsales[[#This Row],[Units]]</f>
        <v>103.8</v>
      </c>
      <c r="F268" s="11" t="str" cm="1">
        <f t="array" ref="F268">_xlfn.XLOOKUP(fsales[[#This Row],[ProductID]],dProduct[[#All],[ProductID]],dProduct[[#All],[Product]])</f>
        <v>Aspen</v>
      </c>
      <c r="G268" s="11" t="str" cm="1">
        <f t="array" ref="G268">_xlfn.XLOOKUP(fsales[[#This Row],[ProductID]],dProduct[[#All],[ProductID]],dProduct[[#All],[Supplier]])</f>
        <v>Colorado Booms</v>
      </c>
      <c r="H268" s="11" t="str" cm="1">
        <f t="array" ref="H268">_xlfn.XLOOKUP(fsales[[#This Row],[SalesRepID]],dSalesRep[[#All],[SalesRepID]],dSalesRep[[#All],[Region]])</f>
        <v>WA</v>
      </c>
    </row>
    <row r="269" spans="1:8" x14ac:dyDescent="0.3">
      <c r="A269" s="1">
        <v>44810</v>
      </c>
      <c r="B269">
        <v>2</v>
      </c>
      <c r="C269">
        <v>2</v>
      </c>
      <c r="D269">
        <v>168</v>
      </c>
      <c r="E269" s="11" cm="1">
        <f t="array" ref="E269">_xlfn.XLOOKUP(fsales[[#This Row],[ProductID]],dProduct[[#All],[ProductID]],dProduct[[#All],[Price]])*fsales[[#This Row],[Units]]</f>
        <v>5031.5999999999995</v>
      </c>
      <c r="F269" s="11" t="str" cm="1">
        <f t="array" ref="F269">_xlfn.XLOOKUP(fsales[[#This Row],[ProductID]],dProduct[[#All],[ProductID]],dProduct[[#All],[Product]])</f>
        <v>Carlota</v>
      </c>
      <c r="G269" s="11" t="str" cm="1">
        <f t="array" ref="G269">_xlfn.XLOOKUP(fsales[[#This Row],[ProductID]],dProduct[[#All],[ProductID]],dProduct[[#All],[Supplier]])</f>
        <v>Gel Booms</v>
      </c>
      <c r="H269" s="11" t="str" cm="1">
        <f t="array" ref="H269">_xlfn.XLOOKUP(fsales[[#This Row],[SalesRepID]],dSalesRep[[#All],[SalesRepID]],dSalesRep[[#All],[Region]])</f>
        <v>CA</v>
      </c>
    </row>
    <row r="270" spans="1:8" x14ac:dyDescent="0.3">
      <c r="A270" s="1">
        <v>44886</v>
      </c>
      <c r="B270">
        <v>2</v>
      </c>
      <c r="C270">
        <v>4</v>
      </c>
      <c r="D270">
        <v>64</v>
      </c>
      <c r="E270" s="11" cm="1">
        <f t="array" ref="E270">_xlfn.XLOOKUP(fsales[[#This Row],[ProductID]],dProduct[[#All],[ProductID]],dProduct[[#All],[Price]])*fsales[[#This Row],[Units]]</f>
        <v>1916.8</v>
      </c>
      <c r="F270" s="11" t="str" cm="1">
        <f t="array" ref="F270">_xlfn.XLOOKUP(fsales[[#This Row],[ProductID]],dProduct[[#All],[ProductID]],dProduct[[#All],[Product]])</f>
        <v>Carlota</v>
      </c>
      <c r="G270" s="11" t="str" cm="1">
        <f t="array" ref="G270">_xlfn.XLOOKUP(fsales[[#This Row],[ProductID]],dProduct[[#All],[ProductID]],dProduct[[#All],[Supplier]])</f>
        <v>Gel Booms</v>
      </c>
      <c r="H270" s="11" t="str" cm="1">
        <f t="array" ref="H270">_xlfn.XLOOKUP(fsales[[#This Row],[SalesRepID]],dSalesRep[[#All],[SalesRepID]],dSalesRep[[#All],[Region]])</f>
        <v>WA</v>
      </c>
    </row>
    <row r="271" spans="1:8" x14ac:dyDescent="0.3">
      <c r="A271" s="1">
        <v>44513</v>
      </c>
      <c r="B271">
        <v>2</v>
      </c>
      <c r="C271">
        <v>2</v>
      </c>
      <c r="D271">
        <v>3</v>
      </c>
      <c r="E271" s="11" cm="1">
        <f t="array" ref="E271">_xlfn.XLOOKUP(fsales[[#This Row],[ProductID]],dProduct[[#All],[ProductID]],dProduct[[#All],[Price]])*fsales[[#This Row],[Units]]</f>
        <v>89.85</v>
      </c>
      <c r="F271" s="11" t="str" cm="1">
        <f t="array" ref="F271">_xlfn.XLOOKUP(fsales[[#This Row],[ProductID]],dProduct[[#All],[ProductID]],dProduct[[#All],[Product]])</f>
        <v>Carlota</v>
      </c>
      <c r="G271" s="11" t="str" cm="1">
        <f t="array" ref="G271">_xlfn.XLOOKUP(fsales[[#This Row],[ProductID]],dProduct[[#All],[ProductID]],dProduct[[#All],[Supplier]])</f>
        <v>Gel Booms</v>
      </c>
      <c r="H271" s="11" t="str" cm="1">
        <f t="array" ref="H271">_xlfn.XLOOKUP(fsales[[#This Row],[SalesRepID]],dSalesRep[[#All],[SalesRepID]],dSalesRep[[#All],[Region]])</f>
        <v>CA</v>
      </c>
    </row>
    <row r="272" spans="1:8" x14ac:dyDescent="0.3">
      <c r="A272" s="1">
        <v>44538</v>
      </c>
      <c r="B272">
        <v>3</v>
      </c>
      <c r="C272">
        <v>3</v>
      </c>
      <c r="D272">
        <v>79</v>
      </c>
      <c r="E272" s="11" cm="1">
        <f t="array" ref="E272">_xlfn.XLOOKUP(fsales[[#This Row],[ProductID]],dProduct[[#All],[ProductID]],dProduct[[#All],[Price]])*fsales[[#This Row],[Units]]</f>
        <v>2050.0499999999997</v>
      </c>
      <c r="F272" s="11" t="str" cm="1">
        <f t="array" ref="F272">_xlfn.XLOOKUP(fsales[[#This Row],[ProductID]],dProduct[[#All],[ProductID]],dProduct[[#All],[Product]])</f>
        <v>Aspen</v>
      </c>
      <c r="G272" s="11" t="str" cm="1">
        <f t="array" ref="G272">_xlfn.XLOOKUP(fsales[[#This Row],[ProductID]],dProduct[[#All],[ProductID]],dProduct[[#All],[Supplier]])</f>
        <v>Colorado Booms</v>
      </c>
      <c r="H272" s="11" t="str" cm="1">
        <f t="array" ref="H272">_xlfn.XLOOKUP(fsales[[#This Row],[SalesRepID]],dSalesRep[[#All],[SalesRepID]],dSalesRep[[#All],[Region]])</f>
        <v>WA</v>
      </c>
    </row>
    <row r="273" spans="1:8" x14ac:dyDescent="0.3">
      <c r="A273" s="1">
        <v>44758</v>
      </c>
      <c r="B273">
        <v>2</v>
      </c>
      <c r="C273">
        <v>2</v>
      </c>
      <c r="D273">
        <v>4</v>
      </c>
      <c r="E273" s="11" cm="1">
        <f t="array" ref="E273">_xlfn.XLOOKUP(fsales[[#This Row],[ProductID]],dProduct[[#All],[ProductID]],dProduct[[#All],[Price]])*fsales[[#This Row],[Units]]</f>
        <v>119.8</v>
      </c>
      <c r="F273" s="11" t="str" cm="1">
        <f t="array" ref="F273">_xlfn.XLOOKUP(fsales[[#This Row],[ProductID]],dProduct[[#All],[ProductID]],dProduct[[#All],[Product]])</f>
        <v>Carlota</v>
      </c>
      <c r="G273" s="11" t="str" cm="1">
        <f t="array" ref="G273">_xlfn.XLOOKUP(fsales[[#This Row],[ProductID]],dProduct[[#All],[ProductID]],dProduct[[#All],[Supplier]])</f>
        <v>Gel Booms</v>
      </c>
      <c r="H273" s="11" t="str" cm="1">
        <f t="array" ref="H273">_xlfn.XLOOKUP(fsales[[#This Row],[SalesRepID]],dSalesRep[[#All],[SalesRepID]],dSalesRep[[#All],[Region]])</f>
        <v>CA</v>
      </c>
    </row>
    <row r="274" spans="1:8" x14ac:dyDescent="0.3">
      <c r="A274" s="1">
        <v>45283</v>
      </c>
      <c r="B274">
        <v>4</v>
      </c>
      <c r="C274">
        <v>3</v>
      </c>
      <c r="D274">
        <v>147</v>
      </c>
      <c r="E274" s="11" cm="1">
        <f t="array" ref="E274">_xlfn.XLOOKUP(fsales[[#This Row],[ProductID]],dProduct[[#All],[ProductID]],dProduct[[#All],[Price]])*fsales[[#This Row],[Units]]</f>
        <v>3520.65</v>
      </c>
      <c r="F274" s="11" t="str" cm="1">
        <f t="array" ref="F274">_xlfn.XLOOKUP(fsales[[#This Row],[ProductID]],dProduct[[#All],[ProductID]],dProduct[[#All],[Product]])</f>
        <v>Yanaki</v>
      </c>
      <c r="G274" s="11" t="str" cm="1">
        <f t="array" ref="G274">_xlfn.XLOOKUP(fsales[[#This Row],[ProductID]],dProduct[[#All],[ProductID]],dProduct[[#All],[Supplier]])</f>
        <v>Colorado Booms</v>
      </c>
      <c r="H274" s="11" t="str" cm="1">
        <f t="array" ref="H274">_xlfn.XLOOKUP(fsales[[#This Row],[SalesRepID]],dSalesRep[[#All],[SalesRepID]],dSalesRep[[#All],[Region]])</f>
        <v>WA</v>
      </c>
    </row>
    <row r="275" spans="1:8" x14ac:dyDescent="0.3">
      <c r="A275" s="1">
        <v>45240</v>
      </c>
      <c r="B275">
        <v>2</v>
      </c>
      <c r="C275">
        <v>3</v>
      </c>
      <c r="D275">
        <v>107</v>
      </c>
      <c r="E275" s="11" cm="1">
        <f t="array" ref="E275">_xlfn.XLOOKUP(fsales[[#This Row],[ProductID]],dProduct[[#All],[ProductID]],dProduct[[#All],[Price]])*fsales[[#This Row],[Units]]</f>
        <v>3204.65</v>
      </c>
      <c r="F275" s="11" t="str" cm="1">
        <f t="array" ref="F275">_xlfn.XLOOKUP(fsales[[#This Row],[ProductID]],dProduct[[#All],[ProductID]],dProduct[[#All],[Product]])</f>
        <v>Carlota</v>
      </c>
      <c r="G275" s="11" t="str" cm="1">
        <f t="array" ref="G275">_xlfn.XLOOKUP(fsales[[#This Row],[ProductID]],dProduct[[#All],[ProductID]],dProduct[[#All],[Supplier]])</f>
        <v>Gel Booms</v>
      </c>
      <c r="H275" s="11" t="str" cm="1">
        <f t="array" ref="H275">_xlfn.XLOOKUP(fsales[[#This Row],[SalesRepID]],dSalesRep[[#All],[SalesRepID]],dSalesRep[[#All],[Region]])</f>
        <v>WA</v>
      </c>
    </row>
    <row r="276" spans="1:8" x14ac:dyDescent="0.3">
      <c r="A276" s="1">
        <v>44389</v>
      </c>
      <c r="B276">
        <v>1</v>
      </c>
      <c r="C276">
        <v>3</v>
      </c>
      <c r="D276">
        <v>99</v>
      </c>
      <c r="E276" s="11" cm="1">
        <f t="array" ref="E276">_xlfn.XLOOKUP(fsales[[#This Row],[ProductID]],dProduct[[#All],[ProductID]],dProduct[[#All],[Price]])*fsales[[#This Row],[Units]]</f>
        <v>4351.05</v>
      </c>
      <c r="F276" s="11" t="str" cm="1">
        <f t="array" ref="F276">_xlfn.XLOOKUP(fsales[[#This Row],[ProductID]],dProduct[[#All],[ProductID]],dProduct[[#All],[Product]])</f>
        <v>Quad</v>
      </c>
      <c r="G276" s="11" t="str" cm="1">
        <f t="array" ref="G276">_xlfn.XLOOKUP(fsales[[#This Row],[ProductID]],dProduct[[#All],[ProductID]],dProduct[[#All],[Supplier]])</f>
        <v>Gel Booms</v>
      </c>
      <c r="H276" s="11" t="str" cm="1">
        <f t="array" ref="H276">_xlfn.XLOOKUP(fsales[[#This Row],[SalesRepID]],dSalesRep[[#All],[SalesRepID]],dSalesRep[[#All],[Region]])</f>
        <v>WA</v>
      </c>
    </row>
    <row r="277" spans="1:8" x14ac:dyDescent="0.3">
      <c r="A277" s="1">
        <v>44482</v>
      </c>
      <c r="B277">
        <v>1</v>
      </c>
      <c r="C277">
        <v>2</v>
      </c>
      <c r="D277">
        <v>3</v>
      </c>
      <c r="E277" s="11" cm="1">
        <f t="array" ref="E277">_xlfn.XLOOKUP(fsales[[#This Row],[ProductID]],dProduct[[#All],[ProductID]],dProduct[[#All],[Price]])*fsales[[#This Row],[Units]]</f>
        <v>131.85000000000002</v>
      </c>
      <c r="F277" s="11" t="str" cm="1">
        <f t="array" ref="F277">_xlfn.XLOOKUP(fsales[[#This Row],[ProductID]],dProduct[[#All],[ProductID]],dProduct[[#All],[Product]])</f>
        <v>Quad</v>
      </c>
      <c r="G277" s="11" t="str" cm="1">
        <f t="array" ref="G277">_xlfn.XLOOKUP(fsales[[#This Row],[ProductID]],dProduct[[#All],[ProductID]],dProduct[[#All],[Supplier]])</f>
        <v>Gel Booms</v>
      </c>
      <c r="H277" s="11" t="str" cm="1">
        <f t="array" ref="H277">_xlfn.XLOOKUP(fsales[[#This Row],[SalesRepID]],dSalesRep[[#All],[SalesRepID]],dSalesRep[[#All],[Region]])</f>
        <v>CA</v>
      </c>
    </row>
    <row r="278" spans="1:8" x14ac:dyDescent="0.3">
      <c r="A278" s="1">
        <v>45071</v>
      </c>
      <c r="B278">
        <v>2</v>
      </c>
      <c r="C278">
        <v>2</v>
      </c>
      <c r="D278">
        <v>109</v>
      </c>
      <c r="E278" s="11" cm="1">
        <f t="array" ref="E278">_xlfn.XLOOKUP(fsales[[#This Row],[ProductID]],dProduct[[#All],[ProductID]],dProduct[[#All],[Price]])*fsales[[#This Row],[Units]]</f>
        <v>3264.5499999999997</v>
      </c>
      <c r="F278" s="11" t="str" cm="1">
        <f t="array" ref="F278">_xlfn.XLOOKUP(fsales[[#This Row],[ProductID]],dProduct[[#All],[ProductID]],dProduct[[#All],[Product]])</f>
        <v>Carlota</v>
      </c>
      <c r="G278" s="11" t="str" cm="1">
        <f t="array" ref="G278">_xlfn.XLOOKUP(fsales[[#This Row],[ProductID]],dProduct[[#All],[ProductID]],dProduct[[#All],[Supplier]])</f>
        <v>Gel Booms</v>
      </c>
      <c r="H278" s="11" t="str" cm="1">
        <f t="array" ref="H278">_xlfn.XLOOKUP(fsales[[#This Row],[SalesRepID]],dSalesRep[[#All],[SalesRepID]],dSalesRep[[#All],[Region]])</f>
        <v>CA</v>
      </c>
    </row>
    <row r="279" spans="1:8" x14ac:dyDescent="0.3">
      <c r="A279" s="1">
        <v>44702</v>
      </c>
      <c r="B279">
        <v>1</v>
      </c>
      <c r="C279">
        <v>2</v>
      </c>
      <c r="D279">
        <v>97</v>
      </c>
      <c r="E279" s="11" cm="1">
        <f t="array" ref="E279">_xlfn.XLOOKUP(fsales[[#This Row],[ProductID]],dProduct[[#All],[ProductID]],dProduct[[#All],[Price]])*fsales[[#This Row],[Units]]</f>
        <v>4263.1500000000005</v>
      </c>
      <c r="F279" s="11" t="str" cm="1">
        <f t="array" ref="F279">_xlfn.XLOOKUP(fsales[[#This Row],[ProductID]],dProduct[[#All],[ProductID]],dProduct[[#All],[Product]])</f>
        <v>Quad</v>
      </c>
      <c r="G279" s="11" t="str" cm="1">
        <f t="array" ref="G279">_xlfn.XLOOKUP(fsales[[#This Row],[ProductID]],dProduct[[#All],[ProductID]],dProduct[[#All],[Supplier]])</f>
        <v>Gel Booms</v>
      </c>
      <c r="H279" s="11" t="str" cm="1">
        <f t="array" ref="H279">_xlfn.XLOOKUP(fsales[[#This Row],[SalesRepID]],dSalesRep[[#All],[SalesRepID]],dSalesRep[[#All],[Region]])</f>
        <v>CA</v>
      </c>
    </row>
    <row r="280" spans="1:8" x14ac:dyDescent="0.3">
      <c r="A280" s="1">
        <v>44827</v>
      </c>
      <c r="B280">
        <v>2</v>
      </c>
      <c r="C280">
        <v>4</v>
      </c>
      <c r="D280">
        <v>100</v>
      </c>
      <c r="E280" s="11" cm="1">
        <f t="array" ref="E280">_xlfn.XLOOKUP(fsales[[#This Row],[ProductID]],dProduct[[#All],[ProductID]],dProduct[[#All],[Price]])*fsales[[#This Row],[Units]]</f>
        <v>2995</v>
      </c>
      <c r="F280" s="11" t="str" cm="1">
        <f t="array" ref="F280">_xlfn.XLOOKUP(fsales[[#This Row],[ProductID]],dProduct[[#All],[ProductID]],dProduct[[#All],[Product]])</f>
        <v>Carlota</v>
      </c>
      <c r="G280" s="11" t="str" cm="1">
        <f t="array" ref="G280">_xlfn.XLOOKUP(fsales[[#This Row],[ProductID]],dProduct[[#All],[ProductID]],dProduct[[#All],[Supplier]])</f>
        <v>Gel Booms</v>
      </c>
      <c r="H280" s="11" t="str" cm="1">
        <f t="array" ref="H280">_xlfn.XLOOKUP(fsales[[#This Row],[SalesRepID]],dSalesRep[[#All],[SalesRepID]],dSalesRep[[#All],[Region]])</f>
        <v>WA</v>
      </c>
    </row>
    <row r="281" spans="1:8" x14ac:dyDescent="0.3">
      <c r="A281" s="1">
        <v>44875</v>
      </c>
      <c r="B281">
        <v>2</v>
      </c>
      <c r="C281">
        <v>2</v>
      </c>
      <c r="D281">
        <v>2</v>
      </c>
      <c r="E281" s="11" cm="1">
        <f t="array" ref="E281">_xlfn.XLOOKUP(fsales[[#This Row],[ProductID]],dProduct[[#All],[ProductID]],dProduct[[#All],[Price]])*fsales[[#This Row],[Units]]</f>
        <v>59.9</v>
      </c>
      <c r="F281" s="11" t="str" cm="1">
        <f t="array" ref="F281">_xlfn.XLOOKUP(fsales[[#This Row],[ProductID]],dProduct[[#All],[ProductID]],dProduct[[#All],[Product]])</f>
        <v>Carlota</v>
      </c>
      <c r="G281" s="11" t="str" cm="1">
        <f t="array" ref="G281">_xlfn.XLOOKUP(fsales[[#This Row],[ProductID]],dProduct[[#All],[ProductID]],dProduct[[#All],[Supplier]])</f>
        <v>Gel Booms</v>
      </c>
      <c r="H281" s="11" t="str" cm="1">
        <f t="array" ref="H281">_xlfn.XLOOKUP(fsales[[#This Row],[SalesRepID]],dSalesRep[[#All],[SalesRepID]],dSalesRep[[#All],[Region]])</f>
        <v>CA</v>
      </c>
    </row>
    <row r="282" spans="1:8" x14ac:dyDescent="0.3">
      <c r="A282" s="1">
        <v>44883</v>
      </c>
      <c r="B282">
        <v>2</v>
      </c>
      <c r="C282">
        <v>2</v>
      </c>
      <c r="D282">
        <v>6</v>
      </c>
      <c r="E282" s="11" cm="1">
        <f t="array" ref="E282">_xlfn.XLOOKUP(fsales[[#This Row],[ProductID]],dProduct[[#All],[ProductID]],dProduct[[#All],[Price]])*fsales[[#This Row],[Units]]</f>
        <v>179.7</v>
      </c>
      <c r="F282" s="11" t="str" cm="1">
        <f t="array" ref="F282">_xlfn.XLOOKUP(fsales[[#This Row],[ProductID]],dProduct[[#All],[ProductID]],dProduct[[#All],[Product]])</f>
        <v>Carlota</v>
      </c>
      <c r="G282" s="11" t="str" cm="1">
        <f t="array" ref="G282">_xlfn.XLOOKUP(fsales[[#This Row],[ProductID]],dProduct[[#All],[ProductID]],dProduct[[#All],[Supplier]])</f>
        <v>Gel Booms</v>
      </c>
      <c r="H282" s="11" t="str" cm="1">
        <f t="array" ref="H282">_xlfn.XLOOKUP(fsales[[#This Row],[SalesRepID]],dSalesRep[[#All],[SalesRepID]],dSalesRep[[#All],[Region]])</f>
        <v>CA</v>
      </c>
    </row>
    <row r="283" spans="1:8" x14ac:dyDescent="0.3">
      <c r="A283" s="1">
        <v>44714</v>
      </c>
      <c r="B283">
        <v>2</v>
      </c>
      <c r="C283">
        <v>2</v>
      </c>
      <c r="D283">
        <v>61</v>
      </c>
      <c r="E283" s="11" cm="1">
        <f t="array" ref="E283">_xlfn.XLOOKUP(fsales[[#This Row],[ProductID]],dProduct[[#All],[ProductID]],dProduct[[#All],[Price]])*fsales[[#This Row],[Units]]</f>
        <v>1826.95</v>
      </c>
      <c r="F283" s="11" t="str" cm="1">
        <f t="array" ref="F283">_xlfn.XLOOKUP(fsales[[#This Row],[ProductID]],dProduct[[#All],[ProductID]],dProduct[[#All],[Product]])</f>
        <v>Carlota</v>
      </c>
      <c r="G283" s="11" t="str" cm="1">
        <f t="array" ref="G283">_xlfn.XLOOKUP(fsales[[#This Row],[ProductID]],dProduct[[#All],[ProductID]],dProduct[[#All],[Supplier]])</f>
        <v>Gel Booms</v>
      </c>
      <c r="H283" s="11" t="str" cm="1">
        <f t="array" ref="H283">_xlfn.XLOOKUP(fsales[[#This Row],[SalesRepID]],dSalesRep[[#All],[SalesRepID]],dSalesRep[[#All],[Region]])</f>
        <v>CA</v>
      </c>
    </row>
    <row r="284" spans="1:8" x14ac:dyDescent="0.3">
      <c r="A284" s="1">
        <v>44854</v>
      </c>
      <c r="B284">
        <v>3</v>
      </c>
      <c r="C284">
        <v>2</v>
      </c>
      <c r="D284">
        <v>104</v>
      </c>
      <c r="E284" s="11" cm="1">
        <f t="array" ref="E284">_xlfn.XLOOKUP(fsales[[#This Row],[ProductID]],dProduct[[#All],[ProductID]],dProduct[[#All],[Price]])*fsales[[#This Row],[Units]]</f>
        <v>2698.7999999999997</v>
      </c>
      <c r="F284" s="11" t="str" cm="1">
        <f t="array" ref="F284">_xlfn.XLOOKUP(fsales[[#This Row],[ProductID]],dProduct[[#All],[ProductID]],dProduct[[#All],[Product]])</f>
        <v>Aspen</v>
      </c>
      <c r="G284" s="11" t="str" cm="1">
        <f t="array" ref="G284">_xlfn.XLOOKUP(fsales[[#This Row],[ProductID]],dProduct[[#All],[ProductID]],dProduct[[#All],[Supplier]])</f>
        <v>Colorado Booms</v>
      </c>
      <c r="H284" s="11" t="str" cm="1">
        <f t="array" ref="H284">_xlfn.XLOOKUP(fsales[[#This Row],[SalesRepID]],dSalesRep[[#All],[SalesRepID]],dSalesRep[[#All],[Region]])</f>
        <v>CA</v>
      </c>
    </row>
    <row r="285" spans="1:8" x14ac:dyDescent="0.3">
      <c r="A285" s="1">
        <v>45273</v>
      </c>
      <c r="B285">
        <v>2</v>
      </c>
      <c r="C285">
        <v>2</v>
      </c>
      <c r="D285">
        <v>280</v>
      </c>
      <c r="E285" s="11" cm="1">
        <f t="array" ref="E285">_xlfn.XLOOKUP(fsales[[#This Row],[ProductID]],dProduct[[#All],[ProductID]],dProduct[[#All],[Price]])*fsales[[#This Row],[Units]]</f>
        <v>8386</v>
      </c>
      <c r="F285" s="11" t="str" cm="1">
        <f t="array" ref="F285">_xlfn.XLOOKUP(fsales[[#This Row],[ProductID]],dProduct[[#All],[ProductID]],dProduct[[#All],[Product]])</f>
        <v>Carlota</v>
      </c>
      <c r="G285" s="11" t="str" cm="1">
        <f t="array" ref="G285">_xlfn.XLOOKUP(fsales[[#This Row],[ProductID]],dProduct[[#All],[ProductID]],dProduct[[#All],[Supplier]])</f>
        <v>Gel Booms</v>
      </c>
      <c r="H285" s="11" t="str" cm="1">
        <f t="array" ref="H285">_xlfn.XLOOKUP(fsales[[#This Row],[SalesRepID]],dSalesRep[[#All],[SalesRepID]],dSalesRep[[#All],[Region]])</f>
        <v>CA</v>
      </c>
    </row>
    <row r="286" spans="1:8" x14ac:dyDescent="0.3">
      <c r="A286" s="1">
        <v>45255</v>
      </c>
      <c r="B286">
        <v>3</v>
      </c>
      <c r="C286">
        <v>2</v>
      </c>
      <c r="D286">
        <v>48</v>
      </c>
      <c r="E286" s="11" cm="1">
        <f t="array" ref="E286">_xlfn.XLOOKUP(fsales[[#This Row],[ProductID]],dProduct[[#All],[ProductID]],dProduct[[#All],[Price]])*fsales[[#This Row],[Units]]</f>
        <v>1245.5999999999999</v>
      </c>
      <c r="F286" s="11" t="str" cm="1">
        <f t="array" ref="F286">_xlfn.XLOOKUP(fsales[[#This Row],[ProductID]],dProduct[[#All],[ProductID]],dProduct[[#All],[Product]])</f>
        <v>Aspen</v>
      </c>
      <c r="G286" s="11" t="str" cm="1">
        <f t="array" ref="G286">_xlfn.XLOOKUP(fsales[[#This Row],[ProductID]],dProduct[[#All],[ProductID]],dProduct[[#All],[Supplier]])</f>
        <v>Colorado Booms</v>
      </c>
      <c r="H286" s="11" t="str" cm="1">
        <f t="array" ref="H286">_xlfn.XLOOKUP(fsales[[#This Row],[SalesRepID]],dSalesRep[[#All],[SalesRepID]],dSalesRep[[#All],[Region]])</f>
        <v>CA</v>
      </c>
    </row>
    <row r="287" spans="1:8" x14ac:dyDescent="0.3">
      <c r="A287" s="1">
        <v>45153</v>
      </c>
      <c r="B287">
        <v>1</v>
      </c>
      <c r="C287">
        <v>2</v>
      </c>
      <c r="D287">
        <v>6</v>
      </c>
      <c r="E287" s="11" cm="1">
        <f t="array" ref="E287">_xlfn.XLOOKUP(fsales[[#This Row],[ProductID]],dProduct[[#All],[ProductID]],dProduct[[#All],[Price]])*fsales[[#This Row],[Units]]</f>
        <v>263.70000000000005</v>
      </c>
      <c r="F287" s="11" t="str" cm="1">
        <f t="array" ref="F287">_xlfn.XLOOKUP(fsales[[#This Row],[ProductID]],dProduct[[#All],[ProductID]],dProduct[[#All],[Product]])</f>
        <v>Quad</v>
      </c>
      <c r="G287" s="11" t="str" cm="1">
        <f t="array" ref="G287">_xlfn.XLOOKUP(fsales[[#This Row],[ProductID]],dProduct[[#All],[ProductID]],dProduct[[#All],[Supplier]])</f>
        <v>Gel Booms</v>
      </c>
      <c r="H287" s="11" t="str" cm="1">
        <f t="array" ref="H287">_xlfn.XLOOKUP(fsales[[#This Row],[SalesRepID]],dSalesRep[[#All],[SalesRepID]],dSalesRep[[#All],[Region]])</f>
        <v>CA</v>
      </c>
    </row>
    <row r="288" spans="1:8" x14ac:dyDescent="0.3">
      <c r="A288" s="1">
        <v>44368</v>
      </c>
      <c r="B288">
        <v>2</v>
      </c>
      <c r="C288">
        <v>2</v>
      </c>
      <c r="D288">
        <v>3</v>
      </c>
      <c r="E288" s="11" cm="1">
        <f t="array" ref="E288">_xlfn.XLOOKUP(fsales[[#This Row],[ProductID]],dProduct[[#All],[ProductID]],dProduct[[#All],[Price]])*fsales[[#This Row],[Units]]</f>
        <v>89.85</v>
      </c>
      <c r="F288" s="11" t="str" cm="1">
        <f t="array" ref="F288">_xlfn.XLOOKUP(fsales[[#This Row],[ProductID]],dProduct[[#All],[ProductID]],dProduct[[#All],[Product]])</f>
        <v>Carlota</v>
      </c>
      <c r="G288" s="11" t="str" cm="1">
        <f t="array" ref="G288">_xlfn.XLOOKUP(fsales[[#This Row],[ProductID]],dProduct[[#All],[ProductID]],dProduct[[#All],[Supplier]])</f>
        <v>Gel Booms</v>
      </c>
      <c r="H288" s="11" t="str" cm="1">
        <f t="array" ref="H288">_xlfn.XLOOKUP(fsales[[#This Row],[SalesRepID]],dSalesRep[[#All],[SalesRepID]],dSalesRep[[#All],[Region]])</f>
        <v>CA</v>
      </c>
    </row>
    <row r="289" spans="1:8" x14ac:dyDescent="0.3">
      <c r="A289" s="1">
        <v>45272</v>
      </c>
      <c r="B289">
        <v>1</v>
      </c>
      <c r="C289">
        <v>4</v>
      </c>
      <c r="D289">
        <v>94</v>
      </c>
      <c r="E289" s="11" cm="1">
        <f t="array" ref="E289">_xlfn.XLOOKUP(fsales[[#This Row],[ProductID]],dProduct[[#All],[ProductID]],dProduct[[#All],[Price]])*fsales[[#This Row],[Units]]</f>
        <v>4131.3</v>
      </c>
      <c r="F289" s="11" t="str" cm="1">
        <f t="array" ref="F289">_xlfn.XLOOKUP(fsales[[#This Row],[ProductID]],dProduct[[#All],[ProductID]],dProduct[[#All],[Product]])</f>
        <v>Quad</v>
      </c>
      <c r="G289" s="11" t="str" cm="1">
        <f t="array" ref="G289">_xlfn.XLOOKUP(fsales[[#This Row],[ProductID]],dProduct[[#All],[ProductID]],dProduct[[#All],[Supplier]])</f>
        <v>Gel Booms</v>
      </c>
      <c r="H289" s="11" t="str" cm="1">
        <f t="array" ref="H289">_xlfn.XLOOKUP(fsales[[#This Row],[SalesRepID]],dSalesRep[[#All],[SalesRepID]],dSalesRep[[#All],[Region]])</f>
        <v>WA</v>
      </c>
    </row>
    <row r="290" spans="1:8" x14ac:dyDescent="0.3">
      <c r="A290" s="1">
        <v>44880</v>
      </c>
      <c r="B290">
        <v>2</v>
      </c>
      <c r="C290">
        <v>1</v>
      </c>
      <c r="D290">
        <v>1</v>
      </c>
      <c r="E290" s="11" cm="1">
        <f t="array" ref="E290">_xlfn.XLOOKUP(fsales[[#This Row],[ProductID]],dProduct[[#All],[ProductID]],dProduct[[#All],[Price]])*fsales[[#This Row],[Units]]</f>
        <v>29.95</v>
      </c>
      <c r="F290" s="11" t="str" cm="1">
        <f t="array" ref="F290">_xlfn.XLOOKUP(fsales[[#This Row],[ProductID]],dProduct[[#All],[ProductID]],dProduct[[#All],[Product]])</f>
        <v>Carlota</v>
      </c>
      <c r="G290" s="11" t="str" cm="1">
        <f t="array" ref="G290">_xlfn.XLOOKUP(fsales[[#This Row],[ProductID]],dProduct[[#All],[ProductID]],dProduct[[#All],[Supplier]])</f>
        <v>Gel Booms</v>
      </c>
      <c r="H290" s="11" t="str" cm="1">
        <f t="array" ref="H290">_xlfn.XLOOKUP(fsales[[#This Row],[SalesRepID]],dSalesRep[[#All],[SalesRepID]],dSalesRep[[#All],[Region]])</f>
        <v>CA</v>
      </c>
    </row>
    <row r="291" spans="1:8" x14ac:dyDescent="0.3">
      <c r="A291" s="1">
        <v>45132</v>
      </c>
      <c r="B291">
        <v>3</v>
      </c>
      <c r="C291">
        <v>2</v>
      </c>
      <c r="D291">
        <v>144</v>
      </c>
      <c r="E291" s="11" cm="1">
        <f t="array" ref="E291">_xlfn.XLOOKUP(fsales[[#This Row],[ProductID]],dProduct[[#All],[ProductID]],dProduct[[#All],[Price]])*fsales[[#This Row],[Units]]</f>
        <v>3736.7999999999997</v>
      </c>
      <c r="F291" s="11" t="str" cm="1">
        <f t="array" ref="F291">_xlfn.XLOOKUP(fsales[[#This Row],[ProductID]],dProduct[[#All],[ProductID]],dProduct[[#All],[Product]])</f>
        <v>Aspen</v>
      </c>
      <c r="G291" s="11" t="str" cm="1">
        <f t="array" ref="G291">_xlfn.XLOOKUP(fsales[[#This Row],[ProductID]],dProduct[[#All],[ProductID]],dProduct[[#All],[Supplier]])</f>
        <v>Colorado Booms</v>
      </c>
      <c r="H291" s="11" t="str" cm="1">
        <f t="array" ref="H291">_xlfn.XLOOKUP(fsales[[#This Row],[SalesRepID]],dSalesRep[[#All],[SalesRepID]],dSalesRep[[#All],[Region]])</f>
        <v>CA</v>
      </c>
    </row>
    <row r="292" spans="1:8" x14ac:dyDescent="0.3">
      <c r="A292" s="1">
        <v>45270</v>
      </c>
      <c r="B292">
        <v>2</v>
      </c>
      <c r="C292">
        <v>1</v>
      </c>
      <c r="D292">
        <v>3</v>
      </c>
      <c r="E292" s="11" cm="1">
        <f t="array" ref="E292">_xlfn.XLOOKUP(fsales[[#This Row],[ProductID]],dProduct[[#All],[ProductID]],dProduct[[#All],[Price]])*fsales[[#This Row],[Units]]</f>
        <v>89.85</v>
      </c>
      <c r="F292" s="11" t="str" cm="1">
        <f t="array" ref="F292">_xlfn.XLOOKUP(fsales[[#This Row],[ProductID]],dProduct[[#All],[ProductID]],dProduct[[#All],[Product]])</f>
        <v>Carlota</v>
      </c>
      <c r="G292" s="11" t="str" cm="1">
        <f t="array" ref="G292">_xlfn.XLOOKUP(fsales[[#This Row],[ProductID]],dProduct[[#All],[ProductID]],dProduct[[#All],[Supplier]])</f>
        <v>Gel Booms</v>
      </c>
      <c r="H292" s="11" t="str" cm="1">
        <f t="array" ref="H292">_xlfn.XLOOKUP(fsales[[#This Row],[SalesRepID]],dSalesRep[[#All],[SalesRepID]],dSalesRep[[#All],[Region]])</f>
        <v>CA</v>
      </c>
    </row>
    <row r="293" spans="1:8" x14ac:dyDescent="0.3">
      <c r="A293" s="1">
        <v>45248</v>
      </c>
      <c r="B293">
        <v>2</v>
      </c>
      <c r="C293">
        <v>4</v>
      </c>
      <c r="D293">
        <v>183</v>
      </c>
      <c r="E293" s="11" cm="1">
        <f t="array" ref="E293">_xlfn.XLOOKUP(fsales[[#This Row],[ProductID]],dProduct[[#All],[ProductID]],dProduct[[#All],[Price]])*fsales[[#This Row],[Units]]</f>
        <v>5480.8499999999995</v>
      </c>
      <c r="F293" s="11" t="str" cm="1">
        <f t="array" ref="F293">_xlfn.XLOOKUP(fsales[[#This Row],[ProductID]],dProduct[[#All],[ProductID]],dProduct[[#All],[Product]])</f>
        <v>Carlota</v>
      </c>
      <c r="G293" s="11" t="str" cm="1">
        <f t="array" ref="G293">_xlfn.XLOOKUP(fsales[[#This Row],[ProductID]],dProduct[[#All],[ProductID]],dProduct[[#All],[Supplier]])</f>
        <v>Gel Booms</v>
      </c>
      <c r="H293" s="11" t="str" cm="1">
        <f t="array" ref="H293">_xlfn.XLOOKUP(fsales[[#This Row],[SalesRepID]],dSalesRep[[#All],[SalesRepID]],dSalesRep[[#All],[Region]])</f>
        <v>WA</v>
      </c>
    </row>
    <row r="294" spans="1:8" x14ac:dyDescent="0.3">
      <c r="A294" s="1">
        <v>44542</v>
      </c>
      <c r="B294">
        <v>4</v>
      </c>
      <c r="C294">
        <v>2</v>
      </c>
      <c r="D294">
        <v>6</v>
      </c>
      <c r="E294" s="11" cm="1">
        <f t="array" ref="E294">_xlfn.XLOOKUP(fsales[[#This Row],[ProductID]],dProduct[[#All],[ProductID]],dProduct[[#All],[Price]])*fsales[[#This Row],[Units]]</f>
        <v>143.69999999999999</v>
      </c>
      <c r="F294" s="11" t="str" cm="1">
        <f t="array" ref="F294">_xlfn.XLOOKUP(fsales[[#This Row],[ProductID]],dProduct[[#All],[ProductID]],dProduct[[#All],[Product]])</f>
        <v>Yanaki</v>
      </c>
      <c r="G294" s="11" t="str" cm="1">
        <f t="array" ref="G294">_xlfn.XLOOKUP(fsales[[#This Row],[ProductID]],dProduct[[#All],[ProductID]],dProduct[[#All],[Supplier]])</f>
        <v>Colorado Booms</v>
      </c>
      <c r="H294" s="11" t="str" cm="1">
        <f t="array" ref="H294">_xlfn.XLOOKUP(fsales[[#This Row],[SalesRepID]],dSalesRep[[#All],[SalesRepID]],dSalesRep[[#All],[Region]])</f>
        <v>CA</v>
      </c>
    </row>
    <row r="295" spans="1:8" x14ac:dyDescent="0.3">
      <c r="A295" s="1">
        <v>44893</v>
      </c>
      <c r="B295">
        <v>4</v>
      </c>
      <c r="C295">
        <v>1</v>
      </c>
      <c r="D295">
        <v>5</v>
      </c>
      <c r="E295" s="11" cm="1">
        <f t="array" ref="E295">_xlfn.XLOOKUP(fsales[[#This Row],[ProductID]],dProduct[[#All],[ProductID]],dProduct[[#All],[Price]])*fsales[[#This Row],[Units]]</f>
        <v>119.75</v>
      </c>
      <c r="F295" s="11" t="str" cm="1">
        <f t="array" ref="F295">_xlfn.XLOOKUP(fsales[[#This Row],[ProductID]],dProduct[[#All],[ProductID]],dProduct[[#All],[Product]])</f>
        <v>Yanaki</v>
      </c>
      <c r="G295" s="11" t="str" cm="1">
        <f t="array" ref="G295">_xlfn.XLOOKUP(fsales[[#This Row],[ProductID]],dProduct[[#All],[ProductID]],dProduct[[#All],[Supplier]])</f>
        <v>Colorado Booms</v>
      </c>
      <c r="H295" s="11" t="str" cm="1">
        <f t="array" ref="H295">_xlfn.XLOOKUP(fsales[[#This Row],[SalesRepID]],dSalesRep[[#All],[SalesRepID]],dSalesRep[[#All],[Region]])</f>
        <v>CA</v>
      </c>
    </row>
    <row r="296" spans="1:8" x14ac:dyDescent="0.3">
      <c r="A296" s="1">
        <v>45062</v>
      </c>
      <c r="B296">
        <v>2</v>
      </c>
      <c r="C296">
        <v>1</v>
      </c>
      <c r="D296">
        <v>3</v>
      </c>
      <c r="E296" s="11" cm="1">
        <f t="array" ref="E296">_xlfn.XLOOKUP(fsales[[#This Row],[ProductID]],dProduct[[#All],[ProductID]],dProduct[[#All],[Price]])*fsales[[#This Row],[Units]]</f>
        <v>89.85</v>
      </c>
      <c r="F296" s="11" t="str" cm="1">
        <f t="array" ref="F296">_xlfn.XLOOKUP(fsales[[#This Row],[ProductID]],dProduct[[#All],[ProductID]],dProduct[[#All],[Product]])</f>
        <v>Carlota</v>
      </c>
      <c r="G296" s="11" t="str" cm="1">
        <f t="array" ref="G296">_xlfn.XLOOKUP(fsales[[#This Row],[ProductID]],dProduct[[#All],[ProductID]],dProduct[[#All],[Supplier]])</f>
        <v>Gel Booms</v>
      </c>
      <c r="H296" s="11" t="str" cm="1">
        <f t="array" ref="H296">_xlfn.XLOOKUP(fsales[[#This Row],[SalesRepID]],dSalesRep[[#All],[SalesRepID]],dSalesRep[[#All],[Region]])</f>
        <v>CA</v>
      </c>
    </row>
    <row r="297" spans="1:8" x14ac:dyDescent="0.3">
      <c r="A297" s="1">
        <v>44888</v>
      </c>
      <c r="B297">
        <v>1</v>
      </c>
      <c r="C297">
        <v>1</v>
      </c>
      <c r="D297">
        <v>58</v>
      </c>
      <c r="E297" s="11" cm="1">
        <f t="array" ref="E297">_xlfn.XLOOKUP(fsales[[#This Row],[ProductID]],dProduct[[#All],[ProductID]],dProduct[[#All],[Price]])*fsales[[#This Row],[Units]]</f>
        <v>2549.1000000000004</v>
      </c>
      <c r="F297" s="11" t="str" cm="1">
        <f t="array" ref="F297">_xlfn.XLOOKUP(fsales[[#This Row],[ProductID]],dProduct[[#All],[ProductID]],dProduct[[#All],[Product]])</f>
        <v>Quad</v>
      </c>
      <c r="G297" s="11" t="str" cm="1">
        <f t="array" ref="G297">_xlfn.XLOOKUP(fsales[[#This Row],[ProductID]],dProduct[[#All],[ProductID]],dProduct[[#All],[Supplier]])</f>
        <v>Gel Booms</v>
      </c>
      <c r="H297" s="11" t="str" cm="1">
        <f t="array" ref="H297">_xlfn.XLOOKUP(fsales[[#This Row],[SalesRepID]],dSalesRep[[#All],[SalesRepID]],dSalesRep[[#All],[Region]])</f>
        <v>CA</v>
      </c>
    </row>
    <row r="298" spans="1:8" x14ac:dyDescent="0.3">
      <c r="A298" s="1">
        <v>44902</v>
      </c>
      <c r="B298">
        <v>1</v>
      </c>
      <c r="C298">
        <v>4</v>
      </c>
      <c r="D298">
        <v>97</v>
      </c>
      <c r="E298" s="11" cm="1">
        <f t="array" ref="E298">_xlfn.XLOOKUP(fsales[[#This Row],[ProductID]],dProduct[[#All],[ProductID]],dProduct[[#All],[Price]])*fsales[[#This Row],[Units]]</f>
        <v>4263.1500000000005</v>
      </c>
      <c r="F298" s="11" t="str" cm="1">
        <f t="array" ref="F298">_xlfn.XLOOKUP(fsales[[#This Row],[ProductID]],dProduct[[#All],[ProductID]],dProduct[[#All],[Product]])</f>
        <v>Quad</v>
      </c>
      <c r="G298" s="11" t="str" cm="1">
        <f t="array" ref="G298">_xlfn.XLOOKUP(fsales[[#This Row],[ProductID]],dProduct[[#All],[ProductID]],dProduct[[#All],[Supplier]])</f>
        <v>Gel Booms</v>
      </c>
      <c r="H298" s="11" t="str" cm="1">
        <f t="array" ref="H298">_xlfn.XLOOKUP(fsales[[#This Row],[SalesRepID]],dSalesRep[[#All],[SalesRepID]],dSalesRep[[#All],[Region]])</f>
        <v>WA</v>
      </c>
    </row>
    <row r="299" spans="1:8" x14ac:dyDescent="0.3">
      <c r="A299" s="1">
        <v>44918</v>
      </c>
      <c r="B299">
        <v>2</v>
      </c>
      <c r="C299">
        <v>2</v>
      </c>
      <c r="D299">
        <v>105</v>
      </c>
      <c r="E299" s="11" cm="1">
        <f t="array" ref="E299">_xlfn.XLOOKUP(fsales[[#This Row],[ProductID]],dProduct[[#All],[ProductID]],dProduct[[#All],[Price]])*fsales[[#This Row],[Units]]</f>
        <v>3144.75</v>
      </c>
      <c r="F299" s="11" t="str" cm="1">
        <f t="array" ref="F299">_xlfn.XLOOKUP(fsales[[#This Row],[ProductID]],dProduct[[#All],[ProductID]],dProduct[[#All],[Product]])</f>
        <v>Carlota</v>
      </c>
      <c r="G299" s="11" t="str" cm="1">
        <f t="array" ref="G299">_xlfn.XLOOKUP(fsales[[#This Row],[ProductID]],dProduct[[#All],[ProductID]],dProduct[[#All],[Supplier]])</f>
        <v>Gel Booms</v>
      </c>
      <c r="H299" s="11" t="str" cm="1">
        <f t="array" ref="H299">_xlfn.XLOOKUP(fsales[[#This Row],[SalesRepID]],dSalesRep[[#All],[SalesRepID]],dSalesRep[[#All],[Region]])</f>
        <v>CA</v>
      </c>
    </row>
    <row r="300" spans="1:8" x14ac:dyDescent="0.3">
      <c r="A300" s="1">
        <v>45266</v>
      </c>
      <c r="B300">
        <v>3</v>
      </c>
      <c r="C300">
        <v>4</v>
      </c>
      <c r="D300">
        <v>5</v>
      </c>
      <c r="E300" s="11" cm="1">
        <f t="array" ref="E300">_xlfn.XLOOKUP(fsales[[#This Row],[ProductID]],dProduct[[#All],[ProductID]],dProduct[[#All],[Price]])*fsales[[#This Row],[Units]]</f>
        <v>129.75</v>
      </c>
      <c r="F300" s="11" t="str" cm="1">
        <f t="array" ref="F300">_xlfn.XLOOKUP(fsales[[#This Row],[ProductID]],dProduct[[#All],[ProductID]],dProduct[[#All],[Product]])</f>
        <v>Aspen</v>
      </c>
      <c r="G300" s="11" t="str" cm="1">
        <f t="array" ref="G300">_xlfn.XLOOKUP(fsales[[#This Row],[ProductID]],dProduct[[#All],[ProductID]],dProduct[[#All],[Supplier]])</f>
        <v>Colorado Booms</v>
      </c>
      <c r="H300" s="11" t="str" cm="1">
        <f t="array" ref="H300">_xlfn.XLOOKUP(fsales[[#This Row],[SalesRepID]],dSalesRep[[#All],[SalesRepID]],dSalesRep[[#All],[Region]])</f>
        <v>WA</v>
      </c>
    </row>
    <row r="301" spans="1:8" x14ac:dyDescent="0.3">
      <c r="A301" s="1">
        <v>44449</v>
      </c>
      <c r="B301">
        <v>2</v>
      </c>
      <c r="C301">
        <v>4</v>
      </c>
      <c r="D301">
        <v>57</v>
      </c>
      <c r="E301" s="11" cm="1">
        <f t="array" ref="E301">_xlfn.XLOOKUP(fsales[[#This Row],[ProductID]],dProduct[[#All],[ProductID]],dProduct[[#All],[Price]])*fsales[[#This Row],[Units]]</f>
        <v>1707.1499999999999</v>
      </c>
      <c r="F301" s="11" t="str" cm="1">
        <f t="array" ref="F301">_xlfn.XLOOKUP(fsales[[#This Row],[ProductID]],dProduct[[#All],[ProductID]],dProduct[[#All],[Product]])</f>
        <v>Carlota</v>
      </c>
      <c r="G301" s="11" t="str" cm="1">
        <f t="array" ref="G301">_xlfn.XLOOKUP(fsales[[#This Row],[ProductID]],dProduct[[#All],[ProductID]],dProduct[[#All],[Supplier]])</f>
        <v>Gel Booms</v>
      </c>
      <c r="H301" s="11" t="str" cm="1">
        <f t="array" ref="H301">_xlfn.XLOOKUP(fsales[[#This Row],[SalesRepID]],dSalesRep[[#All],[SalesRepID]],dSalesRep[[#All],[Region]])</f>
        <v>WA</v>
      </c>
    </row>
    <row r="302" spans="1:8" x14ac:dyDescent="0.3">
      <c r="A302" s="1">
        <v>45241</v>
      </c>
      <c r="B302">
        <v>1</v>
      </c>
      <c r="C302">
        <v>2</v>
      </c>
      <c r="D302">
        <v>120</v>
      </c>
      <c r="E302" s="11" cm="1">
        <f t="array" ref="E302">_xlfn.XLOOKUP(fsales[[#This Row],[ProductID]],dProduct[[#All],[ProductID]],dProduct[[#All],[Price]])*fsales[[#This Row],[Units]]</f>
        <v>5274</v>
      </c>
      <c r="F302" s="11" t="str" cm="1">
        <f t="array" ref="F302">_xlfn.XLOOKUP(fsales[[#This Row],[ProductID]],dProduct[[#All],[ProductID]],dProduct[[#All],[Product]])</f>
        <v>Quad</v>
      </c>
      <c r="G302" s="11" t="str" cm="1">
        <f t="array" ref="G302">_xlfn.XLOOKUP(fsales[[#This Row],[ProductID]],dProduct[[#All],[ProductID]],dProduct[[#All],[Supplier]])</f>
        <v>Gel Booms</v>
      </c>
      <c r="H302" s="11" t="str" cm="1">
        <f t="array" ref="H302">_xlfn.XLOOKUP(fsales[[#This Row],[SalesRepID]],dSalesRep[[#All],[SalesRepID]],dSalesRep[[#All],[Region]])</f>
        <v>CA</v>
      </c>
    </row>
    <row r="303" spans="1:8" x14ac:dyDescent="0.3">
      <c r="A303" s="1">
        <v>44501</v>
      </c>
      <c r="B303">
        <v>2</v>
      </c>
      <c r="C303">
        <v>1</v>
      </c>
      <c r="D303">
        <v>5</v>
      </c>
      <c r="E303" s="11" cm="1">
        <f t="array" ref="E303">_xlfn.XLOOKUP(fsales[[#This Row],[ProductID]],dProduct[[#All],[ProductID]],dProduct[[#All],[Price]])*fsales[[#This Row],[Units]]</f>
        <v>149.75</v>
      </c>
      <c r="F303" s="11" t="str" cm="1">
        <f t="array" ref="F303">_xlfn.XLOOKUP(fsales[[#This Row],[ProductID]],dProduct[[#All],[ProductID]],dProduct[[#All],[Product]])</f>
        <v>Carlota</v>
      </c>
      <c r="G303" s="11" t="str" cm="1">
        <f t="array" ref="G303">_xlfn.XLOOKUP(fsales[[#This Row],[ProductID]],dProduct[[#All],[ProductID]],dProduct[[#All],[Supplier]])</f>
        <v>Gel Booms</v>
      </c>
      <c r="H303" s="11" t="str" cm="1">
        <f t="array" ref="H303">_xlfn.XLOOKUP(fsales[[#This Row],[SalesRepID]],dSalesRep[[#All],[SalesRepID]],dSalesRep[[#All],[Region]])</f>
        <v>CA</v>
      </c>
    </row>
    <row r="304" spans="1:8" x14ac:dyDescent="0.3">
      <c r="A304" s="1">
        <v>45269</v>
      </c>
      <c r="B304">
        <v>2</v>
      </c>
      <c r="C304">
        <v>2</v>
      </c>
      <c r="D304">
        <v>3</v>
      </c>
      <c r="E304" s="11" cm="1">
        <f t="array" ref="E304">_xlfn.XLOOKUP(fsales[[#This Row],[ProductID]],dProduct[[#All],[ProductID]],dProduct[[#All],[Price]])*fsales[[#This Row],[Units]]</f>
        <v>89.85</v>
      </c>
      <c r="F304" s="11" t="str" cm="1">
        <f t="array" ref="F304">_xlfn.XLOOKUP(fsales[[#This Row],[ProductID]],dProduct[[#All],[ProductID]],dProduct[[#All],[Product]])</f>
        <v>Carlota</v>
      </c>
      <c r="G304" s="11" t="str" cm="1">
        <f t="array" ref="G304">_xlfn.XLOOKUP(fsales[[#This Row],[ProductID]],dProduct[[#All],[ProductID]],dProduct[[#All],[Supplier]])</f>
        <v>Gel Booms</v>
      </c>
      <c r="H304" s="11" t="str" cm="1">
        <f t="array" ref="H304">_xlfn.XLOOKUP(fsales[[#This Row],[SalesRepID]],dSalesRep[[#All],[SalesRepID]],dSalesRep[[#All],[Region]])</f>
        <v>CA</v>
      </c>
    </row>
    <row r="305" spans="1:8" x14ac:dyDescent="0.3">
      <c r="A305" s="1">
        <v>44729</v>
      </c>
      <c r="B305">
        <v>1</v>
      </c>
      <c r="C305">
        <v>4</v>
      </c>
      <c r="D305">
        <v>107</v>
      </c>
      <c r="E305" s="11" cm="1">
        <f t="array" ref="E305">_xlfn.XLOOKUP(fsales[[#This Row],[ProductID]],dProduct[[#All],[ProductID]],dProduct[[#All],[Price]])*fsales[[#This Row],[Units]]</f>
        <v>4702.6500000000005</v>
      </c>
      <c r="F305" s="11" t="str" cm="1">
        <f t="array" ref="F305">_xlfn.XLOOKUP(fsales[[#This Row],[ProductID]],dProduct[[#All],[ProductID]],dProduct[[#All],[Product]])</f>
        <v>Quad</v>
      </c>
      <c r="G305" s="11" t="str" cm="1">
        <f t="array" ref="G305">_xlfn.XLOOKUP(fsales[[#This Row],[ProductID]],dProduct[[#All],[ProductID]],dProduct[[#All],[Supplier]])</f>
        <v>Gel Booms</v>
      </c>
      <c r="H305" s="11" t="str" cm="1">
        <f t="array" ref="H305">_xlfn.XLOOKUP(fsales[[#This Row],[SalesRepID]],dSalesRep[[#All],[SalesRepID]],dSalesRep[[#All],[Region]])</f>
        <v>WA</v>
      </c>
    </row>
    <row r="306" spans="1:8" x14ac:dyDescent="0.3">
      <c r="A306" s="1">
        <v>45032</v>
      </c>
      <c r="B306">
        <v>2</v>
      </c>
      <c r="C306">
        <v>2</v>
      </c>
      <c r="D306">
        <v>1</v>
      </c>
      <c r="E306" s="11" cm="1">
        <f t="array" ref="E306">_xlfn.XLOOKUP(fsales[[#This Row],[ProductID]],dProduct[[#All],[ProductID]],dProduct[[#All],[Price]])*fsales[[#This Row],[Units]]</f>
        <v>29.95</v>
      </c>
      <c r="F306" s="11" t="str" cm="1">
        <f t="array" ref="F306">_xlfn.XLOOKUP(fsales[[#This Row],[ProductID]],dProduct[[#All],[ProductID]],dProduct[[#All],[Product]])</f>
        <v>Carlota</v>
      </c>
      <c r="G306" s="11" t="str" cm="1">
        <f t="array" ref="G306">_xlfn.XLOOKUP(fsales[[#This Row],[ProductID]],dProduct[[#All],[ProductID]],dProduct[[#All],[Supplier]])</f>
        <v>Gel Booms</v>
      </c>
      <c r="H306" s="11" t="str" cm="1">
        <f t="array" ref="H306">_xlfn.XLOOKUP(fsales[[#This Row],[SalesRepID]],dSalesRep[[#All],[SalesRepID]],dSalesRep[[#All],[Region]])</f>
        <v>CA</v>
      </c>
    </row>
    <row r="307" spans="1:8" x14ac:dyDescent="0.3">
      <c r="A307" s="1">
        <v>45210</v>
      </c>
      <c r="B307">
        <v>2</v>
      </c>
      <c r="C307">
        <v>4</v>
      </c>
      <c r="D307">
        <v>106</v>
      </c>
      <c r="E307" s="11" cm="1">
        <f t="array" ref="E307">_xlfn.XLOOKUP(fsales[[#This Row],[ProductID]],dProduct[[#All],[ProductID]],dProduct[[#All],[Price]])*fsales[[#This Row],[Units]]</f>
        <v>3174.7</v>
      </c>
      <c r="F307" s="11" t="str" cm="1">
        <f t="array" ref="F307">_xlfn.XLOOKUP(fsales[[#This Row],[ProductID]],dProduct[[#All],[ProductID]],dProduct[[#All],[Product]])</f>
        <v>Carlota</v>
      </c>
      <c r="G307" s="11" t="str" cm="1">
        <f t="array" ref="G307">_xlfn.XLOOKUP(fsales[[#This Row],[ProductID]],dProduct[[#All],[ProductID]],dProduct[[#All],[Supplier]])</f>
        <v>Gel Booms</v>
      </c>
      <c r="H307" s="11" t="str" cm="1">
        <f t="array" ref="H307">_xlfn.XLOOKUP(fsales[[#This Row],[SalesRepID]],dSalesRep[[#All],[SalesRepID]],dSalesRep[[#All],[Region]])</f>
        <v>WA</v>
      </c>
    </row>
    <row r="308" spans="1:8" x14ac:dyDescent="0.3">
      <c r="A308" s="1">
        <v>44471</v>
      </c>
      <c r="B308">
        <v>2</v>
      </c>
      <c r="C308">
        <v>4</v>
      </c>
      <c r="D308">
        <v>1</v>
      </c>
      <c r="E308" s="11" cm="1">
        <f t="array" ref="E308">_xlfn.XLOOKUP(fsales[[#This Row],[ProductID]],dProduct[[#All],[ProductID]],dProduct[[#All],[Price]])*fsales[[#This Row],[Units]]</f>
        <v>29.95</v>
      </c>
      <c r="F308" s="11" t="str" cm="1">
        <f t="array" ref="F308">_xlfn.XLOOKUP(fsales[[#This Row],[ProductID]],dProduct[[#All],[ProductID]],dProduct[[#All],[Product]])</f>
        <v>Carlota</v>
      </c>
      <c r="G308" s="11" t="str" cm="1">
        <f t="array" ref="G308">_xlfn.XLOOKUP(fsales[[#This Row],[ProductID]],dProduct[[#All],[ProductID]],dProduct[[#All],[Supplier]])</f>
        <v>Gel Booms</v>
      </c>
      <c r="H308" s="11" t="str" cm="1">
        <f t="array" ref="H308">_xlfn.XLOOKUP(fsales[[#This Row],[SalesRepID]],dSalesRep[[#All],[SalesRepID]],dSalesRep[[#All],[Region]])</f>
        <v>WA</v>
      </c>
    </row>
    <row r="309" spans="1:8" x14ac:dyDescent="0.3">
      <c r="A309" s="1">
        <v>44714</v>
      </c>
      <c r="B309">
        <v>2</v>
      </c>
      <c r="C309">
        <v>2</v>
      </c>
      <c r="D309">
        <v>263</v>
      </c>
      <c r="E309" s="11" cm="1">
        <f t="array" ref="E309">_xlfn.XLOOKUP(fsales[[#This Row],[ProductID]],dProduct[[#All],[ProductID]],dProduct[[#All],[Price]])*fsales[[#This Row],[Units]]</f>
        <v>7876.8499999999995</v>
      </c>
      <c r="F309" s="11" t="str" cm="1">
        <f t="array" ref="F309">_xlfn.XLOOKUP(fsales[[#This Row],[ProductID]],dProduct[[#All],[ProductID]],dProduct[[#All],[Product]])</f>
        <v>Carlota</v>
      </c>
      <c r="G309" s="11" t="str" cm="1">
        <f t="array" ref="G309">_xlfn.XLOOKUP(fsales[[#This Row],[ProductID]],dProduct[[#All],[ProductID]],dProduct[[#All],[Supplier]])</f>
        <v>Gel Booms</v>
      </c>
      <c r="H309" s="11" t="str" cm="1">
        <f t="array" ref="H309">_xlfn.XLOOKUP(fsales[[#This Row],[SalesRepID]],dSalesRep[[#All],[SalesRepID]],dSalesRep[[#All],[Region]])</f>
        <v>CA</v>
      </c>
    </row>
    <row r="310" spans="1:8" x14ac:dyDescent="0.3">
      <c r="A310" s="1">
        <v>45135</v>
      </c>
      <c r="B310">
        <v>2</v>
      </c>
      <c r="C310">
        <v>2</v>
      </c>
      <c r="D310">
        <v>4</v>
      </c>
      <c r="E310" s="11" cm="1">
        <f t="array" ref="E310">_xlfn.XLOOKUP(fsales[[#This Row],[ProductID]],dProduct[[#All],[ProductID]],dProduct[[#All],[Price]])*fsales[[#This Row],[Units]]</f>
        <v>119.8</v>
      </c>
      <c r="F310" s="11" t="str" cm="1">
        <f t="array" ref="F310">_xlfn.XLOOKUP(fsales[[#This Row],[ProductID]],dProduct[[#All],[ProductID]],dProduct[[#All],[Product]])</f>
        <v>Carlota</v>
      </c>
      <c r="G310" s="11" t="str" cm="1">
        <f t="array" ref="G310">_xlfn.XLOOKUP(fsales[[#This Row],[ProductID]],dProduct[[#All],[ProductID]],dProduct[[#All],[Supplier]])</f>
        <v>Gel Booms</v>
      </c>
      <c r="H310" s="11" t="str" cm="1">
        <f t="array" ref="H310">_xlfn.XLOOKUP(fsales[[#This Row],[SalesRepID]],dSalesRep[[#All],[SalesRepID]],dSalesRep[[#All],[Region]])</f>
        <v>CA</v>
      </c>
    </row>
    <row r="311" spans="1:8" x14ac:dyDescent="0.3">
      <c r="A311" s="1">
        <v>44517</v>
      </c>
      <c r="B311">
        <v>2</v>
      </c>
      <c r="C311">
        <v>2</v>
      </c>
      <c r="D311">
        <v>82</v>
      </c>
      <c r="E311" s="11" cm="1">
        <f t="array" ref="E311">_xlfn.XLOOKUP(fsales[[#This Row],[ProductID]],dProduct[[#All],[ProductID]],dProduct[[#All],[Price]])*fsales[[#This Row],[Units]]</f>
        <v>2455.9</v>
      </c>
      <c r="F311" s="11" t="str" cm="1">
        <f t="array" ref="F311">_xlfn.XLOOKUP(fsales[[#This Row],[ProductID]],dProduct[[#All],[ProductID]],dProduct[[#All],[Product]])</f>
        <v>Carlota</v>
      </c>
      <c r="G311" s="11" t="str" cm="1">
        <f t="array" ref="G311">_xlfn.XLOOKUP(fsales[[#This Row],[ProductID]],dProduct[[#All],[ProductID]],dProduct[[#All],[Supplier]])</f>
        <v>Gel Booms</v>
      </c>
      <c r="H311" s="11" t="str" cm="1">
        <f t="array" ref="H311">_xlfn.XLOOKUP(fsales[[#This Row],[SalesRepID]],dSalesRep[[#All],[SalesRepID]],dSalesRep[[#All],[Region]])</f>
        <v>CA</v>
      </c>
    </row>
    <row r="312" spans="1:8" x14ac:dyDescent="0.3">
      <c r="A312" s="1">
        <v>44915</v>
      </c>
      <c r="B312">
        <v>2</v>
      </c>
      <c r="C312">
        <v>3</v>
      </c>
      <c r="D312">
        <v>3</v>
      </c>
      <c r="E312" s="11" cm="1">
        <f t="array" ref="E312">_xlfn.XLOOKUP(fsales[[#This Row],[ProductID]],dProduct[[#All],[ProductID]],dProduct[[#All],[Price]])*fsales[[#This Row],[Units]]</f>
        <v>89.85</v>
      </c>
      <c r="F312" s="11" t="str" cm="1">
        <f t="array" ref="F312">_xlfn.XLOOKUP(fsales[[#This Row],[ProductID]],dProduct[[#All],[ProductID]],dProduct[[#All],[Product]])</f>
        <v>Carlota</v>
      </c>
      <c r="G312" s="11" t="str" cm="1">
        <f t="array" ref="G312">_xlfn.XLOOKUP(fsales[[#This Row],[ProductID]],dProduct[[#All],[ProductID]],dProduct[[#All],[Supplier]])</f>
        <v>Gel Booms</v>
      </c>
      <c r="H312" s="11" t="str" cm="1">
        <f t="array" ref="H312">_xlfn.XLOOKUP(fsales[[#This Row],[SalesRepID]],dSalesRep[[#All],[SalesRepID]],dSalesRep[[#All],[Region]])</f>
        <v>WA</v>
      </c>
    </row>
    <row r="313" spans="1:8" x14ac:dyDescent="0.3">
      <c r="A313" s="1">
        <v>44542</v>
      </c>
      <c r="B313">
        <v>2</v>
      </c>
      <c r="C313">
        <v>2</v>
      </c>
      <c r="D313">
        <v>127</v>
      </c>
      <c r="E313" s="11" cm="1">
        <f t="array" ref="E313">_xlfn.XLOOKUP(fsales[[#This Row],[ProductID]],dProduct[[#All],[ProductID]],dProduct[[#All],[Price]])*fsales[[#This Row],[Units]]</f>
        <v>3803.65</v>
      </c>
      <c r="F313" s="11" t="str" cm="1">
        <f t="array" ref="F313">_xlfn.XLOOKUP(fsales[[#This Row],[ProductID]],dProduct[[#All],[ProductID]],dProduct[[#All],[Product]])</f>
        <v>Carlota</v>
      </c>
      <c r="G313" s="11" t="str" cm="1">
        <f t="array" ref="G313">_xlfn.XLOOKUP(fsales[[#This Row],[ProductID]],dProduct[[#All],[ProductID]],dProduct[[#All],[Supplier]])</f>
        <v>Gel Booms</v>
      </c>
      <c r="H313" s="11" t="str" cm="1">
        <f t="array" ref="H313">_xlfn.XLOOKUP(fsales[[#This Row],[SalesRepID]],dSalesRep[[#All],[SalesRepID]],dSalesRep[[#All],[Region]])</f>
        <v>CA</v>
      </c>
    </row>
    <row r="314" spans="1:8" x14ac:dyDescent="0.3">
      <c r="A314" s="1">
        <v>44878</v>
      </c>
      <c r="B314">
        <v>4</v>
      </c>
      <c r="C314">
        <v>3</v>
      </c>
      <c r="D314">
        <v>46</v>
      </c>
      <c r="E314" s="11" cm="1">
        <f t="array" ref="E314">_xlfn.XLOOKUP(fsales[[#This Row],[ProductID]],dProduct[[#All],[ProductID]],dProduct[[#All],[Price]])*fsales[[#This Row],[Units]]</f>
        <v>1101.7</v>
      </c>
      <c r="F314" s="11" t="str" cm="1">
        <f t="array" ref="F314">_xlfn.XLOOKUP(fsales[[#This Row],[ProductID]],dProduct[[#All],[ProductID]],dProduct[[#All],[Product]])</f>
        <v>Yanaki</v>
      </c>
      <c r="G314" s="11" t="str" cm="1">
        <f t="array" ref="G314">_xlfn.XLOOKUP(fsales[[#This Row],[ProductID]],dProduct[[#All],[ProductID]],dProduct[[#All],[Supplier]])</f>
        <v>Colorado Booms</v>
      </c>
      <c r="H314" s="11" t="str" cm="1">
        <f t="array" ref="H314">_xlfn.XLOOKUP(fsales[[#This Row],[SalesRepID]],dSalesRep[[#All],[SalesRepID]],dSalesRep[[#All],[Region]])</f>
        <v>WA</v>
      </c>
    </row>
    <row r="315" spans="1:8" x14ac:dyDescent="0.3">
      <c r="A315" s="1">
        <v>44870</v>
      </c>
      <c r="B315">
        <v>2</v>
      </c>
      <c r="C315">
        <v>3</v>
      </c>
      <c r="D315">
        <v>105</v>
      </c>
      <c r="E315" s="11" cm="1">
        <f t="array" ref="E315">_xlfn.XLOOKUP(fsales[[#This Row],[ProductID]],dProduct[[#All],[ProductID]],dProduct[[#All],[Price]])*fsales[[#This Row],[Units]]</f>
        <v>3144.75</v>
      </c>
      <c r="F315" s="11" t="str" cm="1">
        <f t="array" ref="F315">_xlfn.XLOOKUP(fsales[[#This Row],[ProductID]],dProduct[[#All],[ProductID]],dProduct[[#All],[Product]])</f>
        <v>Carlota</v>
      </c>
      <c r="G315" s="11" t="str" cm="1">
        <f t="array" ref="G315">_xlfn.XLOOKUP(fsales[[#This Row],[ProductID]],dProduct[[#All],[ProductID]],dProduct[[#All],[Supplier]])</f>
        <v>Gel Booms</v>
      </c>
      <c r="H315" s="11" t="str" cm="1">
        <f t="array" ref="H315">_xlfn.XLOOKUP(fsales[[#This Row],[SalesRepID]],dSalesRep[[#All],[SalesRepID]],dSalesRep[[#All],[Region]])</f>
        <v>WA</v>
      </c>
    </row>
    <row r="316" spans="1:8" x14ac:dyDescent="0.3">
      <c r="A316" s="1">
        <v>44327</v>
      </c>
      <c r="B316">
        <v>1</v>
      </c>
      <c r="C316">
        <v>2</v>
      </c>
      <c r="D316">
        <v>8</v>
      </c>
      <c r="E316" s="11" cm="1">
        <f t="array" ref="E316">_xlfn.XLOOKUP(fsales[[#This Row],[ProductID]],dProduct[[#All],[ProductID]],dProduct[[#All],[Price]])*fsales[[#This Row],[Units]]</f>
        <v>351.6</v>
      </c>
      <c r="F316" s="11" t="str" cm="1">
        <f t="array" ref="F316">_xlfn.XLOOKUP(fsales[[#This Row],[ProductID]],dProduct[[#All],[ProductID]],dProduct[[#All],[Product]])</f>
        <v>Quad</v>
      </c>
      <c r="G316" s="11" t="str" cm="1">
        <f t="array" ref="G316">_xlfn.XLOOKUP(fsales[[#This Row],[ProductID]],dProduct[[#All],[ProductID]],dProduct[[#All],[Supplier]])</f>
        <v>Gel Booms</v>
      </c>
      <c r="H316" s="11" t="str" cm="1">
        <f t="array" ref="H316">_xlfn.XLOOKUP(fsales[[#This Row],[SalesRepID]],dSalesRep[[#All],[SalesRepID]],dSalesRep[[#All],[Region]])</f>
        <v>CA</v>
      </c>
    </row>
    <row r="317" spans="1:8" x14ac:dyDescent="0.3">
      <c r="A317" s="1">
        <v>44542</v>
      </c>
      <c r="B317">
        <v>1</v>
      </c>
      <c r="C317">
        <v>4</v>
      </c>
      <c r="D317">
        <v>168</v>
      </c>
      <c r="E317" s="11" cm="1">
        <f t="array" ref="E317">_xlfn.XLOOKUP(fsales[[#This Row],[ProductID]],dProduct[[#All],[ProductID]],dProduct[[#All],[Price]])*fsales[[#This Row],[Units]]</f>
        <v>7383.6</v>
      </c>
      <c r="F317" s="11" t="str" cm="1">
        <f t="array" ref="F317">_xlfn.XLOOKUP(fsales[[#This Row],[ProductID]],dProduct[[#All],[ProductID]],dProduct[[#All],[Product]])</f>
        <v>Quad</v>
      </c>
      <c r="G317" s="11" t="str" cm="1">
        <f t="array" ref="G317">_xlfn.XLOOKUP(fsales[[#This Row],[ProductID]],dProduct[[#All],[ProductID]],dProduct[[#All],[Supplier]])</f>
        <v>Gel Booms</v>
      </c>
      <c r="H317" s="11" t="str" cm="1">
        <f t="array" ref="H317">_xlfn.XLOOKUP(fsales[[#This Row],[SalesRepID]],dSalesRep[[#All],[SalesRepID]],dSalesRep[[#All],[Region]])</f>
        <v>WA</v>
      </c>
    </row>
    <row r="318" spans="1:8" x14ac:dyDescent="0.3">
      <c r="A318" s="1">
        <v>44512</v>
      </c>
      <c r="B318">
        <v>2</v>
      </c>
      <c r="C318">
        <v>2</v>
      </c>
      <c r="D318">
        <v>3</v>
      </c>
      <c r="E318" s="11" cm="1">
        <f t="array" ref="E318">_xlfn.XLOOKUP(fsales[[#This Row],[ProductID]],dProduct[[#All],[ProductID]],dProduct[[#All],[Price]])*fsales[[#This Row],[Units]]</f>
        <v>89.85</v>
      </c>
      <c r="F318" s="11" t="str" cm="1">
        <f t="array" ref="F318">_xlfn.XLOOKUP(fsales[[#This Row],[ProductID]],dProduct[[#All],[ProductID]],dProduct[[#All],[Product]])</f>
        <v>Carlota</v>
      </c>
      <c r="G318" s="11" t="str" cm="1">
        <f t="array" ref="G318">_xlfn.XLOOKUP(fsales[[#This Row],[ProductID]],dProduct[[#All],[ProductID]],dProduct[[#All],[Supplier]])</f>
        <v>Gel Booms</v>
      </c>
      <c r="H318" s="11" t="str" cm="1">
        <f t="array" ref="H318">_xlfn.XLOOKUP(fsales[[#This Row],[SalesRepID]],dSalesRep[[#All],[SalesRepID]],dSalesRep[[#All],[Region]])</f>
        <v>CA</v>
      </c>
    </row>
    <row r="319" spans="1:8" x14ac:dyDescent="0.3">
      <c r="A319" s="1">
        <v>45152</v>
      </c>
      <c r="B319">
        <v>2</v>
      </c>
      <c r="C319">
        <v>2</v>
      </c>
      <c r="D319">
        <v>92</v>
      </c>
      <c r="E319" s="11" cm="1">
        <f t="array" ref="E319">_xlfn.XLOOKUP(fsales[[#This Row],[ProductID]],dProduct[[#All],[ProductID]],dProduct[[#All],[Price]])*fsales[[#This Row],[Units]]</f>
        <v>2755.4</v>
      </c>
      <c r="F319" s="11" t="str" cm="1">
        <f t="array" ref="F319">_xlfn.XLOOKUP(fsales[[#This Row],[ProductID]],dProduct[[#All],[ProductID]],dProduct[[#All],[Product]])</f>
        <v>Carlota</v>
      </c>
      <c r="G319" s="11" t="str" cm="1">
        <f t="array" ref="G319">_xlfn.XLOOKUP(fsales[[#This Row],[ProductID]],dProduct[[#All],[ProductID]],dProduct[[#All],[Supplier]])</f>
        <v>Gel Booms</v>
      </c>
      <c r="H319" s="11" t="str" cm="1">
        <f t="array" ref="H319">_xlfn.XLOOKUP(fsales[[#This Row],[SalesRepID]],dSalesRep[[#All],[SalesRepID]],dSalesRep[[#All],[Region]])</f>
        <v>CA</v>
      </c>
    </row>
    <row r="320" spans="1:8" x14ac:dyDescent="0.3">
      <c r="A320" s="1">
        <v>45052</v>
      </c>
      <c r="B320">
        <v>4</v>
      </c>
      <c r="C320">
        <v>4</v>
      </c>
      <c r="D320">
        <v>4</v>
      </c>
      <c r="E320" s="11" cm="1">
        <f t="array" ref="E320">_xlfn.XLOOKUP(fsales[[#This Row],[ProductID]],dProduct[[#All],[ProductID]],dProduct[[#All],[Price]])*fsales[[#This Row],[Units]]</f>
        <v>95.8</v>
      </c>
      <c r="F320" s="11" t="str" cm="1">
        <f t="array" ref="F320">_xlfn.XLOOKUP(fsales[[#This Row],[ProductID]],dProduct[[#All],[ProductID]],dProduct[[#All],[Product]])</f>
        <v>Yanaki</v>
      </c>
      <c r="G320" s="11" t="str" cm="1">
        <f t="array" ref="G320">_xlfn.XLOOKUP(fsales[[#This Row],[ProductID]],dProduct[[#All],[ProductID]],dProduct[[#All],[Supplier]])</f>
        <v>Colorado Booms</v>
      </c>
      <c r="H320" s="11" t="str" cm="1">
        <f t="array" ref="H320">_xlfn.XLOOKUP(fsales[[#This Row],[SalesRepID]],dSalesRep[[#All],[SalesRepID]],dSalesRep[[#All],[Region]])</f>
        <v>WA</v>
      </c>
    </row>
    <row r="321" spans="1:8" x14ac:dyDescent="0.3">
      <c r="A321" s="1">
        <v>44544</v>
      </c>
      <c r="B321">
        <v>2</v>
      </c>
      <c r="C321">
        <v>2</v>
      </c>
      <c r="D321">
        <v>90</v>
      </c>
      <c r="E321" s="11" cm="1">
        <f t="array" ref="E321">_xlfn.XLOOKUP(fsales[[#This Row],[ProductID]],dProduct[[#All],[ProductID]],dProduct[[#All],[Price]])*fsales[[#This Row],[Units]]</f>
        <v>2695.5</v>
      </c>
      <c r="F321" s="11" t="str" cm="1">
        <f t="array" ref="F321">_xlfn.XLOOKUP(fsales[[#This Row],[ProductID]],dProduct[[#All],[ProductID]],dProduct[[#All],[Product]])</f>
        <v>Carlota</v>
      </c>
      <c r="G321" s="11" t="str" cm="1">
        <f t="array" ref="G321">_xlfn.XLOOKUP(fsales[[#This Row],[ProductID]],dProduct[[#All],[ProductID]],dProduct[[#All],[Supplier]])</f>
        <v>Gel Booms</v>
      </c>
      <c r="H321" s="11" t="str" cm="1">
        <f t="array" ref="H321">_xlfn.XLOOKUP(fsales[[#This Row],[SalesRepID]],dSalesRep[[#All],[SalesRepID]],dSalesRep[[#All],[Region]])</f>
        <v>CA</v>
      </c>
    </row>
    <row r="322" spans="1:8" x14ac:dyDescent="0.3">
      <c r="A322" s="1">
        <v>44684</v>
      </c>
      <c r="B322">
        <v>2</v>
      </c>
      <c r="C322">
        <v>4</v>
      </c>
      <c r="D322">
        <v>233</v>
      </c>
      <c r="E322" s="11" cm="1">
        <f t="array" ref="E322">_xlfn.XLOOKUP(fsales[[#This Row],[ProductID]],dProduct[[#All],[ProductID]],dProduct[[#All],[Price]])*fsales[[#This Row],[Units]]</f>
        <v>6978.3499999999995</v>
      </c>
      <c r="F322" s="11" t="str" cm="1">
        <f t="array" ref="F322">_xlfn.XLOOKUP(fsales[[#This Row],[ProductID]],dProduct[[#All],[ProductID]],dProduct[[#All],[Product]])</f>
        <v>Carlota</v>
      </c>
      <c r="G322" s="11" t="str" cm="1">
        <f t="array" ref="G322">_xlfn.XLOOKUP(fsales[[#This Row],[ProductID]],dProduct[[#All],[ProductID]],dProduct[[#All],[Supplier]])</f>
        <v>Gel Booms</v>
      </c>
      <c r="H322" s="11" t="str" cm="1">
        <f t="array" ref="H322">_xlfn.XLOOKUP(fsales[[#This Row],[SalesRepID]],dSalesRep[[#All],[SalesRepID]],dSalesRep[[#All],[Region]])</f>
        <v>WA</v>
      </c>
    </row>
    <row r="323" spans="1:8" x14ac:dyDescent="0.3">
      <c r="A323" s="1">
        <v>44713</v>
      </c>
      <c r="B323">
        <v>2</v>
      </c>
      <c r="C323">
        <v>4</v>
      </c>
      <c r="D323">
        <v>253</v>
      </c>
      <c r="E323" s="11" cm="1">
        <f t="array" ref="E323">_xlfn.XLOOKUP(fsales[[#This Row],[ProductID]],dProduct[[#All],[ProductID]],dProduct[[#All],[Price]])*fsales[[#This Row],[Units]]</f>
        <v>7577.3499999999995</v>
      </c>
      <c r="F323" s="11" t="str" cm="1">
        <f t="array" ref="F323">_xlfn.XLOOKUP(fsales[[#This Row],[ProductID]],dProduct[[#All],[ProductID]],dProduct[[#All],[Product]])</f>
        <v>Carlota</v>
      </c>
      <c r="G323" s="11" t="str" cm="1">
        <f t="array" ref="G323">_xlfn.XLOOKUP(fsales[[#This Row],[ProductID]],dProduct[[#All],[ProductID]],dProduct[[#All],[Supplier]])</f>
        <v>Gel Booms</v>
      </c>
      <c r="H323" s="11" t="str" cm="1">
        <f t="array" ref="H323">_xlfn.XLOOKUP(fsales[[#This Row],[SalesRepID]],dSalesRep[[#All],[SalesRepID]],dSalesRep[[#All],[Region]])</f>
        <v>WA</v>
      </c>
    </row>
    <row r="324" spans="1:8" x14ac:dyDescent="0.3">
      <c r="A324" s="1">
        <v>44490</v>
      </c>
      <c r="B324">
        <v>2</v>
      </c>
      <c r="C324">
        <v>3</v>
      </c>
      <c r="D324">
        <v>101</v>
      </c>
      <c r="E324" s="11" cm="1">
        <f t="array" ref="E324">_xlfn.XLOOKUP(fsales[[#This Row],[ProductID]],dProduct[[#All],[ProductID]],dProduct[[#All],[Price]])*fsales[[#This Row],[Units]]</f>
        <v>3024.95</v>
      </c>
      <c r="F324" s="11" t="str" cm="1">
        <f t="array" ref="F324">_xlfn.XLOOKUP(fsales[[#This Row],[ProductID]],dProduct[[#All],[ProductID]],dProduct[[#All],[Product]])</f>
        <v>Carlota</v>
      </c>
      <c r="G324" s="11" t="str" cm="1">
        <f t="array" ref="G324">_xlfn.XLOOKUP(fsales[[#This Row],[ProductID]],dProduct[[#All],[ProductID]],dProduct[[#All],[Supplier]])</f>
        <v>Gel Booms</v>
      </c>
      <c r="H324" s="11" t="str" cm="1">
        <f t="array" ref="H324">_xlfn.XLOOKUP(fsales[[#This Row],[SalesRepID]],dSalesRep[[#All],[SalesRepID]],dSalesRep[[#All],[Region]])</f>
        <v>WA</v>
      </c>
    </row>
    <row r="325" spans="1:8" x14ac:dyDescent="0.3">
      <c r="A325" s="1">
        <v>45282</v>
      </c>
      <c r="B325">
        <v>2</v>
      </c>
      <c r="C325">
        <v>2</v>
      </c>
      <c r="D325">
        <v>247</v>
      </c>
      <c r="E325" s="11" cm="1">
        <f t="array" ref="E325">_xlfn.XLOOKUP(fsales[[#This Row],[ProductID]],dProduct[[#All],[ProductID]],dProduct[[#All],[Price]])*fsales[[#This Row],[Units]]</f>
        <v>7397.65</v>
      </c>
      <c r="F325" s="11" t="str" cm="1">
        <f t="array" ref="F325">_xlfn.XLOOKUP(fsales[[#This Row],[ProductID]],dProduct[[#All],[ProductID]],dProduct[[#All],[Product]])</f>
        <v>Carlota</v>
      </c>
      <c r="G325" s="11" t="str" cm="1">
        <f t="array" ref="G325">_xlfn.XLOOKUP(fsales[[#This Row],[ProductID]],dProduct[[#All],[ProductID]],dProduct[[#All],[Supplier]])</f>
        <v>Gel Booms</v>
      </c>
      <c r="H325" s="11" t="str" cm="1">
        <f t="array" ref="H325">_xlfn.XLOOKUP(fsales[[#This Row],[SalesRepID]],dSalesRep[[#All],[SalesRepID]],dSalesRep[[#All],[Region]])</f>
        <v>CA</v>
      </c>
    </row>
    <row r="326" spans="1:8" x14ac:dyDescent="0.3">
      <c r="A326" s="1">
        <v>45247</v>
      </c>
      <c r="B326">
        <v>2</v>
      </c>
      <c r="C326">
        <v>3</v>
      </c>
      <c r="D326">
        <v>75</v>
      </c>
      <c r="E326" s="11" cm="1">
        <f t="array" ref="E326">_xlfn.XLOOKUP(fsales[[#This Row],[ProductID]],dProduct[[#All],[ProductID]],dProduct[[#All],[Price]])*fsales[[#This Row],[Units]]</f>
        <v>2246.25</v>
      </c>
      <c r="F326" s="11" t="str" cm="1">
        <f t="array" ref="F326">_xlfn.XLOOKUP(fsales[[#This Row],[ProductID]],dProduct[[#All],[ProductID]],dProduct[[#All],[Product]])</f>
        <v>Carlota</v>
      </c>
      <c r="G326" s="11" t="str" cm="1">
        <f t="array" ref="G326">_xlfn.XLOOKUP(fsales[[#This Row],[ProductID]],dProduct[[#All],[ProductID]],dProduct[[#All],[Supplier]])</f>
        <v>Gel Booms</v>
      </c>
      <c r="H326" s="11" t="str" cm="1">
        <f t="array" ref="H326">_xlfn.XLOOKUP(fsales[[#This Row],[SalesRepID]],dSalesRep[[#All],[SalesRepID]],dSalesRep[[#All],[Region]])</f>
        <v>WA</v>
      </c>
    </row>
    <row r="327" spans="1:8" x14ac:dyDescent="0.3">
      <c r="A327" s="1">
        <v>44669</v>
      </c>
      <c r="B327">
        <v>2</v>
      </c>
      <c r="C327">
        <v>4</v>
      </c>
      <c r="D327">
        <v>111</v>
      </c>
      <c r="E327" s="11" cm="1">
        <f t="array" ref="E327">_xlfn.XLOOKUP(fsales[[#This Row],[ProductID]],dProduct[[#All],[ProductID]],dProduct[[#All],[Price]])*fsales[[#This Row],[Units]]</f>
        <v>3324.45</v>
      </c>
      <c r="F327" s="11" t="str" cm="1">
        <f t="array" ref="F327">_xlfn.XLOOKUP(fsales[[#This Row],[ProductID]],dProduct[[#All],[ProductID]],dProduct[[#All],[Product]])</f>
        <v>Carlota</v>
      </c>
      <c r="G327" s="11" t="str" cm="1">
        <f t="array" ref="G327">_xlfn.XLOOKUP(fsales[[#This Row],[ProductID]],dProduct[[#All],[ProductID]],dProduct[[#All],[Supplier]])</f>
        <v>Gel Booms</v>
      </c>
      <c r="H327" s="11" t="str" cm="1">
        <f t="array" ref="H327">_xlfn.XLOOKUP(fsales[[#This Row],[SalesRepID]],dSalesRep[[#All],[SalesRepID]],dSalesRep[[#All],[Region]])</f>
        <v>WA</v>
      </c>
    </row>
    <row r="328" spans="1:8" x14ac:dyDescent="0.3">
      <c r="A328" s="1">
        <v>44439</v>
      </c>
      <c r="B328">
        <v>3</v>
      </c>
      <c r="C328">
        <v>4</v>
      </c>
      <c r="D328">
        <v>93</v>
      </c>
      <c r="E328" s="11" cm="1">
        <f t="array" ref="E328">_xlfn.XLOOKUP(fsales[[#This Row],[ProductID]],dProduct[[#All],[ProductID]],dProduct[[#All],[Price]])*fsales[[#This Row],[Units]]</f>
        <v>2413.35</v>
      </c>
      <c r="F328" s="11" t="str" cm="1">
        <f t="array" ref="F328">_xlfn.XLOOKUP(fsales[[#This Row],[ProductID]],dProduct[[#All],[ProductID]],dProduct[[#All],[Product]])</f>
        <v>Aspen</v>
      </c>
      <c r="G328" s="11" t="str" cm="1">
        <f t="array" ref="G328">_xlfn.XLOOKUP(fsales[[#This Row],[ProductID]],dProduct[[#All],[ProductID]],dProduct[[#All],[Supplier]])</f>
        <v>Colorado Booms</v>
      </c>
      <c r="H328" s="11" t="str" cm="1">
        <f t="array" ref="H328">_xlfn.XLOOKUP(fsales[[#This Row],[SalesRepID]],dSalesRep[[#All],[SalesRepID]],dSalesRep[[#All],[Region]])</f>
        <v>WA</v>
      </c>
    </row>
    <row r="329" spans="1:8" x14ac:dyDescent="0.3">
      <c r="A329" s="1">
        <v>44380</v>
      </c>
      <c r="B329">
        <v>2</v>
      </c>
      <c r="C329">
        <v>2</v>
      </c>
      <c r="D329">
        <v>3</v>
      </c>
      <c r="E329" s="11" cm="1">
        <f t="array" ref="E329">_xlfn.XLOOKUP(fsales[[#This Row],[ProductID]],dProduct[[#All],[ProductID]],dProduct[[#All],[Price]])*fsales[[#This Row],[Units]]</f>
        <v>89.85</v>
      </c>
      <c r="F329" s="11" t="str" cm="1">
        <f t="array" ref="F329">_xlfn.XLOOKUP(fsales[[#This Row],[ProductID]],dProduct[[#All],[ProductID]],dProduct[[#All],[Product]])</f>
        <v>Carlota</v>
      </c>
      <c r="G329" s="11" t="str" cm="1">
        <f t="array" ref="G329">_xlfn.XLOOKUP(fsales[[#This Row],[ProductID]],dProduct[[#All],[ProductID]],dProduct[[#All],[Supplier]])</f>
        <v>Gel Booms</v>
      </c>
      <c r="H329" s="11" t="str" cm="1">
        <f t="array" ref="H329">_xlfn.XLOOKUP(fsales[[#This Row],[SalesRepID]],dSalesRep[[#All],[SalesRepID]],dSalesRep[[#All],[Region]])</f>
        <v>CA</v>
      </c>
    </row>
    <row r="330" spans="1:8" x14ac:dyDescent="0.3">
      <c r="A330" s="1">
        <v>45225</v>
      </c>
      <c r="B330">
        <v>2</v>
      </c>
      <c r="C330">
        <v>4</v>
      </c>
      <c r="D330">
        <v>137</v>
      </c>
      <c r="E330" s="11" cm="1">
        <f t="array" ref="E330">_xlfn.XLOOKUP(fsales[[#This Row],[ProductID]],dProduct[[#All],[ProductID]],dProduct[[#All],[Price]])*fsales[[#This Row],[Units]]</f>
        <v>4103.1499999999996</v>
      </c>
      <c r="F330" s="11" t="str" cm="1">
        <f t="array" ref="F330">_xlfn.XLOOKUP(fsales[[#This Row],[ProductID]],dProduct[[#All],[ProductID]],dProduct[[#All],[Product]])</f>
        <v>Carlota</v>
      </c>
      <c r="G330" s="11" t="str" cm="1">
        <f t="array" ref="G330">_xlfn.XLOOKUP(fsales[[#This Row],[ProductID]],dProduct[[#All],[ProductID]],dProduct[[#All],[Supplier]])</f>
        <v>Gel Booms</v>
      </c>
      <c r="H330" s="11" t="str" cm="1">
        <f t="array" ref="H330">_xlfn.XLOOKUP(fsales[[#This Row],[SalesRepID]],dSalesRep[[#All],[SalesRepID]],dSalesRep[[#All],[Region]])</f>
        <v>WA</v>
      </c>
    </row>
    <row r="331" spans="1:8" x14ac:dyDescent="0.3">
      <c r="A331" s="1">
        <v>44327</v>
      </c>
      <c r="B331">
        <v>1</v>
      </c>
      <c r="C331">
        <v>2</v>
      </c>
      <c r="D331">
        <v>3</v>
      </c>
      <c r="E331" s="11" cm="1">
        <f t="array" ref="E331">_xlfn.XLOOKUP(fsales[[#This Row],[ProductID]],dProduct[[#All],[ProductID]],dProduct[[#All],[Price]])*fsales[[#This Row],[Units]]</f>
        <v>131.85000000000002</v>
      </c>
      <c r="F331" s="11" t="str" cm="1">
        <f t="array" ref="F331">_xlfn.XLOOKUP(fsales[[#This Row],[ProductID]],dProduct[[#All],[ProductID]],dProduct[[#All],[Product]])</f>
        <v>Quad</v>
      </c>
      <c r="G331" s="11" t="str" cm="1">
        <f t="array" ref="G331">_xlfn.XLOOKUP(fsales[[#This Row],[ProductID]],dProduct[[#All],[ProductID]],dProduct[[#All],[Supplier]])</f>
        <v>Gel Booms</v>
      </c>
      <c r="H331" s="11" t="str" cm="1">
        <f t="array" ref="H331">_xlfn.XLOOKUP(fsales[[#This Row],[SalesRepID]],dSalesRep[[#All],[SalesRepID]],dSalesRep[[#All],[Region]])</f>
        <v>CA</v>
      </c>
    </row>
    <row r="332" spans="1:8" x14ac:dyDescent="0.3">
      <c r="A332" s="1">
        <v>45163</v>
      </c>
      <c r="B332">
        <v>3</v>
      </c>
      <c r="C332">
        <v>2</v>
      </c>
      <c r="D332">
        <v>3</v>
      </c>
      <c r="E332" s="11" cm="1">
        <f t="array" ref="E332">_xlfn.XLOOKUP(fsales[[#This Row],[ProductID]],dProduct[[#All],[ProductID]],dProduct[[#All],[Price]])*fsales[[#This Row],[Units]]</f>
        <v>77.849999999999994</v>
      </c>
      <c r="F332" s="11" t="str" cm="1">
        <f t="array" ref="F332">_xlfn.XLOOKUP(fsales[[#This Row],[ProductID]],dProduct[[#All],[ProductID]],dProduct[[#All],[Product]])</f>
        <v>Aspen</v>
      </c>
      <c r="G332" s="11" t="str" cm="1">
        <f t="array" ref="G332">_xlfn.XLOOKUP(fsales[[#This Row],[ProductID]],dProduct[[#All],[ProductID]],dProduct[[#All],[Supplier]])</f>
        <v>Colorado Booms</v>
      </c>
      <c r="H332" s="11" t="str" cm="1">
        <f t="array" ref="H332">_xlfn.XLOOKUP(fsales[[#This Row],[SalesRepID]],dSalesRep[[#All],[SalesRepID]],dSalesRep[[#All],[Region]])</f>
        <v>CA</v>
      </c>
    </row>
    <row r="333" spans="1:8" x14ac:dyDescent="0.3">
      <c r="A333" s="1">
        <v>44876</v>
      </c>
      <c r="B333">
        <v>1</v>
      </c>
      <c r="C333">
        <v>2</v>
      </c>
      <c r="D333">
        <v>280</v>
      </c>
      <c r="E333" s="11" cm="1">
        <f t="array" ref="E333">_xlfn.XLOOKUP(fsales[[#This Row],[ProductID]],dProduct[[#All],[ProductID]],dProduct[[#All],[Price]])*fsales[[#This Row],[Units]]</f>
        <v>12306</v>
      </c>
      <c r="F333" s="11" t="str" cm="1">
        <f t="array" ref="F333">_xlfn.XLOOKUP(fsales[[#This Row],[ProductID]],dProduct[[#All],[ProductID]],dProduct[[#All],[Product]])</f>
        <v>Quad</v>
      </c>
      <c r="G333" s="11" t="str" cm="1">
        <f t="array" ref="G333">_xlfn.XLOOKUP(fsales[[#This Row],[ProductID]],dProduct[[#All],[ProductID]],dProduct[[#All],[Supplier]])</f>
        <v>Gel Booms</v>
      </c>
      <c r="H333" s="11" t="str" cm="1">
        <f t="array" ref="H333">_xlfn.XLOOKUP(fsales[[#This Row],[SalesRepID]],dSalesRep[[#All],[SalesRepID]],dSalesRep[[#All],[Region]])</f>
        <v>CA</v>
      </c>
    </row>
    <row r="334" spans="1:8" x14ac:dyDescent="0.3">
      <c r="A334" s="1">
        <v>44502</v>
      </c>
      <c r="B334">
        <v>2</v>
      </c>
      <c r="C334">
        <v>3</v>
      </c>
      <c r="D334">
        <v>70</v>
      </c>
      <c r="E334" s="11" cm="1">
        <f t="array" ref="E334">_xlfn.XLOOKUP(fsales[[#This Row],[ProductID]],dProduct[[#All],[ProductID]],dProduct[[#All],[Price]])*fsales[[#This Row],[Units]]</f>
        <v>2096.5</v>
      </c>
      <c r="F334" s="11" t="str" cm="1">
        <f t="array" ref="F334">_xlfn.XLOOKUP(fsales[[#This Row],[ProductID]],dProduct[[#All],[ProductID]],dProduct[[#All],[Product]])</f>
        <v>Carlota</v>
      </c>
      <c r="G334" s="11" t="str" cm="1">
        <f t="array" ref="G334">_xlfn.XLOOKUP(fsales[[#This Row],[ProductID]],dProduct[[#All],[ProductID]],dProduct[[#All],[Supplier]])</f>
        <v>Gel Booms</v>
      </c>
      <c r="H334" s="11" t="str" cm="1">
        <f t="array" ref="H334">_xlfn.XLOOKUP(fsales[[#This Row],[SalesRepID]],dSalesRep[[#All],[SalesRepID]],dSalesRep[[#All],[Region]])</f>
        <v>WA</v>
      </c>
    </row>
    <row r="335" spans="1:8" x14ac:dyDescent="0.3">
      <c r="A335" s="1">
        <v>44736</v>
      </c>
      <c r="B335">
        <v>2</v>
      </c>
      <c r="C335">
        <v>4</v>
      </c>
      <c r="D335">
        <v>64</v>
      </c>
      <c r="E335" s="11" cm="1">
        <f t="array" ref="E335">_xlfn.XLOOKUP(fsales[[#This Row],[ProductID]],dProduct[[#All],[ProductID]],dProduct[[#All],[Price]])*fsales[[#This Row],[Units]]</f>
        <v>1916.8</v>
      </c>
      <c r="F335" s="11" t="str" cm="1">
        <f t="array" ref="F335">_xlfn.XLOOKUP(fsales[[#This Row],[ProductID]],dProduct[[#All],[ProductID]],dProduct[[#All],[Product]])</f>
        <v>Carlota</v>
      </c>
      <c r="G335" s="11" t="str" cm="1">
        <f t="array" ref="G335">_xlfn.XLOOKUP(fsales[[#This Row],[ProductID]],dProduct[[#All],[ProductID]],dProduct[[#All],[Supplier]])</f>
        <v>Gel Booms</v>
      </c>
      <c r="H335" s="11" t="str" cm="1">
        <f t="array" ref="H335">_xlfn.XLOOKUP(fsales[[#This Row],[SalesRepID]],dSalesRep[[#All],[SalesRepID]],dSalesRep[[#All],[Region]])</f>
        <v>WA</v>
      </c>
    </row>
    <row r="336" spans="1:8" x14ac:dyDescent="0.3">
      <c r="A336" s="1">
        <v>44898</v>
      </c>
      <c r="B336">
        <v>2</v>
      </c>
      <c r="C336">
        <v>2</v>
      </c>
      <c r="D336">
        <v>3</v>
      </c>
      <c r="E336" s="11" cm="1">
        <f t="array" ref="E336">_xlfn.XLOOKUP(fsales[[#This Row],[ProductID]],dProduct[[#All],[ProductID]],dProduct[[#All],[Price]])*fsales[[#This Row],[Units]]</f>
        <v>89.85</v>
      </c>
      <c r="F336" s="11" t="str" cm="1">
        <f t="array" ref="F336">_xlfn.XLOOKUP(fsales[[#This Row],[ProductID]],dProduct[[#All],[ProductID]],dProduct[[#All],[Product]])</f>
        <v>Carlota</v>
      </c>
      <c r="G336" s="11" t="str" cm="1">
        <f t="array" ref="G336">_xlfn.XLOOKUP(fsales[[#This Row],[ProductID]],dProduct[[#All],[ProductID]],dProduct[[#All],[Supplier]])</f>
        <v>Gel Booms</v>
      </c>
      <c r="H336" s="11" t="str" cm="1">
        <f t="array" ref="H336">_xlfn.XLOOKUP(fsales[[#This Row],[SalesRepID]],dSalesRep[[#All],[SalesRepID]],dSalesRep[[#All],[Region]])</f>
        <v>CA</v>
      </c>
    </row>
    <row r="337" spans="1:8" x14ac:dyDescent="0.3">
      <c r="A337" s="1">
        <v>45262</v>
      </c>
      <c r="B337">
        <v>2</v>
      </c>
      <c r="C337">
        <v>2</v>
      </c>
      <c r="D337">
        <v>74</v>
      </c>
      <c r="E337" s="11" cm="1">
        <f t="array" ref="E337">_xlfn.XLOOKUP(fsales[[#This Row],[ProductID]],dProduct[[#All],[ProductID]],dProduct[[#All],[Price]])*fsales[[#This Row],[Units]]</f>
        <v>2216.2999999999997</v>
      </c>
      <c r="F337" s="11" t="str" cm="1">
        <f t="array" ref="F337">_xlfn.XLOOKUP(fsales[[#This Row],[ProductID]],dProduct[[#All],[ProductID]],dProduct[[#All],[Product]])</f>
        <v>Carlota</v>
      </c>
      <c r="G337" s="11" t="str" cm="1">
        <f t="array" ref="G337">_xlfn.XLOOKUP(fsales[[#This Row],[ProductID]],dProduct[[#All],[ProductID]],dProduct[[#All],[Supplier]])</f>
        <v>Gel Booms</v>
      </c>
      <c r="H337" s="11" t="str" cm="1">
        <f t="array" ref="H337">_xlfn.XLOOKUP(fsales[[#This Row],[SalesRepID]],dSalesRep[[#All],[SalesRepID]],dSalesRep[[#All],[Region]])</f>
        <v>CA</v>
      </c>
    </row>
    <row r="338" spans="1:8" x14ac:dyDescent="0.3">
      <c r="A338" s="1">
        <v>44401</v>
      </c>
      <c r="B338">
        <v>2</v>
      </c>
      <c r="C338">
        <v>3</v>
      </c>
      <c r="D338">
        <v>5</v>
      </c>
      <c r="E338" s="11" cm="1">
        <f t="array" ref="E338">_xlfn.XLOOKUP(fsales[[#This Row],[ProductID]],dProduct[[#All],[ProductID]],dProduct[[#All],[Price]])*fsales[[#This Row],[Units]]</f>
        <v>149.75</v>
      </c>
      <c r="F338" s="11" t="str" cm="1">
        <f t="array" ref="F338">_xlfn.XLOOKUP(fsales[[#This Row],[ProductID]],dProduct[[#All],[ProductID]],dProduct[[#All],[Product]])</f>
        <v>Carlota</v>
      </c>
      <c r="G338" s="11" t="str" cm="1">
        <f t="array" ref="G338">_xlfn.XLOOKUP(fsales[[#This Row],[ProductID]],dProduct[[#All],[ProductID]],dProduct[[#All],[Supplier]])</f>
        <v>Gel Booms</v>
      </c>
      <c r="H338" s="11" t="str" cm="1">
        <f t="array" ref="H338">_xlfn.XLOOKUP(fsales[[#This Row],[SalesRepID]],dSalesRep[[#All],[SalesRepID]],dSalesRep[[#All],[Region]])</f>
        <v>WA</v>
      </c>
    </row>
    <row r="339" spans="1:8" x14ac:dyDescent="0.3">
      <c r="A339" s="1">
        <v>45015</v>
      </c>
      <c r="B339">
        <v>2</v>
      </c>
      <c r="C339">
        <v>2</v>
      </c>
      <c r="D339">
        <v>45</v>
      </c>
      <c r="E339" s="11" cm="1">
        <f t="array" ref="E339">_xlfn.XLOOKUP(fsales[[#This Row],[ProductID]],dProduct[[#All],[ProductID]],dProduct[[#All],[Price]])*fsales[[#This Row],[Units]]</f>
        <v>1347.75</v>
      </c>
      <c r="F339" s="11" t="str" cm="1">
        <f t="array" ref="F339">_xlfn.XLOOKUP(fsales[[#This Row],[ProductID]],dProduct[[#All],[ProductID]],dProduct[[#All],[Product]])</f>
        <v>Carlota</v>
      </c>
      <c r="G339" s="11" t="str" cm="1">
        <f t="array" ref="G339">_xlfn.XLOOKUP(fsales[[#This Row],[ProductID]],dProduct[[#All],[ProductID]],dProduct[[#All],[Supplier]])</f>
        <v>Gel Booms</v>
      </c>
      <c r="H339" s="11" t="str" cm="1">
        <f t="array" ref="H339">_xlfn.XLOOKUP(fsales[[#This Row],[SalesRepID]],dSalesRep[[#All],[SalesRepID]],dSalesRep[[#All],[Region]])</f>
        <v>CA</v>
      </c>
    </row>
    <row r="340" spans="1:8" x14ac:dyDescent="0.3">
      <c r="A340" s="1">
        <v>44299</v>
      </c>
      <c r="B340">
        <v>1</v>
      </c>
      <c r="C340">
        <v>2</v>
      </c>
      <c r="D340">
        <v>39</v>
      </c>
      <c r="E340" s="11" cm="1">
        <f t="array" ref="E340">_xlfn.XLOOKUP(fsales[[#This Row],[ProductID]],dProduct[[#All],[ProductID]],dProduct[[#All],[Price]])*fsales[[#This Row],[Units]]</f>
        <v>1714.0500000000002</v>
      </c>
      <c r="F340" s="11" t="str" cm="1">
        <f t="array" ref="F340">_xlfn.XLOOKUP(fsales[[#This Row],[ProductID]],dProduct[[#All],[ProductID]],dProduct[[#All],[Product]])</f>
        <v>Quad</v>
      </c>
      <c r="G340" s="11" t="str" cm="1">
        <f t="array" ref="G340">_xlfn.XLOOKUP(fsales[[#This Row],[ProductID]],dProduct[[#All],[ProductID]],dProduct[[#All],[Supplier]])</f>
        <v>Gel Booms</v>
      </c>
      <c r="H340" s="11" t="str" cm="1">
        <f t="array" ref="H340">_xlfn.XLOOKUP(fsales[[#This Row],[SalesRepID]],dSalesRep[[#All],[SalesRepID]],dSalesRep[[#All],[Region]])</f>
        <v>CA</v>
      </c>
    </row>
    <row r="341" spans="1:8" x14ac:dyDescent="0.3">
      <c r="A341" s="1">
        <v>44868</v>
      </c>
      <c r="B341">
        <v>2</v>
      </c>
      <c r="C341">
        <v>2</v>
      </c>
      <c r="D341">
        <v>1</v>
      </c>
      <c r="E341" s="11" cm="1">
        <f t="array" ref="E341">_xlfn.XLOOKUP(fsales[[#This Row],[ProductID]],dProduct[[#All],[ProductID]],dProduct[[#All],[Price]])*fsales[[#This Row],[Units]]</f>
        <v>29.95</v>
      </c>
      <c r="F341" s="11" t="str" cm="1">
        <f t="array" ref="F341">_xlfn.XLOOKUP(fsales[[#This Row],[ProductID]],dProduct[[#All],[ProductID]],dProduct[[#All],[Product]])</f>
        <v>Carlota</v>
      </c>
      <c r="G341" s="11" t="str" cm="1">
        <f t="array" ref="G341">_xlfn.XLOOKUP(fsales[[#This Row],[ProductID]],dProduct[[#All],[ProductID]],dProduct[[#All],[Supplier]])</f>
        <v>Gel Booms</v>
      </c>
      <c r="H341" s="11" t="str" cm="1">
        <f t="array" ref="H341">_xlfn.XLOOKUP(fsales[[#This Row],[SalesRepID]],dSalesRep[[#All],[SalesRepID]],dSalesRep[[#All],[Region]])</f>
        <v>CA</v>
      </c>
    </row>
    <row r="342" spans="1:8" x14ac:dyDescent="0.3">
      <c r="A342" s="1">
        <v>45272</v>
      </c>
      <c r="B342">
        <v>2</v>
      </c>
      <c r="C342">
        <v>2</v>
      </c>
      <c r="D342">
        <v>291</v>
      </c>
      <c r="E342" s="11" cm="1">
        <f t="array" ref="E342">_xlfn.XLOOKUP(fsales[[#This Row],[ProductID]],dProduct[[#All],[ProductID]],dProduct[[#All],[Price]])*fsales[[#This Row],[Units]]</f>
        <v>8715.4499999999989</v>
      </c>
      <c r="F342" s="11" t="str" cm="1">
        <f t="array" ref="F342">_xlfn.XLOOKUP(fsales[[#This Row],[ProductID]],dProduct[[#All],[ProductID]],dProduct[[#All],[Product]])</f>
        <v>Carlota</v>
      </c>
      <c r="G342" s="11" t="str" cm="1">
        <f t="array" ref="G342">_xlfn.XLOOKUP(fsales[[#This Row],[ProductID]],dProduct[[#All],[ProductID]],dProduct[[#All],[Supplier]])</f>
        <v>Gel Booms</v>
      </c>
      <c r="H342" s="11" t="str" cm="1">
        <f t="array" ref="H342">_xlfn.XLOOKUP(fsales[[#This Row],[SalesRepID]],dSalesRep[[#All],[SalesRepID]],dSalesRep[[#All],[Region]])</f>
        <v>CA</v>
      </c>
    </row>
    <row r="343" spans="1:8" x14ac:dyDescent="0.3">
      <c r="A343" s="1">
        <v>44294</v>
      </c>
      <c r="B343">
        <v>2</v>
      </c>
      <c r="C343">
        <v>4</v>
      </c>
      <c r="D343">
        <v>5</v>
      </c>
      <c r="E343" s="11" cm="1">
        <f t="array" ref="E343">_xlfn.XLOOKUP(fsales[[#This Row],[ProductID]],dProduct[[#All],[ProductID]],dProduct[[#All],[Price]])*fsales[[#This Row],[Units]]</f>
        <v>149.75</v>
      </c>
      <c r="F343" s="11" t="str" cm="1">
        <f t="array" ref="F343">_xlfn.XLOOKUP(fsales[[#This Row],[ProductID]],dProduct[[#All],[ProductID]],dProduct[[#All],[Product]])</f>
        <v>Carlota</v>
      </c>
      <c r="G343" s="11" t="str" cm="1">
        <f t="array" ref="G343">_xlfn.XLOOKUP(fsales[[#This Row],[ProductID]],dProduct[[#All],[ProductID]],dProduct[[#All],[Supplier]])</f>
        <v>Gel Booms</v>
      </c>
      <c r="H343" s="11" t="str" cm="1">
        <f t="array" ref="H343">_xlfn.XLOOKUP(fsales[[#This Row],[SalesRepID]],dSalesRep[[#All],[SalesRepID]],dSalesRep[[#All],[Region]])</f>
        <v>WA</v>
      </c>
    </row>
    <row r="344" spans="1:8" x14ac:dyDescent="0.3">
      <c r="A344" s="1">
        <v>45110</v>
      </c>
      <c r="B344">
        <v>2</v>
      </c>
      <c r="C344">
        <v>2</v>
      </c>
      <c r="D344">
        <v>5</v>
      </c>
      <c r="E344" s="11" cm="1">
        <f t="array" ref="E344">_xlfn.XLOOKUP(fsales[[#This Row],[ProductID]],dProduct[[#All],[ProductID]],dProduct[[#All],[Price]])*fsales[[#This Row],[Units]]</f>
        <v>149.75</v>
      </c>
      <c r="F344" s="11" t="str" cm="1">
        <f t="array" ref="F344">_xlfn.XLOOKUP(fsales[[#This Row],[ProductID]],dProduct[[#All],[ProductID]],dProduct[[#All],[Product]])</f>
        <v>Carlota</v>
      </c>
      <c r="G344" s="11" t="str" cm="1">
        <f t="array" ref="G344">_xlfn.XLOOKUP(fsales[[#This Row],[ProductID]],dProduct[[#All],[ProductID]],dProduct[[#All],[Supplier]])</f>
        <v>Gel Booms</v>
      </c>
      <c r="H344" s="11" t="str" cm="1">
        <f t="array" ref="H344">_xlfn.XLOOKUP(fsales[[#This Row],[SalesRepID]],dSalesRep[[#All],[SalesRepID]],dSalesRep[[#All],[Region]])</f>
        <v>CA</v>
      </c>
    </row>
    <row r="345" spans="1:8" x14ac:dyDescent="0.3">
      <c r="A345" s="1">
        <v>45263</v>
      </c>
      <c r="B345">
        <v>3</v>
      </c>
      <c r="C345">
        <v>4</v>
      </c>
      <c r="D345">
        <v>234</v>
      </c>
      <c r="E345" s="11" cm="1">
        <f t="array" ref="E345">_xlfn.XLOOKUP(fsales[[#This Row],[ProductID]],dProduct[[#All],[ProductID]],dProduct[[#All],[Price]])*fsales[[#This Row],[Units]]</f>
        <v>6072.3</v>
      </c>
      <c r="F345" s="11" t="str" cm="1">
        <f t="array" ref="F345">_xlfn.XLOOKUP(fsales[[#This Row],[ProductID]],dProduct[[#All],[ProductID]],dProduct[[#All],[Product]])</f>
        <v>Aspen</v>
      </c>
      <c r="G345" s="11" t="str" cm="1">
        <f t="array" ref="G345">_xlfn.XLOOKUP(fsales[[#This Row],[ProductID]],dProduct[[#All],[ProductID]],dProduct[[#All],[Supplier]])</f>
        <v>Colorado Booms</v>
      </c>
      <c r="H345" s="11" t="str" cm="1">
        <f t="array" ref="H345">_xlfn.XLOOKUP(fsales[[#This Row],[SalesRepID]],dSalesRep[[#All],[SalesRepID]],dSalesRep[[#All],[Region]])</f>
        <v>WA</v>
      </c>
    </row>
    <row r="346" spans="1:8" x14ac:dyDescent="0.3">
      <c r="A346" s="1">
        <v>44779</v>
      </c>
      <c r="B346">
        <v>4</v>
      </c>
      <c r="C346">
        <v>4</v>
      </c>
      <c r="D346">
        <v>88</v>
      </c>
      <c r="E346" s="11" cm="1">
        <f t="array" ref="E346">_xlfn.XLOOKUP(fsales[[#This Row],[ProductID]],dProduct[[#All],[ProductID]],dProduct[[#All],[Price]])*fsales[[#This Row],[Units]]</f>
        <v>2107.6</v>
      </c>
      <c r="F346" s="11" t="str" cm="1">
        <f t="array" ref="F346">_xlfn.XLOOKUP(fsales[[#This Row],[ProductID]],dProduct[[#All],[ProductID]],dProduct[[#All],[Product]])</f>
        <v>Yanaki</v>
      </c>
      <c r="G346" s="11" t="str" cm="1">
        <f t="array" ref="G346">_xlfn.XLOOKUP(fsales[[#This Row],[ProductID]],dProduct[[#All],[ProductID]],dProduct[[#All],[Supplier]])</f>
        <v>Colorado Booms</v>
      </c>
      <c r="H346" s="11" t="str" cm="1">
        <f t="array" ref="H346">_xlfn.XLOOKUP(fsales[[#This Row],[SalesRepID]],dSalesRep[[#All],[SalesRepID]],dSalesRep[[#All],[Region]])</f>
        <v>WA</v>
      </c>
    </row>
    <row r="347" spans="1:8" x14ac:dyDescent="0.3">
      <c r="A347" s="1">
        <v>44408</v>
      </c>
      <c r="B347">
        <v>2</v>
      </c>
      <c r="C347">
        <v>3</v>
      </c>
      <c r="D347">
        <v>215</v>
      </c>
      <c r="E347" s="11" cm="1">
        <f t="array" ref="E347">_xlfn.XLOOKUP(fsales[[#This Row],[ProductID]],dProduct[[#All],[ProductID]],dProduct[[#All],[Price]])*fsales[[#This Row],[Units]]</f>
        <v>6439.25</v>
      </c>
      <c r="F347" s="11" t="str" cm="1">
        <f t="array" ref="F347">_xlfn.XLOOKUP(fsales[[#This Row],[ProductID]],dProduct[[#All],[ProductID]],dProduct[[#All],[Product]])</f>
        <v>Carlota</v>
      </c>
      <c r="G347" s="11" t="str" cm="1">
        <f t="array" ref="G347">_xlfn.XLOOKUP(fsales[[#This Row],[ProductID]],dProduct[[#All],[ProductID]],dProduct[[#All],[Supplier]])</f>
        <v>Gel Booms</v>
      </c>
      <c r="H347" s="11" t="str" cm="1">
        <f t="array" ref="H347">_xlfn.XLOOKUP(fsales[[#This Row],[SalesRepID]],dSalesRep[[#All],[SalesRepID]],dSalesRep[[#All],[Region]])</f>
        <v>WA</v>
      </c>
    </row>
    <row r="348" spans="1:8" x14ac:dyDescent="0.3">
      <c r="A348" s="1">
        <v>44611</v>
      </c>
      <c r="B348">
        <v>3</v>
      </c>
      <c r="C348">
        <v>3</v>
      </c>
      <c r="D348">
        <v>74</v>
      </c>
      <c r="E348" s="11" cm="1">
        <f t="array" ref="E348">_xlfn.XLOOKUP(fsales[[#This Row],[ProductID]],dProduct[[#All],[ProductID]],dProduct[[#All],[Price]])*fsales[[#This Row],[Units]]</f>
        <v>1920.3</v>
      </c>
      <c r="F348" s="11" t="str" cm="1">
        <f t="array" ref="F348">_xlfn.XLOOKUP(fsales[[#This Row],[ProductID]],dProduct[[#All],[ProductID]],dProduct[[#All],[Product]])</f>
        <v>Aspen</v>
      </c>
      <c r="G348" s="11" t="str" cm="1">
        <f t="array" ref="G348">_xlfn.XLOOKUP(fsales[[#This Row],[ProductID]],dProduct[[#All],[ProductID]],dProduct[[#All],[Supplier]])</f>
        <v>Colorado Booms</v>
      </c>
      <c r="H348" s="11" t="str" cm="1">
        <f t="array" ref="H348">_xlfn.XLOOKUP(fsales[[#This Row],[SalesRepID]],dSalesRep[[#All],[SalesRepID]],dSalesRep[[#All],[Region]])</f>
        <v>WA</v>
      </c>
    </row>
    <row r="349" spans="1:8" x14ac:dyDescent="0.3">
      <c r="A349" s="1">
        <v>45123</v>
      </c>
      <c r="B349">
        <v>2</v>
      </c>
      <c r="C349">
        <v>3</v>
      </c>
      <c r="D349">
        <v>115</v>
      </c>
      <c r="E349" s="11" cm="1">
        <f t="array" ref="E349">_xlfn.XLOOKUP(fsales[[#This Row],[ProductID]],dProduct[[#All],[ProductID]],dProduct[[#All],[Price]])*fsales[[#This Row],[Units]]</f>
        <v>3444.25</v>
      </c>
      <c r="F349" s="11" t="str" cm="1">
        <f t="array" ref="F349">_xlfn.XLOOKUP(fsales[[#This Row],[ProductID]],dProduct[[#All],[ProductID]],dProduct[[#All],[Product]])</f>
        <v>Carlota</v>
      </c>
      <c r="G349" s="11" t="str" cm="1">
        <f t="array" ref="G349">_xlfn.XLOOKUP(fsales[[#This Row],[ProductID]],dProduct[[#All],[ProductID]],dProduct[[#All],[Supplier]])</f>
        <v>Gel Booms</v>
      </c>
      <c r="H349" s="11" t="str" cm="1">
        <f t="array" ref="H349">_xlfn.XLOOKUP(fsales[[#This Row],[SalesRepID]],dSalesRep[[#All],[SalesRepID]],dSalesRep[[#All],[Region]])</f>
        <v>WA</v>
      </c>
    </row>
    <row r="350" spans="1:8" x14ac:dyDescent="0.3">
      <c r="A350" s="1">
        <v>45274</v>
      </c>
      <c r="B350">
        <v>2</v>
      </c>
      <c r="C350">
        <v>4</v>
      </c>
      <c r="D350">
        <v>93</v>
      </c>
      <c r="E350" s="11" cm="1">
        <f t="array" ref="E350">_xlfn.XLOOKUP(fsales[[#This Row],[ProductID]],dProduct[[#All],[ProductID]],dProduct[[#All],[Price]])*fsales[[#This Row],[Units]]</f>
        <v>2785.35</v>
      </c>
      <c r="F350" s="11" t="str" cm="1">
        <f t="array" ref="F350">_xlfn.XLOOKUP(fsales[[#This Row],[ProductID]],dProduct[[#All],[ProductID]],dProduct[[#All],[Product]])</f>
        <v>Carlota</v>
      </c>
      <c r="G350" s="11" t="str" cm="1">
        <f t="array" ref="G350">_xlfn.XLOOKUP(fsales[[#This Row],[ProductID]],dProduct[[#All],[ProductID]],dProduct[[#All],[Supplier]])</f>
        <v>Gel Booms</v>
      </c>
      <c r="H350" s="11" t="str" cm="1">
        <f t="array" ref="H350">_xlfn.XLOOKUP(fsales[[#This Row],[SalesRepID]],dSalesRep[[#All],[SalesRepID]],dSalesRep[[#All],[Region]])</f>
        <v>WA</v>
      </c>
    </row>
    <row r="351" spans="1:8" x14ac:dyDescent="0.3">
      <c r="A351" s="1">
        <v>44828</v>
      </c>
      <c r="B351">
        <v>2</v>
      </c>
      <c r="C351">
        <v>1</v>
      </c>
      <c r="D351">
        <v>153</v>
      </c>
      <c r="E351" s="11" cm="1">
        <f t="array" ref="E351">_xlfn.XLOOKUP(fsales[[#This Row],[ProductID]],dProduct[[#All],[ProductID]],dProduct[[#All],[Price]])*fsales[[#This Row],[Units]]</f>
        <v>4582.3499999999995</v>
      </c>
      <c r="F351" s="11" t="str" cm="1">
        <f t="array" ref="F351">_xlfn.XLOOKUP(fsales[[#This Row],[ProductID]],dProduct[[#All],[ProductID]],dProduct[[#All],[Product]])</f>
        <v>Carlota</v>
      </c>
      <c r="G351" s="11" t="str" cm="1">
        <f t="array" ref="G351">_xlfn.XLOOKUP(fsales[[#This Row],[ProductID]],dProduct[[#All],[ProductID]],dProduct[[#All],[Supplier]])</f>
        <v>Gel Booms</v>
      </c>
      <c r="H351" s="11" t="str" cm="1">
        <f t="array" ref="H351">_xlfn.XLOOKUP(fsales[[#This Row],[SalesRepID]],dSalesRep[[#All],[SalesRepID]],dSalesRep[[#All],[Region]])</f>
        <v>CA</v>
      </c>
    </row>
    <row r="352" spans="1:8" x14ac:dyDescent="0.3">
      <c r="A352" s="1">
        <v>44545</v>
      </c>
      <c r="B352">
        <v>2</v>
      </c>
      <c r="C352">
        <v>4</v>
      </c>
      <c r="D352">
        <v>95</v>
      </c>
      <c r="E352" s="11" cm="1">
        <f t="array" ref="E352">_xlfn.XLOOKUP(fsales[[#This Row],[ProductID]],dProduct[[#All],[ProductID]],dProduct[[#All],[Price]])*fsales[[#This Row],[Units]]</f>
        <v>2845.25</v>
      </c>
      <c r="F352" s="11" t="str" cm="1">
        <f t="array" ref="F352">_xlfn.XLOOKUP(fsales[[#This Row],[ProductID]],dProduct[[#All],[ProductID]],dProduct[[#All],[Product]])</f>
        <v>Carlota</v>
      </c>
      <c r="G352" s="11" t="str" cm="1">
        <f t="array" ref="G352">_xlfn.XLOOKUP(fsales[[#This Row],[ProductID]],dProduct[[#All],[ProductID]],dProduct[[#All],[Supplier]])</f>
        <v>Gel Booms</v>
      </c>
      <c r="H352" s="11" t="str" cm="1">
        <f t="array" ref="H352">_xlfn.XLOOKUP(fsales[[#This Row],[SalesRepID]],dSalesRep[[#All],[SalesRepID]],dSalesRep[[#All],[Region]])</f>
        <v>WA</v>
      </c>
    </row>
    <row r="353" spans="1:8" x14ac:dyDescent="0.3">
      <c r="A353" s="1">
        <v>44546</v>
      </c>
      <c r="B353">
        <v>3</v>
      </c>
      <c r="C353">
        <v>2</v>
      </c>
      <c r="D353">
        <v>101</v>
      </c>
      <c r="E353" s="11" cm="1">
        <f t="array" ref="E353">_xlfn.XLOOKUP(fsales[[#This Row],[ProductID]],dProduct[[#All],[ProductID]],dProduct[[#All],[Price]])*fsales[[#This Row],[Units]]</f>
        <v>2620.9499999999998</v>
      </c>
      <c r="F353" s="11" t="str" cm="1">
        <f t="array" ref="F353">_xlfn.XLOOKUP(fsales[[#This Row],[ProductID]],dProduct[[#All],[ProductID]],dProduct[[#All],[Product]])</f>
        <v>Aspen</v>
      </c>
      <c r="G353" s="11" t="str" cm="1">
        <f t="array" ref="G353">_xlfn.XLOOKUP(fsales[[#This Row],[ProductID]],dProduct[[#All],[ProductID]],dProduct[[#All],[Supplier]])</f>
        <v>Colorado Booms</v>
      </c>
      <c r="H353" s="11" t="str" cm="1">
        <f t="array" ref="H353">_xlfn.XLOOKUP(fsales[[#This Row],[SalesRepID]],dSalesRep[[#All],[SalesRepID]],dSalesRep[[#All],[Region]])</f>
        <v>CA</v>
      </c>
    </row>
    <row r="354" spans="1:8" x14ac:dyDescent="0.3">
      <c r="A354" s="1">
        <v>44911</v>
      </c>
      <c r="B354">
        <v>2</v>
      </c>
      <c r="C354">
        <v>3</v>
      </c>
      <c r="D354">
        <v>114</v>
      </c>
      <c r="E354" s="11" cm="1">
        <f t="array" ref="E354">_xlfn.XLOOKUP(fsales[[#This Row],[ProductID]],dProduct[[#All],[ProductID]],dProduct[[#All],[Price]])*fsales[[#This Row],[Units]]</f>
        <v>3414.2999999999997</v>
      </c>
      <c r="F354" s="11" t="str" cm="1">
        <f t="array" ref="F354">_xlfn.XLOOKUP(fsales[[#This Row],[ProductID]],dProduct[[#All],[ProductID]],dProduct[[#All],[Product]])</f>
        <v>Carlota</v>
      </c>
      <c r="G354" s="11" t="str" cm="1">
        <f t="array" ref="G354">_xlfn.XLOOKUP(fsales[[#This Row],[ProductID]],dProduct[[#All],[ProductID]],dProduct[[#All],[Supplier]])</f>
        <v>Gel Booms</v>
      </c>
      <c r="H354" s="11" t="str" cm="1">
        <f t="array" ref="H354">_xlfn.XLOOKUP(fsales[[#This Row],[SalesRepID]],dSalesRep[[#All],[SalesRepID]],dSalesRep[[#All],[Region]])</f>
        <v>WA</v>
      </c>
    </row>
    <row r="355" spans="1:8" x14ac:dyDescent="0.3">
      <c r="A355" s="1">
        <v>44558</v>
      </c>
      <c r="B355">
        <v>4</v>
      </c>
      <c r="C355">
        <v>4</v>
      </c>
      <c r="D355">
        <v>40</v>
      </c>
      <c r="E355" s="11" cm="1">
        <f t="array" ref="E355">_xlfn.XLOOKUP(fsales[[#This Row],[ProductID]],dProduct[[#All],[ProductID]],dProduct[[#All],[Price]])*fsales[[#This Row],[Units]]</f>
        <v>958</v>
      </c>
      <c r="F355" s="11" t="str" cm="1">
        <f t="array" ref="F355">_xlfn.XLOOKUP(fsales[[#This Row],[ProductID]],dProduct[[#All],[ProductID]],dProduct[[#All],[Product]])</f>
        <v>Yanaki</v>
      </c>
      <c r="G355" s="11" t="str" cm="1">
        <f t="array" ref="G355">_xlfn.XLOOKUP(fsales[[#This Row],[ProductID]],dProduct[[#All],[ProductID]],dProduct[[#All],[Supplier]])</f>
        <v>Colorado Booms</v>
      </c>
      <c r="H355" s="11" t="str" cm="1">
        <f t="array" ref="H355">_xlfn.XLOOKUP(fsales[[#This Row],[SalesRepID]],dSalesRep[[#All],[SalesRepID]],dSalesRep[[#All],[Region]])</f>
        <v>WA</v>
      </c>
    </row>
    <row r="356" spans="1:8" x14ac:dyDescent="0.3">
      <c r="A356" s="1">
        <v>44926</v>
      </c>
      <c r="B356">
        <v>3</v>
      </c>
      <c r="C356">
        <v>4</v>
      </c>
      <c r="D356">
        <v>2</v>
      </c>
      <c r="E356" s="11" cm="1">
        <f t="array" ref="E356">_xlfn.XLOOKUP(fsales[[#This Row],[ProductID]],dProduct[[#All],[ProductID]],dProduct[[#All],[Price]])*fsales[[#This Row],[Units]]</f>
        <v>51.9</v>
      </c>
      <c r="F356" s="11" t="str" cm="1">
        <f t="array" ref="F356">_xlfn.XLOOKUP(fsales[[#This Row],[ProductID]],dProduct[[#All],[ProductID]],dProduct[[#All],[Product]])</f>
        <v>Aspen</v>
      </c>
      <c r="G356" s="11" t="str" cm="1">
        <f t="array" ref="G356">_xlfn.XLOOKUP(fsales[[#This Row],[ProductID]],dProduct[[#All],[ProductID]],dProduct[[#All],[Supplier]])</f>
        <v>Colorado Booms</v>
      </c>
      <c r="H356" s="11" t="str" cm="1">
        <f t="array" ref="H356">_xlfn.XLOOKUP(fsales[[#This Row],[SalesRepID]],dSalesRep[[#All],[SalesRepID]],dSalesRep[[#All],[Region]])</f>
        <v>WA</v>
      </c>
    </row>
    <row r="357" spans="1:8" x14ac:dyDescent="0.3">
      <c r="A357" s="1">
        <v>45261</v>
      </c>
      <c r="B357">
        <v>2</v>
      </c>
      <c r="C357">
        <v>4</v>
      </c>
      <c r="D357">
        <v>83</v>
      </c>
      <c r="E357" s="11" cm="1">
        <f t="array" ref="E357">_xlfn.XLOOKUP(fsales[[#This Row],[ProductID]],dProduct[[#All],[ProductID]],dProduct[[#All],[Price]])*fsales[[#This Row],[Units]]</f>
        <v>2485.85</v>
      </c>
      <c r="F357" s="11" t="str" cm="1">
        <f t="array" ref="F357">_xlfn.XLOOKUP(fsales[[#This Row],[ProductID]],dProduct[[#All],[ProductID]],dProduct[[#All],[Product]])</f>
        <v>Carlota</v>
      </c>
      <c r="G357" s="11" t="str" cm="1">
        <f t="array" ref="G357">_xlfn.XLOOKUP(fsales[[#This Row],[ProductID]],dProduct[[#All],[ProductID]],dProduct[[#All],[Supplier]])</f>
        <v>Gel Booms</v>
      </c>
      <c r="H357" s="11" t="str" cm="1">
        <f t="array" ref="H357">_xlfn.XLOOKUP(fsales[[#This Row],[SalesRepID]],dSalesRep[[#All],[SalesRepID]],dSalesRep[[#All],[Region]])</f>
        <v>WA</v>
      </c>
    </row>
    <row r="358" spans="1:8" x14ac:dyDescent="0.3">
      <c r="A358" s="1">
        <v>45243</v>
      </c>
      <c r="B358">
        <v>2</v>
      </c>
      <c r="C358">
        <v>3</v>
      </c>
      <c r="D358">
        <v>183</v>
      </c>
      <c r="E358" s="11" cm="1">
        <f t="array" ref="E358">_xlfn.XLOOKUP(fsales[[#This Row],[ProductID]],dProduct[[#All],[ProductID]],dProduct[[#All],[Price]])*fsales[[#This Row],[Units]]</f>
        <v>5480.8499999999995</v>
      </c>
      <c r="F358" s="11" t="str" cm="1">
        <f t="array" ref="F358">_xlfn.XLOOKUP(fsales[[#This Row],[ProductID]],dProduct[[#All],[ProductID]],dProduct[[#All],[Product]])</f>
        <v>Carlota</v>
      </c>
      <c r="G358" s="11" t="str" cm="1">
        <f t="array" ref="G358">_xlfn.XLOOKUP(fsales[[#This Row],[ProductID]],dProduct[[#All],[ProductID]],dProduct[[#All],[Supplier]])</f>
        <v>Gel Booms</v>
      </c>
      <c r="H358" s="11" t="str" cm="1">
        <f t="array" ref="H358">_xlfn.XLOOKUP(fsales[[#This Row],[SalesRepID]],dSalesRep[[#All],[SalesRepID]],dSalesRep[[#All],[Region]])</f>
        <v>WA</v>
      </c>
    </row>
    <row r="359" spans="1:8" x14ac:dyDescent="0.3">
      <c r="A359" s="1">
        <v>44923</v>
      </c>
      <c r="B359">
        <v>2</v>
      </c>
      <c r="C359">
        <v>4</v>
      </c>
      <c r="D359">
        <v>4</v>
      </c>
      <c r="E359" s="11" cm="1">
        <f t="array" ref="E359">_xlfn.XLOOKUP(fsales[[#This Row],[ProductID]],dProduct[[#All],[ProductID]],dProduct[[#All],[Price]])*fsales[[#This Row],[Units]]</f>
        <v>119.8</v>
      </c>
      <c r="F359" s="11" t="str" cm="1">
        <f t="array" ref="F359">_xlfn.XLOOKUP(fsales[[#This Row],[ProductID]],dProduct[[#All],[ProductID]],dProduct[[#All],[Product]])</f>
        <v>Carlota</v>
      </c>
      <c r="G359" s="11" t="str" cm="1">
        <f t="array" ref="G359">_xlfn.XLOOKUP(fsales[[#This Row],[ProductID]],dProduct[[#All],[ProductID]],dProduct[[#All],[Supplier]])</f>
        <v>Gel Booms</v>
      </c>
      <c r="H359" s="11" t="str" cm="1">
        <f t="array" ref="H359">_xlfn.XLOOKUP(fsales[[#This Row],[SalesRepID]],dSalesRep[[#All],[SalesRepID]],dSalesRep[[#All],[Region]])</f>
        <v>WA</v>
      </c>
    </row>
    <row r="360" spans="1:8" x14ac:dyDescent="0.3">
      <c r="A360" s="1">
        <v>44755</v>
      </c>
      <c r="B360">
        <v>4</v>
      </c>
      <c r="C360">
        <v>4</v>
      </c>
      <c r="D360">
        <v>24</v>
      </c>
      <c r="E360" s="11" cm="1">
        <f t="array" ref="E360">_xlfn.XLOOKUP(fsales[[#This Row],[ProductID]],dProduct[[#All],[ProductID]],dProduct[[#All],[Price]])*fsales[[#This Row],[Units]]</f>
        <v>574.79999999999995</v>
      </c>
      <c r="F360" s="11" t="str" cm="1">
        <f t="array" ref="F360">_xlfn.XLOOKUP(fsales[[#This Row],[ProductID]],dProduct[[#All],[ProductID]],dProduct[[#All],[Product]])</f>
        <v>Yanaki</v>
      </c>
      <c r="G360" s="11" t="str" cm="1">
        <f t="array" ref="G360">_xlfn.XLOOKUP(fsales[[#This Row],[ProductID]],dProduct[[#All],[ProductID]],dProduct[[#All],[Supplier]])</f>
        <v>Colorado Booms</v>
      </c>
      <c r="H360" s="11" t="str" cm="1">
        <f t="array" ref="H360">_xlfn.XLOOKUP(fsales[[#This Row],[SalesRepID]],dSalesRep[[#All],[SalesRepID]],dSalesRep[[#All],[Region]])</f>
        <v>WA</v>
      </c>
    </row>
    <row r="361" spans="1:8" x14ac:dyDescent="0.3">
      <c r="A361" s="1">
        <v>44588</v>
      </c>
      <c r="B361">
        <v>2</v>
      </c>
      <c r="C361">
        <v>4</v>
      </c>
      <c r="D361">
        <v>4</v>
      </c>
      <c r="E361" s="11" cm="1">
        <f t="array" ref="E361">_xlfn.XLOOKUP(fsales[[#This Row],[ProductID]],dProduct[[#All],[ProductID]],dProduct[[#All],[Price]])*fsales[[#This Row],[Units]]</f>
        <v>119.8</v>
      </c>
      <c r="F361" s="11" t="str" cm="1">
        <f t="array" ref="F361">_xlfn.XLOOKUP(fsales[[#This Row],[ProductID]],dProduct[[#All],[ProductID]],dProduct[[#All],[Product]])</f>
        <v>Carlota</v>
      </c>
      <c r="G361" s="11" t="str" cm="1">
        <f t="array" ref="G361">_xlfn.XLOOKUP(fsales[[#This Row],[ProductID]],dProduct[[#All],[ProductID]],dProduct[[#All],[Supplier]])</f>
        <v>Gel Booms</v>
      </c>
      <c r="H361" s="11" t="str" cm="1">
        <f t="array" ref="H361">_xlfn.XLOOKUP(fsales[[#This Row],[SalesRepID]],dSalesRep[[#All],[SalesRepID]],dSalesRep[[#All],[Region]])</f>
        <v>WA</v>
      </c>
    </row>
    <row r="362" spans="1:8" x14ac:dyDescent="0.3">
      <c r="A362" s="1">
        <v>45204</v>
      </c>
      <c r="B362">
        <v>2</v>
      </c>
      <c r="C362">
        <v>4</v>
      </c>
      <c r="D362">
        <v>3</v>
      </c>
      <c r="E362" s="11" cm="1">
        <f t="array" ref="E362">_xlfn.XLOOKUP(fsales[[#This Row],[ProductID]],dProduct[[#All],[ProductID]],dProduct[[#All],[Price]])*fsales[[#This Row],[Units]]</f>
        <v>89.85</v>
      </c>
      <c r="F362" s="11" t="str" cm="1">
        <f t="array" ref="F362">_xlfn.XLOOKUP(fsales[[#This Row],[ProductID]],dProduct[[#All],[ProductID]],dProduct[[#All],[Product]])</f>
        <v>Carlota</v>
      </c>
      <c r="G362" s="11" t="str" cm="1">
        <f t="array" ref="G362">_xlfn.XLOOKUP(fsales[[#This Row],[ProductID]],dProduct[[#All],[ProductID]],dProduct[[#All],[Supplier]])</f>
        <v>Gel Booms</v>
      </c>
      <c r="H362" s="11" t="str" cm="1">
        <f t="array" ref="H362">_xlfn.XLOOKUP(fsales[[#This Row],[SalesRepID]],dSalesRep[[#All],[SalesRepID]],dSalesRep[[#All],[Region]])</f>
        <v>WA</v>
      </c>
    </row>
    <row r="363" spans="1:8" x14ac:dyDescent="0.3">
      <c r="A363" s="1">
        <v>45284</v>
      </c>
      <c r="B363">
        <v>3</v>
      </c>
      <c r="C363">
        <v>4</v>
      </c>
      <c r="D363">
        <v>1</v>
      </c>
      <c r="E363" s="11" cm="1">
        <f t="array" ref="E363">_xlfn.XLOOKUP(fsales[[#This Row],[ProductID]],dProduct[[#All],[ProductID]],dProduct[[#All],[Price]])*fsales[[#This Row],[Units]]</f>
        <v>25.95</v>
      </c>
      <c r="F363" s="11" t="str" cm="1">
        <f t="array" ref="F363">_xlfn.XLOOKUP(fsales[[#This Row],[ProductID]],dProduct[[#All],[ProductID]],dProduct[[#All],[Product]])</f>
        <v>Aspen</v>
      </c>
      <c r="G363" s="11" t="str" cm="1">
        <f t="array" ref="G363">_xlfn.XLOOKUP(fsales[[#This Row],[ProductID]],dProduct[[#All],[ProductID]],dProduct[[#All],[Supplier]])</f>
        <v>Colorado Booms</v>
      </c>
      <c r="H363" s="11" t="str" cm="1">
        <f t="array" ref="H363">_xlfn.XLOOKUP(fsales[[#This Row],[SalesRepID]],dSalesRep[[#All],[SalesRepID]],dSalesRep[[#All],[Region]])</f>
        <v>WA</v>
      </c>
    </row>
    <row r="364" spans="1:8" x14ac:dyDescent="0.3">
      <c r="A364" s="1">
        <v>44529</v>
      </c>
      <c r="B364">
        <v>2</v>
      </c>
      <c r="C364">
        <v>2</v>
      </c>
      <c r="D364">
        <v>60</v>
      </c>
      <c r="E364" s="11" cm="1">
        <f t="array" ref="E364">_xlfn.XLOOKUP(fsales[[#This Row],[ProductID]],dProduct[[#All],[ProductID]],dProduct[[#All],[Price]])*fsales[[#This Row],[Units]]</f>
        <v>1797</v>
      </c>
      <c r="F364" s="11" t="str" cm="1">
        <f t="array" ref="F364">_xlfn.XLOOKUP(fsales[[#This Row],[ProductID]],dProduct[[#All],[ProductID]],dProduct[[#All],[Product]])</f>
        <v>Carlota</v>
      </c>
      <c r="G364" s="11" t="str" cm="1">
        <f t="array" ref="G364">_xlfn.XLOOKUP(fsales[[#This Row],[ProductID]],dProduct[[#All],[ProductID]],dProduct[[#All],[Supplier]])</f>
        <v>Gel Booms</v>
      </c>
      <c r="H364" s="11" t="str" cm="1">
        <f t="array" ref="H364">_xlfn.XLOOKUP(fsales[[#This Row],[SalesRepID]],dSalesRep[[#All],[SalesRepID]],dSalesRep[[#All],[Region]])</f>
        <v>CA</v>
      </c>
    </row>
    <row r="365" spans="1:8" x14ac:dyDescent="0.3">
      <c r="A365" s="1">
        <v>45251</v>
      </c>
      <c r="B365">
        <v>4</v>
      </c>
      <c r="C365">
        <v>4</v>
      </c>
      <c r="D365">
        <v>1</v>
      </c>
      <c r="E365" s="11" cm="1">
        <f t="array" ref="E365">_xlfn.XLOOKUP(fsales[[#This Row],[ProductID]],dProduct[[#All],[ProductID]],dProduct[[#All],[Price]])*fsales[[#This Row],[Units]]</f>
        <v>23.95</v>
      </c>
      <c r="F365" s="11" t="str" cm="1">
        <f t="array" ref="F365">_xlfn.XLOOKUP(fsales[[#This Row],[ProductID]],dProduct[[#All],[ProductID]],dProduct[[#All],[Product]])</f>
        <v>Yanaki</v>
      </c>
      <c r="G365" s="11" t="str" cm="1">
        <f t="array" ref="G365">_xlfn.XLOOKUP(fsales[[#This Row],[ProductID]],dProduct[[#All],[ProductID]],dProduct[[#All],[Supplier]])</f>
        <v>Colorado Booms</v>
      </c>
      <c r="H365" s="11" t="str" cm="1">
        <f t="array" ref="H365">_xlfn.XLOOKUP(fsales[[#This Row],[SalesRepID]],dSalesRep[[#All],[SalesRepID]],dSalesRep[[#All],[Region]])</f>
        <v>WA</v>
      </c>
    </row>
    <row r="366" spans="1:8" x14ac:dyDescent="0.3">
      <c r="A366" s="1">
        <v>45074</v>
      </c>
      <c r="B366">
        <v>1</v>
      </c>
      <c r="C366">
        <v>2</v>
      </c>
      <c r="D366">
        <v>123</v>
      </c>
      <c r="E366" s="11" cm="1">
        <f t="array" ref="E366">_xlfn.XLOOKUP(fsales[[#This Row],[ProductID]],dProduct[[#All],[ProductID]],dProduct[[#All],[Price]])*fsales[[#This Row],[Units]]</f>
        <v>5405.85</v>
      </c>
      <c r="F366" s="11" t="str" cm="1">
        <f t="array" ref="F366">_xlfn.XLOOKUP(fsales[[#This Row],[ProductID]],dProduct[[#All],[ProductID]],dProduct[[#All],[Product]])</f>
        <v>Quad</v>
      </c>
      <c r="G366" s="11" t="str" cm="1">
        <f t="array" ref="G366">_xlfn.XLOOKUP(fsales[[#This Row],[ProductID]],dProduct[[#All],[ProductID]],dProduct[[#All],[Supplier]])</f>
        <v>Gel Booms</v>
      </c>
      <c r="H366" s="11" t="str" cm="1">
        <f t="array" ref="H366">_xlfn.XLOOKUP(fsales[[#This Row],[SalesRepID]],dSalesRep[[#All],[SalesRepID]],dSalesRep[[#All],[Region]])</f>
        <v>CA</v>
      </c>
    </row>
    <row r="367" spans="1:8" x14ac:dyDescent="0.3">
      <c r="A367" s="1">
        <v>45254</v>
      </c>
      <c r="B367">
        <v>2</v>
      </c>
      <c r="C367">
        <v>4</v>
      </c>
      <c r="D367">
        <v>1</v>
      </c>
      <c r="E367" s="11" cm="1">
        <f t="array" ref="E367">_xlfn.XLOOKUP(fsales[[#This Row],[ProductID]],dProduct[[#All],[ProductID]],dProduct[[#All],[Price]])*fsales[[#This Row],[Units]]</f>
        <v>29.95</v>
      </c>
      <c r="F367" s="11" t="str" cm="1">
        <f t="array" ref="F367">_xlfn.XLOOKUP(fsales[[#This Row],[ProductID]],dProduct[[#All],[ProductID]],dProduct[[#All],[Product]])</f>
        <v>Carlota</v>
      </c>
      <c r="G367" s="11" t="str" cm="1">
        <f t="array" ref="G367">_xlfn.XLOOKUP(fsales[[#This Row],[ProductID]],dProduct[[#All],[ProductID]],dProduct[[#All],[Supplier]])</f>
        <v>Gel Booms</v>
      </c>
      <c r="H367" s="11" t="str" cm="1">
        <f t="array" ref="H367">_xlfn.XLOOKUP(fsales[[#This Row],[SalesRepID]],dSalesRep[[#All],[SalesRepID]],dSalesRep[[#All],[Region]])</f>
        <v>WA</v>
      </c>
    </row>
    <row r="368" spans="1:8" x14ac:dyDescent="0.3">
      <c r="A368" s="1">
        <v>45042</v>
      </c>
      <c r="B368">
        <v>3</v>
      </c>
      <c r="C368">
        <v>3</v>
      </c>
      <c r="D368">
        <v>114</v>
      </c>
      <c r="E368" s="11" cm="1">
        <f t="array" ref="E368">_xlfn.XLOOKUP(fsales[[#This Row],[ProductID]],dProduct[[#All],[ProductID]],dProduct[[#All],[Price]])*fsales[[#This Row],[Units]]</f>
        <v>2958.2999999999997</v>
      </c>
      <c r="F368" s="11" t="str" cm="1">
        <f t="array" ref="F368">_xlfn.XLOOKUP(fsales[[#This Row],[ProductID]],dProduct[[#All],[ProductID]],dProduct[[#All],[Product]])</f>
        <v>Aspen</v>
      </c>
      <c r="G368" s="11" t="str" cm="1">
        <f t="array" ref="G368">_xlfn.XLOOKUP(fsales[[#This Row],[ProductID]],dProduct[[#All],[ProductID]],dProduct[[#All],[Supplier]])</f>
        <v>Colorado Booms</v>
      </c>
      <c r="H368" s="11" t="str" cm="1">
        <f t="array" ref="H368">_xlfn.XLOOKUP(fsales[[#This Row],[SalesRepID]],dSalesRep[[#All],[SalesRepID]],dSalesRep[[#All],[Region]])</f>
        <v>WA</v>
      </c>
    </row>
    <row r="369" spans="1:8" x14ac:dyDescent="0.3">
      <c r="A369" s="1">
        <v>44940</v>
      </c>
      <c r="B369">
        <v>3</v>
      </c>
      <c r="C369">
        <v>2</v>
      </c>
      <c r="D369">
        <v>107</v>
      </c>
      <c r="E369" s="11" cm="1">
        <f t="array" ref="E369">_xlfn.XLOOKUP(fsales[[#This Row],[ProductID]],dProduct[[#All],[ProductID]],dProduct[[#All],[Price]])*fsales[[#This Row],[Units]]</f>
        <v>2776.65</v>
      </c>
      <c r="F369" s="11" t="str" cm="1">
        <f t="array" ref="F369">_xlfn.XLOOKUP(fsales[[#This Row],[ProductID]],dProduct[[#All],[ProductID]],dProduct[[#All],[Product]])</f>
        <v>Aspen</v>
      </c>
      <c r="G369" s="11" t="str" cm="1">
        <f t="array" ref="G369">_xlfn.XLOOKUP(fsales[[#This Row],[ProductID]],dProduct[[#All],[ProductID]],dProduct[[#All],[Supplier]])</f>
        <v>Colorado Booms</v>
      </c>
      <c r="H369" s="11" t="str" cm="1">
        <f t="array" ref="H369">_xlfn.XLOOKUP(fsales[[#This Row],[SalesRepID]],dSalesRep[[#All],[SalesRepID]],dSalesRep[[#All],[Region]])</f>
        <v>CA</v>
      </c>
    </row>
    <row r="370" spans="1:8" x14ac:dyDescent="0.3">
      <c r="A370" s="1">
        <v>44520</v>
      </c>
      <c r="B370">
        <v>4</v>
      </c>
      <c r="C370">
        <v>2</v>
      </c>
      <c r="D370">
        <v>192</v>
      </c>
      <c r="E370" s="11" cm="1">
        <f t="array" ref="E370">_xlfn.XLOOKUP(fsales[[#This Row],[ProductID]],dProduct[[#All],[ProductID]],dProduct[[#All],[Price]])*fsales[[#This Row],[Units]]</f>
        <v>4598.3999999999996</v>
      </c>
      <c r="F370" s="11" t="str" cm="1">
        <f t="array" ref="F370">_xlfn.XLOOKUP(fsales[[#This Row],[ProductID]],dProduct[[#All],[ProductID]],dProduct[[#All],[Product]])</f>
        <v>Yanaki</v>
      </c>
      <c r="G370" s="11" t="str" cm="1">
        <f t="array" ref="G370">_xlfn.XLOOKUP(fsales[[#This Row],[ProductID]],dProduct[[#All],[ProductID]],dProduct[[#All],[Supplier]])</f>
        <v>Colorado Booms</v>
      </c>
      <c r="H370" s="11" t="str" cm="1">
        <f t="array" ref="H370">_xlfn.XLOOKUP(fsales[[#This Row],[SalesRepID]],dSalesRep[[#All],[SalesRepID]],dSalesRep[[#All],[Region]])</f>
        <v>CA</v>
      </c>
    </row>
    <row r="371" spans="1:8" x14ac:dyDescent="0.3">
      <c r="A371" s="1">
        <v>44557</v>
      </c>
      <c r="B371">
        <v>4</v>
      </c>
      <c r="C371">
        <v>4</v>
      </c>
      <c r="D371">
        <v>105</v>
      </c>
      <c r="E371" s="11" cm="1">
        <f t="array" ref="E371">_xlfn.XLOOKUP(fsales[[#This Row],[ProductID]],dProduct[[#All],[ProductID]],dProduct[[#All],[Price]])*fsales[[#This Row],[Units]]</f>
        <v>2514.75</v>
      </c>
      <c r="F371" s="11" t="str" cm="1">
        <f t="array" ref="F371">_xlfn.XLOOKUP(fsales[[#This Row],[ProductID]],dProduct[[#All],[ProductID]],dProduct[[#All],[Product]])</f>
        <v>Yanaki</v>
      </c>
      <c r="G371" s="11" t="str" cm="1">
        <f t="array" ref="G371">_xlfn.XLOOKUP(fsales[[#This Row],[ProductID]],dProduct[[#All],[ProductID]],dProduct[[#All],[Supplier]])</f>
        <v>Colorado Booms</v>
      </c>
      <c r="H371" s="11" t="str" cm="1">
        <f t="array" ref="H371">_xlfn.XLOOKUP(fsales[[#This Row],[SalesRepID]],dSalesRep[[#All],[SalesRepID]],dSalesRep[[#All],[Region]])</f>
        <v>WA</v>
      </c>
    </row>
    <row r="372" spans="1:8" x14ac:dyDescent="0.3">
      <c r="A372" s="1">
        <v>45283</v>
      </c>
      <c r="B372">
        <v>2</v>
      </c>
      <c r="C372">
        <v>2</v>
      </c>
      <c r="D372">
        <v>122</v>
      </c>
      <c r="E372" s="11" cm="1">
        <f t="array" ref="E372">_xlfn.XLOOKUP(fsales[[#This Row],[ProductID]],dProduct[[#All],[ProductID]],dProduct[[#All],[Price]])*fsales[[#This Row],[Units]]</f>
        <v>3653.9</v>
      </c>
      <c r="F372" s="11" t="str" cm="1">
        <f t="array" ref="F372">_xlfn.XLOOKUP(fsales[[#This Row],[ProductID]],dProduct[[#All],[ProductID]],dProduct[[#All],[Product]])</f>
        <v>Carlota</v>
      </c>
      <c r="G372" s="11" t="str" cm="1">
        <f t="array" ref="G372">_xlfn.XLOOKUP(fsales[[#This Row],[ProductID]],dProduct[[#All],[ProductID]],dProduct[[#All],[Supplier]])</f>
        <v>Gel Booms</v>
      </c>
      <c r="H372" s="11" t="str" cm="1">
        <f t="array" ref="H372">_xlfn.XLOOKUP(fsales[[#This Row],[SalesRepID]],dSalesRep[[#All],[SalesRepID]],dSalesRep[[#All],[Region]])</f>
        <v>CA</v>
      </c>
    </row>
    <row r="373" spans="1:8" x14ac:dyDescent="0.3">
      <c r="A373" s="1">
        <v>44883</v>
      </c>
      <c r="B373">
        <v>2</v>
      </c>
      <c r="C373">
        <v>4</v>
      </c>
      <c r="D373">
        <v>2</v>
      </c>
      <c r="E373" s="11" cm="1">
        <f t="array" ref="E373">_xlfn.XLOOKUP(fsales[[#This Row],[ProductID]],dProduct[[#All],[ProductID]],dProduct[[#All],[Price]])*fsales[[#This Row],[Units]]</f>
        <v>59.9</v>
      </c>
      <c r="F373" s="11" t="str" cm="1">
        <f t="array" ref="F373">_xlfn.XLOOKUP(fsales[[#This Row],[ProductID]],dProduct[[#All],[ProductID]],dProduct[[#All],[Product]])</f>
        <v>Carlota</v>
      </c>
      <c r="G373" s="11" t="str" cm="1">
        <f t="array" ref="G373">_xlfn.XLOOKUP(fsales[[#This Row],[ProductID]],dProduct[[#All],[ProductID]],dProduct[[#All],[Supplier]])</f>
        <v>Gel Booms</v>
      </c>
      <c r="H373" s="11" t="str" cm="1">
        <f t="array" ref="H373">_xlfn.XLOOKUP(fsales[[#This Row],[SalesRepID]],dSalesRep[[#All],[SalesRepID]],dSalesRep[[#All],[Region]])</f>
        <v>WA</v>
      </c>
    </row>
    <row r="374" spans="1:8" x14ac:dyDescent="0.3">
      <c r="A374" s="1">
        <v>44414</v>
      </c>
      <c r="B374">
        <v>2</v>
      </c>
      <c r="C374">
        <v>4</v>
      </c>
      <c r="D374">
        <v>94</v>
      </c>
      <c r="E374" s="11" cm="1">
        <f t="array" ref="E374">_xlfn.XLOOKUP(fsales[[#This Row],[ProductID]],dProduct[[#All],[ProductID]],dProduct[[#All],[Price]])*fsales[[#This Row],[Units]]</f>
        <v>2815.2999999999997</v>
      </c>
      <c r="F374" s="11" t="str" cm="1">
        <f t="array" ref="F374">_xlfn.XLOOKUP(fsales[[#This Row],[ProductID]],dProduct[[#All],[ProductID]],dProduct[[#All],[Product]])</f>
        <v>Carlota</v>
      </c>
      <c r="G374" s="11" t="str" cm="1">
        <f t="array" ref="G374">_xlfn.XLOOKUP(fsales[[#This Row],[ProductID]],dProduct[[#All],[ProductID]],dProduct[[#All],[Supplier]])</f>
        <v>Gel Booms</v>
      </c>
      <c r="H374" s="11" t="str" cm="1">
        <f t="array" ref="H374">_xlfn.XLOOKUP(fsales[[#This Row],[SalesRepID]],dSalesRep[[#All],[SalesRepID]],dSalesRep[[#All],[Region]])</f>
        <v>WA</v>
      </c>
    </row>
    <row r="375" spans="1:8" x14ac:dyDescent="0.3">
      <c r="A375" s="1">
        <v>44892</v>
      </c>
      <c r="B375">
        <v>4</v>
      </c>
      <c r="C375">
        <v>3</v>
      </c>
      <c r="D375">
        <v>6</v>
      </c>
      <c r="E375" s="11" cm="1">
        <f t="array" ref="E375">_xlfn.XLOOKUP(fsales[[#This Row],[ProductID]],dProduct[[#All],[ProductID]],dProduct[[#All],[Price]])*fsales[[#This Row],[Units]]</f>
        <v>143.69999999999999</v>
      </c>
      <c r="F375" s="11" t="str" cm="1">
        <f t="array" ref="F375">_xlfn.XLOOKUP(fsales[[#This Row],[ProductID]],dProduct[[#All],[ProductID]],dProduct[[#All],[Product]])</f>
        <v>Yanaki</v>
      </c>
      <c r="G375" s="11" t="str" cm="1">
        <f t="array" ref="G375">_xlfn.XLOOKUP(fsales[[#This Row],[ProductID]],dProduct[[#All],[ProductID]],dProduct[[#All],[Supplier]])</f>
        <v>Colorado Booms</v>
      </c>
      <c r="H375" s="11" t="str" cm="1">
        <f t="array" ref="H375">_xlfn.XLOOKUP(fsales[[#This Row],[SalesRepID]],dSalesRep[[#All],[SalesRepID]],dSalesRep[[#All],[Region]])</f>
        <v>WA</v>
      </c>
    </row>
    <row r="376" spans="1:8" x14ac:dyDescent="0.3">
      <c r="A376" s="1">
        <v>45240</v>
      </c>
      <c r="B376">
        <v>2</v>
      </c>
      <c r="C376">
        <v>2</v>
      </c>
      <c r="D376">
        <v>83</v>
      </c>
      <c r="E376" s="11" cm="1">
        <f t="array" ref="E376">_xlfn.XLOOKUP(fsales[[#This Row],[ProductID]],dProduct[[#All],[ProductID]],dProduct[[#All],[Price]])*fsales[[#This Row],[Units]]</f>
        <v>2485.85</v>
      </c>
      <c r="F376" s="11" t="str" cm="1">
        <f t="array" ref="F376">_xlfn.XLOOKUP(fsales[[#This Row],[ProductID]],dProduct[[#All],[ProductID]],dProduct[[#All],[Product]])</f>
        <v>Carlota</v>
      </c>
      <c r="G376" s="11" t="str" cm="1">
        <f t="array" ref="G376">_xlfn.XLOOKUP(fsales[[#This Row],[ProductID]],dProduct[[#All],[ProductID]],dProduct[[#All],[Supplier]])</f>
        <v>Gel Booms</v>
      </c>
      <c r="H376" s="11" t="str" cm="1">
        <f t="array" ref="H376">_xlfn.XLOOKUP(fsales[[#This Row],[SalesRepID]],dSalesRep[[#All],[SalesRepID]],dSalesRep[[#All],[Region]])</f>
        <v>CA</v>
      </c>
    </row>
    <row r="377" spans="1:8" x14ac:dyDescent="0.3">
      <c r="A377" s="1">
        <v>44925</v>
      </c>
      <c r="B377">
        <v>2</v>
      </c>
      <c r="C377">
        <v>4</v>
      </c>
      <c r="D377">
        <v>6</v>
      </c>
      <c r="E377" s="11" cm="1">
        <f t="array" ref="E377">_xlfn.XLOOKUP(fsales[[#This Row],[ProductID]],dProduct[[#All],[ProductID]],dProduct[[#All],[Price]])*fsales[[#This Row],[Units]]</f>
        <v>179.7</v>
      </c>
      <c r="F377" s="11" t="str" cm="1">
        <f t="array" ref="F377">_xlfn.XLOOKUP(fsales[[#This Row],[ProductID]],dProduct[[#All],[ProductID]],dProduct[[#All],[Product]])</f>
        <v>Carlota</v>
      </c>
      <c r="G377" s="11" t="str" cm="1">
        <f t="array" ref="G377">_xlfn.XLOOKUP(fsales[[#This Row],[ProductID]],dProduct[[#All],[ProductID]],dProduct[[#All],[Supplier]])</f>
        <v>Gel Booms</v>
      </c>
      <c r="H377" s="11" t="str" cm="1">
        <f t="array" ref="H377">_xlfn.XLOOKUP(fsales[[#This Row],[SalesRepID]],dSalesRep[[#All],[SalesRepID]],dSalesRep[[#All],[Region]])</f>
        <v>WA</v>
      </c>
    </row>
    <row r="378" spans="1:8" x14ac:dyDescent="0.3">
      <c r="A378" s="1">
        <v>44387</v>
      </c>
      <c r="B378">
        <v>2</v>
      </c>
      <c r="C378">
        <v>1</v>
      </c>
      <c r="D378">
        <v>78</v>
      </c>
      <c r="E378" s="11" cm="1">
        <f t="array" ref="E378">_xlfn.XLOOKUP(fsales[[#This Row],[ProductID]],dProduct[[#All],[ProductID]],dProduct[[#All],[Price]])*fsales[[#This Row],[Units]]</f>
        <v>2336.1</v>
      </c>
      <c r="F378" s="11" t="str" cm="1">
        <f t="array" ref="F378">_xlfn.XLOOKUP(fsales[[#This Row],[ProductID]],dProduct[[#All],[ProductID]],dProduct[[#All],[Product]])</f>
        <v>Carlota</v>
      </c>
      <c r="G378" s="11" t="str" cm="1">
        <f t="array" ref="G378">_xlfn.XLOOKUP(fsales[[#This Row],[ProductID]],dProduct[[#All],[ProductID]],dProduct[[#All],[Supplier]])</f>
        <v>Gel Booms</v>
      </c>
      <c r="H378" s="11" t="str" cm="1">
        <f t="array" ref="H378">_xlfn.XLOOKUP(fsales[[#This Row],[SalesRepID]],dSalesRep[[#All],[SalesRepID]],dSalesRep[[#All],[Region]])</f>
        <v>CA</v>
      </c>
    </row>
    <row r="379" spans="1:8" x14ac:dyDescent="0.3">
      <c r="A379" s="1">
        <v>44358</v>
      </c>
      <c r="B379">
        <v>2</v>
      </c>
      <c r="C379">
        <v>4</v>
      </c>
      <c r="D379">
        <v>91</v>
      </c>
      <c r="E379" s="11" cm="1">
        <f t="array" ref="E379">_xlfn.XLOOKUP(fsales[[#This Row],[ProductID]],dProduct[[#All],[ProductID]],dProduct[[#All],[Price]])*fsales[[#This Row],[Units]]</f>
        <v>2725.45</v>
      </c>
      <c r="F379" s="11" t="str" cm="1">
        <f t="array" ref="F379">_xlfn.XLOOKUP(fsales[[#This Row],[ProductID]],dProduct[[#All],[ProductID]],dProduct[[#All],[Product]])</f>
        <v>Carlota</v>
      </c>
      <c r="G379" s="11" t="str" cm="1">
        <f t="array" ref="G379">_xlfn.XLOOKUP(fsales[[#This Row],[ProductID]],dProduct[[#All],[ProductID]],dProduct[[#All],[Supplier]])</f>
        <v>Gel Booms</v>
      </c>
      <c r="H379" s="11" t="str" cm="1">
        <f t="array" ref="H379">_xlfn.XLOOKUP(fsales[[#This Row],[SalesRepID]],dSalesRep[[#All],[SalesRepID]],dSalesRep[[#All],[Region]])</f>
        <v>WA</v>
      </c>
    </row>
    <row r="380" spans="1:8" x14ac:dyDescent="0.3">
      <c r="A380" s="1">
        <v>45185</v>
      </c>
      <c r="B380">
        <v>2</v>
      </c>
      <c r="C380">
        <v>4</v>
      </c>
      <c r="D380">
        <v>4</v>
      </c>
      <c r="E380" s="11" cm="1">
        <f t="array" ref="E380">_xlfn.XLOOKUP(fsales[[#This Row],[ProductID]],dProduct[[#All],[ProductID]],dProduct[[#All],[Price]])*fsales[[#This Row],[Units]]</f>
        <v>119.8</v>
      </c>
      <c r="F380" s="11" t="str" cm="1">
        <f t="array" ref="F380">_xlfn.XLOOKUP(fsales[[#This Row],[ProductID]],dProduct[[#All],[ProductID]],dProduct[[#All],[Product]])</f>
        <v>Carlota</v>
      </c>
      <c r="G380" s="11" t="str" cm="1">
        <f t="array" ref="G380">_xlfn.XLOOKUP(fsales[[#This Row],[ProductID]],dProduct[[#All],[ProductID]],dProduct[[#All],[Supplier]])</f>
        <v>Gel Booms</v>
      </c>
      <c r="H380" s="11" t="str" cm="1">
        <f t="array" ref="H380">_xlfn.XLOOKUP(fsales[[#This Row],[SalesRepID]],dSalesRep[[#All],[SalesRepID]],dSalesRep[[#All],[Region]])</f>
        <v>WA</v>
      </c>
    </row>
    <row r="381" spans="1:8" x14ac:dyDescent="0.3">
      <c r="A381" s="1">
        <v>44902</v>
      </c>
      <c r="B381">
        <v>2</v>
      </c>
      <c r="C381">
        <v>2</v>
      </c>
      <c r="D381">
        <v>25</v>
      </c>
      <c r="E381" s="11" cm="1">
        <f t="array" ref="E381">_xlfn.XLOOKUP(fsales[[#This Row],[ProductID]],dProduct[[#All],[ProductID]],dProduct[[#All],[Price]])*fsales[[#This Row],[Units]]</f>
        <v>748.75</v>
      </c>
      <c r="F381" s="11" t="str" cm="1">
        <f t="array" ref="F381">_xlfn.XLOOKUP(fsales[[#This Row],[ProductID]],dProduct[[#All],[ProductID]],dProduct[[#All],[Product]])</f>
        <v>Carlota</v>
      </c>
      <c r="G381" s="11" t="str" cm="1">
        <f t="array" ref="G381">_xlfn.XLOOKUP(fsales[[#This Row],[ProductID]],dProduct[[#All],[ProductID]],dProduct[[#All],[Supplier]])</f>
        <v>Gel Booms</v>
      </c>
      <c r="H381" s="11" t="str" cm="1">
        <f t="array" ref="H381">_xlfn.XLOOKUP(fsales[[#This Row],[SalesRepID]],dSalesRep[[#All],[SalesRepID]],dSalesRep[[#All],[Region]])</f>
        <v>CA</v>
      </c>
    </row>
    <row r="382" spans="1:8" x14ac:dyDescent="0.3">
      <c r="A382" s="1">
        <v>45230</v>
      </c>
      <c r="B382">
        <v>3</v>
      </c>
      <c r="C382">
        <v>2</v>
      </c>
      <c r="D382">
        <v>74</v>
      </c>
      <c r="E382" s="11" cm="1">
        <f t="array" ref="E382">_xlfn.XLOOKUP(fsales[[#This Row],[ProductID]],dProduct[[#All],[ProductID]],dProduct[[#All],[Price]])*fsales[[#This Row],[Units]]</f>
        <v>1920.3</v>
      </c>
      <c r="F382" s="11" t="str" cm="1">
        <f t="array" ref="F382">_xlfn.XLOOKUP(fsales[[#This Row],[ProductID]],dProduct[[#All],[ProductID]],dProduct[[#All],[Product]])</f>
        <v>Aspen</v>
      </c>
      <c r="G382" s="11" t="str" cm="1">
        <f t="array" ref="G382">_xlfn.XLOOKUP(fsales[[#This Row],[ProductID]],dProduct[[#All],[ProductID]],dProduct[[#All],[Supplier]])</f>
        <v>Colorado Booms</v>
      </c>
      <c r="H382" s="11" t="str" cm="1">
        <f t="array" ref="H382">_xlfn.XLOOKUP(fsales[[#This Row],[SalesRepID]],dSalesRep[[#All],[SalesRepID]],dSalesRep[[#All],[Region]])</f>
        <v>CA</v>
      </c>
    </row>
    <row r="383" spans="1:8" x14ac:dyDescent="0.3">
      <c r="A383" s="1">
        <v>44694</v>
      </c>
      <c r="B383">
        <v>4</v>
      </c>
      <c r="C383">
        <v>4</v>
      </c>
      <c r="D383">
        <v>258</v>
      </c>
      <c r="E383" s="11" cm="1">
        <f t="array" ref="E383">_xlfn.XLOOKUP(fsales[[#This Row],[ProductID]],dProduct[[#All],[ProductID]],dProduct[[#All],[Price]])*fsales[[#This Row],[Units]]</f>
        <v>6179.0999999999995</v>
      </c>
      <c r="F383" s="11" t="str" cm="1">
        <f t="array" ref="F383">_xlfn.XLOOKUP(fsales[[#This Row],[ProductID]],dProduct[[#All],[ProductID]],dProduct[[#All],[Product]])</f>
        <v>Yanaki</v>
      </c>
      <c r="G383" s="11" t="str" cm="1">
        <f t="array" ref="G383">_xlfn.XLOOKUP(fsales[[#This Row],[ProductID]],dProduct[[#All],[ProductID]],dProduct[[#All],[Supplier]])</f>
        <v>Colorado Booms</v>
      </c>
      <c r="H383" s="11" t="str" cm="1">
        <f t="array" ref="H383">_xlfn.XLOOKUP(fsales[[#This Row],[SalesRepID]],dSalesRep[[#All],[SalesRepID]],dSalesRep[[#All],[Region]])</f>
        <v>WA</v>
      </c>
    </row>
    <row r="384" spans="1:8" x14ac:dyDescent="0.3">
      <c r="A384" s="1">
        <v>44867</v>
      </c>
      <c r="B384">
        <v>4</v>
      </c>
      <c r="C384">
        <v>4</v>
      </c>
      <c r="D384">
        <v>5</v>
      </c>
      <c r="E384" s="11" cm="1">
        <f t="array" ref="E384">_xlfn.XLOOKUP(fsales[[#This Row],[ProductID]],dProduct[[#All],[ProductID]],dProduct[[#All],[Price]])*fsales[[#This Row],[Units]]</f>
        <v>119.75</v>
      </c>
      <c r="F384" s="11" t="str" cm="1">
        <f t="array" ref="F384">_xlfn.XLOOKUP(fsales[[#This Row],[ProductID]],dProduct[[#All],[ProductID]],dProduct[[#All],[Product]])</f>
        <v>Yanaki</v>
      </c>
      <c r="G384" s="11" t="str" cm="1">
        <f t="array" ref="G384">_xlfn.XLOOKUP(fsales[[#This Row],[ProductID]],dProduct[[#All],[ProductID]],dProduct[[#All],[Supplier]])</f>
        <v>Colorado Booms</v>
      </c>
      <c r="H384" s="11" t="str" cm="1">
        <f t="array" ref="H384">_xlfn.XLOOKUP(fsales[[#This Row],[SalesRepID]],dSalesRep[[#All],[SalesRepID]],dSalesRep[[#All],[Region]])</f>
        <v>WA</v>
      </c>
    </row>
    <row r="385" spans="1:8" x14ac:dyDescent="0.3">
      <c r="A385" s="1">
        <v>45127</v>
      </c>
      <c r="B385">
        <v>2</v>
      </c>
      <c r="C385">
        <v>2</v>
      </c>
      <c r="D385">
        <v>114</v>
      </c>
      <c r="E385" s="11" cm="1">
        <f t="array" ref="E385">_xlfn.XLOOKUP(fsales[[#This Row],[ProductID]],dProduct[[#All],[ProductID]],dProduct[[#All],[Price]])*fsales[[#This Row],[Units]]</f>
        <v>3414.2999999999997</v>
      </c>
      <c r="F385" s="11" t="str" cm="1">
        <f t="array" ref="F385">_xlfn.XLOOKUP(fsales[[#This Row],[ProductID]],dProduct[[#All],[ProductID]],dProduct[[#All],[Product]])</f>
        <v>Carlota</v>
      </c>
      <c r="G385" s="11" t="str" cm="1">
        <f t="array" ref="G385">_xlfn.XLOOKUP(fsales[[#This Row],[ProductID]],dProduct[[#All],[ProductID]],dProduct[[#All],[Supplier]])</f>
        <v>Gel Booms</v>
      </c>
      <c r="H385" s="11" t="str" cm="1">
        <f t="array" ref="H385">_xlfn.XLOOKUP(fsales[[#This Row],[SalesRepID]],dSalesRep[[#All],[SalesRepID]],dSalesRep[[#All],[Region]])</f>
        <v>CA</v>
      </c>
    </row>
    <row r="386" spans="1:8" x14ac:dyDescent="0.3">
      <c r="A386" s="1">
        <v>44908</v>
      </c>
      <c r="B386">
        <v>2</v>
      </c>
      <c r="C386">
        <v>4</v>
      </c>
      <c r="D386">
        <v>8</v>
      </c>
      <c r="E386" s="11" cm="1">
        <f t="array" ref="E386">_xlfn.XLOOKUP(fsales[[#This Row],[ProductID]],dProduct[[#All],[ProductID]],dProduct[[#All],[Price]])*fsales[[#This Row],[Units]]</f>
        <v>239.6</v>
      </c>
      <c r="F386" s="11" t="str" cm="1">
        <f t="array" ref="F386">_xlfn.XLOOKUP(fsales[[#This Row],[ProductID]],dProduct[[#All],[ProductID]],dProduct[[#All],[Product]])</f>
        <v>Carlota</v>
      </c>
      <c r="G386" s="11" t="str" cm="1">
        <f t="array" ref="G386">_xlfn.XLOOKUP(fsales[[#This Row],[ProductID]],dProduct[[#All],[ProductID]],dProduct[[#All],[Supplier]])</f>
        <v>Gel Booms</v>
      </c>
      <c r="H386" s="11" t="str" cm="1">
        <f t="array" ref="H386">_xlfn.XLOOKUP(fsales[[#This Row],[SalesRepID]],dSalesRep[[#All],[SalesRepID]],dSalesRep[[#All],[Region]])</f>
        <v>WA</v>
      </c>
    </row>
    <row r="387" spans="1:8" x14ac:dyDescent="0.3">
      <c r="A387" s="1">
        <v>44298</v>
      </c>
      <c r="B387">
        <v>2</v>
      </c>
      <c r="C387">
        <v>4</v>
      </c>
      <c r="D387">
        <v>70</v>
      </c>
      <c r="E387" s="11" cm="1">
        <f t="array" ref="E387">_xlfn.XLOOKUP(fsales[[#This Row],[ProductID]],dProduct[[#All],[ProductID]],dProduct[[#All],[Price]])*fsales[[#This Row],[Units]]</f>
        <v>2096.5</v>
      </c>
      <c r="F387" s="11" t="str" cm="1">
        <f t="array" ref="F387">_xlfn.XLOOKUP(fsales[[#This Row],[ProductID]],dProduct[[#All],[ProductID]],dProduct[[#All],[Product]])</f>
        <v>Carlota</v>
      </c>
      <c r="G387" s="11" t="str" cm="1">
        <f t="array" ref="G387">_xlfn.XLOOKUP(fsales[[#This Row],[ProductID]],dProduct[[#All],[ProductID]],dProduct[[#All],[Supplier]])</f>
        <v>Gel Booms</v>
      </c>
      <c r="H387" s="11" t="str" cm="1">
        <f t="array" ref="H387">_xlfn.XLOOKUP(fsales[[#This Row],[SalesRepID]],dSalesRep[[#All],[SalesRepID]],dSalesRep[[#All],[Region]])</f>
        <v>WA</v>
      </c>
    </row>
    <row r="388" spans="1:8" x14ac:dyDescent="0.3">
      <c r="A388" s="1">
        <v>45221</v>
      </c>
      <c r="B388">
        <v>2</v>
      </c>
      <c r="C388">
        <v>2</v>
      </c>
      <c r="D388">
        <v>15</v>
      </c>
      <c r="E388" s="11" cm="1">
        <f t="array" ref="E388">_xlfn.XLOOKUP(fsales[[#This Row],[ProductID]],dProduct[[#All],[ProductID]],dProduct[[#All],[Price]])*fsales[[#This Row],[Units]]</f>
        <v>449.25</v>
      </c>
      <c r="F388" s="11" t="str" cm="1">
        <f t="array" ref="F388">_xlfn.XLOOKUP(fsales[[#This Row],[ProductID]],dProduct[[#All],[ProductID]],dProduct[[#All],[Product]])</f>
        <v>Carlota</v>
      </c>
      <c r="G388" s="11" t="str" cm="1">
        <f t="array" ref="G388">_xlfn.XLOOKUP(fsales[[#This Row],[ProductID]],dProduct[[#All],[ProductID]],dProduct[[#All],[Supplier]])</f>
        <v>Gel Booms</v>
      </c>
      <c r="H388" s="11" t="str" cm="1">
        <f t="array" ref="H388">_xlfn.XLOOKUP(fsales[[#This Row],[SalesRepID]],dSalesRep[[#All],[SalesRepID]],dSalesRep[[#All],[Region]])</f>
        <v>CA</v>
      </c>
    </row>
    <row r="389" spans="1:8" x14ac:dyDescent="0.3">
      <c r="A389" s="1">
        <v>44529</v>
      </c>
      <c r="B389">
        <v>2</v>
      </c>
      <c r="C389">
        <v>3</v>
      </c>
      <c r="D389">
        <v>39</v>
      </c>
      <c r="E389" s="11" cm="1">
        <f t="array" ref="E389">_xlfn.XLOOKUP(fsales[[#This Row],[ProductID]],dProduct[[#All],[ProductID]],dProduct[[#All],[Price]])*fsales[[#This Row],[Units]]</f>
        <v>1168.05</v>
      </c>
      <c r="F389" s="11" t="str" cm="1">
        <f t="array" ref="F389">_xlfn.XLOOKUP(fsales[[#This Row],[ProductID]],dProduct[[#All],[ProductID]],dProduct[[#All],[Product]])</f>
        <v>Carlota</v>
      </c>
      <c r="G389" s="11" t="str" cm="1">
        <f t="array" ref="G389">_xlfn.XLOOKUP(fsales[[#This Row],[ProductID]],dProduct[[#All],[ProductID]],dProduct[[#All],[Supplier]])</f>
        <v>Gel Booms</v>
      </c>
      <c r="H389" s="11" t="str" cm="1">
        <f t="array" ref="H389">_xlfn.XLOOKUP(fsales[[#This Row],[SalesRepID]],dSalesRep[[#All],[SalesRepID]],dSalesRep[[#All],[Region]])</f>
        <v>WA</v>
      </c>
    </row>
    <row r="390" spans="1:8" x14ac:dyDescent="0.3">
      <c r="A390" s="1">
        <v>44878</v>
      </c>
      <c r="B390">
        <v>4</v>
      </c>
      <c r="C390">
        <v>2</v>
      </c>
      <c r="D390">
        <v>2</v>
      </c>
      <c r="E390" s="11" cm="1">
        <f t="array" ref="E390">_xlfn.XLOOKUP(fsales[[#This Row],[ProductID]],dProduct[[#All],[ProductID]],dProduct[[#All],[Price]])*fsales[[#This Row],[Units]]</f>
        <v>47.9</v>
      </c>
      <c r="F390" s="11" t="str" cm="1">
        <f t="array" ref="F390">_xlfn.XLOOKUP(fsales[[#This Row],[ProductID]],dProduct[[#All],[ProductID]],dProduct[[#All],[Product]])</f>
        <v>Yanaki</v>
      </c>
      <c r="G390" s="11" t="str" cm="1">
        <f t="array" ref="G390">_xlfn.XLOOKUP(fsales[[#This Row],[ProductID]],dProduct[[#All],[ProductID]],dProduct[[#All],[Supplier]])</f>
        <v>Colorado Booms</v>
      </c>
      <c r="H390" s="11" t="str" cm="1">
        <f t="array" ref="H390">_xlfn.XLOOKUP(fsales[[#This Row],[SalesRepID]],dSalesRep[[#All],[SalesRepID]],dSalesRep[[#All],[Region]])</f>
        <v>CA</v>
      </c>
    </row>
    <row r="391" spans="1:8" x14ac:dyDescent="0.3">
      <c r="A391" s="1">
        <v>44414</v>
      </c>
      <c r="B391">
        <v>2</v>
      </c>
      <c r="C391">
        <v>3</v>
      </c>
      <c r="D391">
        <v>2</v>
      </c>
      <c r="E391" s="11" cm="1">
        <f t="array" ref="E391">_xlfn.XLOOKUP(fsales[[#This Row],[ProductID]],dProduct[[#All],[ProductID]],dProduct[[#All],[Price]])*fsales[[#This Row],[Units]]</f>
        <v>59.9</v>
      </c>
      <c r="F391" s="11" t="str" cm="1">
        <f t="array" ref="F391">_xlfn.XLOOKUP(fsales[[#This Row],[ProductID]],dProduct[[#All],[ProductID]],dProduct[[#All],[Product]])</f>
        <v>Carlota</v>
      </c>
      <c r="G391" s="11" t="str" cm="1">
        <f t="array" ref="G391">_xlfn.XLOOKUP(fsales[[#This Row],[ProductID]],dProduct[[#All],[ProductID]],dProduct[[#All],[Supplier]])</f>
        <v>Gel Booms</v>
      </c>
      <c r="H391" s="11" t="str" cm="1">
        <f t="array" ref="H391">_xlfn.XLOOKUP(fsales[[#This Row],[SalesRepID]],dSalesRep[[#All],[SalesRepID]],dSalesRep[[#All],[Region]])</f>
        <v>WA</v>
      </c>
    </row>
    <row r="392" spans="1:8" x14ac:dyDescent="0.3">
      <c r="A392" s="1">
        <v>44272</v>
      </c>
      <c r="B392">
        <v>3</v>
      </c>
      <c r="C392">
        <v>1</v>
      </c>
      <c r="D392">
        <v>119</v>
      </c>
      <c r="E392" s="11" cm="1">
        <f t="array" ref="E392">_xlfn.XLOOKUP(fsales[[#This Row],[ProductID]],dProduct[[#All],[ProductID]],dProduct[[#All],[Price]])*fsales[[#This Row],[Units]]</f>
        <v>3088.0499999999997</v>
      </c>
      <c r="F392" s="11" t="str" cm="1">
        <f t="array" ref="F392">_xlfn.XLOOKUP(fsales[[#This Row],[ProductID]],dProduct[[#All],[ProductID]],dProduct[[#All],[Product]])</f>
        <v>Aspen</v>
      </c>
      <c r="G392" s="11" t="str" cm="1">
        <f t="array" ref="G392">_xlfn.XLOOKUP(fsales[[#This Row],[ProductID]],dProduct[[#All],[ProductID]],dProduct[[#All],[Supplier]])</f>
        <v>Colorado Booms</v>
      </c>
      <c r="H392" s="11" t="str" cm="1">
        <f t="array" ref="H392">_xlfn.XLOOKUP(fsales[[#This Row],[SalesRepID]],dSalesRep[[#All],[SalesRepID]],dSalesRep[[#All],[Region]])</f>
        <v>CA</v>
      </c>
    </row>
    <row r="393" spans="1:8" x14ac:dyDescent="0.3">
      <c r="A393" s="1">
        <v>44682</v>
      </c>
      <c r="B393">
        <v>2</v>
      </c>
      <c r="C393">
        <v>4</v>
      </c>
      <c r="D393">
        <v>53</v>
      </c>
      <c r="E393" s="11" cm="1">
        <f t="array" ref="E393">_xlfn.XLOOKUP(fsales[[#This Row],[ProductID]],dProduct[[#All],[ProductID]],dProduct[[#All],[Price]])*fsales[[#This Row],[Units]]</f>
        <v>1587.35</v>
      </c>
      <c r="F393" s="11" t="str" cm="1">
        <f t="array" ref="F393">_xlfn.XLOOKUP(fsales[[#This Row],[ProductID]],dProduct[[#All],[ProductID]],dProduct[[#All],[Product]])</f>
        <v>Carlota</v>
      </c>
      <c r="G393" s="11" t="str" cm="1">
        <f t="array" ref="G393">_xlfn.XLOOKUP(fsales[[#This Row],[ProductID]],dProduct[[#All],[ProductID]],dProduct[[#All],[Supplier]])</f>
        <v>Gel Booms</v>
      </c>
      <c r="H393" s="11" t="str" cm="1">
        <f t="array" ref="H393">_xlfn.XLOOKUP(fsales[[#This Row],[SalesRepID]],dSalesRep[[#All],[SalesRepID]],dSalesRep[[#All],[Region]])</f>
        <v>WA</v>
      </c>
    </row>
    <row r="394" spans="1:8" x14ac:dyDescent="0.3">
      <c r="A394" s="1">
        <v>44869</v>
      </c>
      <c r="B394">
        <v>2</v>
      </c>
      <c r="C394">
        <v>4</v>
      </c>
      <c r="D394">
        <v>4</v>
      </c>
      <c r="E394" s="11" cm="1">
        <f t="array" ref="E394">_xlfn.XLOOKUP(fsales[[#This Row],[ProductID]],dProduct[[#All],[ProductID]],dProduct[[#All],[Price]])*fsales[[#This Row],[Units]]</f>
        <v>119.8</v>
      </c>
      <c r="F394" s="11" t="str" cm="1">
        <f t="array" ref="F394">_xlfn.XLOOKUP(fsales[[#This Row],[ProductID]],dProduct[[#All],[ProductID]],dProduct[[#All],[Product]])</f>
        <v>Carlota</v>
      </c>
      <c r="G394" s="11" t="str" cm="1">
        <f t="array" ref="G394">_xlfn.XLOOKUP(fsales[[#This Row],[ProductID]],dProduct[[#All],[ProductID]],dProduct[[#All],[Supplier]])</f>
        <v>Gel Booms</v>
      </c>
      <c r="H394" s="11" t="str" cm="1">
        <f t="array" ref="H394">_xlfn.XLOOKUP(fsales[[#This Row],[SalesRepID]],dSalesRep[[#All],[SalesRepID]],dSalesRep[[#All],[Region]])</f>
        <v>WA</v>
      </c>
    </row>
    <row r="395" spans="1:8" x14ac:dyDescent="0.3">
      <c r="A395" s="1">
        <v>44913</v>
      </c>
      <c r="B395">
        <v>2</v>
      </c>
      <c r="C395">
        <v>2</v>
      </c>
      <c r="D395">
        <v>4</v>
      </c>
      <c r="E395" s="11" cm="1">
        <f t="array" ref="E395">_xlfn.XLOOKUP(fsales[[#This Row],[ProductID]],dProduct[[#All],[ProductID]],dProduct[[#All],[Price]])*fsales[[#This Row],[Units]]</f>
        <v>119.8</v>
      </c>
      <c r="F395" s="11" t="str" cm="1">
        <f t="array" ref="F395">_xlfn.XLOOKUP(fsales[[#This Row],[ProductID]],dProduct[[#All],[ProductID]],dProduct[[#All],[Product]])</f>
        <v>Carlota</v>
      </c>
      <c r="G395" s="11" t="str" cm="1">
        <f t="array" ref="G395">_xlfn.XLOOKUP(fsales[[#This Row],[ProductID]],dProduct[[#All],[ProductID]],dProduct[[#All],[Supplier]])</f>
        <v>Gel Booms</v>
      </c>
      <c r="H395" s="11" t="str" cm="1">
        <f t="array" ref="H395">_xlfn.XLOOKUP(fsales[[#This Row],[SalesRepID]],dSalesRep[[#All],[SalesRepID]],dSalesRep[[#All],[Region]])</f>
        <v>CA</v>
      </c>
    </row>
    <row r="396" spans="1:8" x14ac:dyDescent="0.3">
      <c r="A396" s="1">
        <v>45212</v>
      </c>
      <c r="B396">
        <v>2</v>
      </c>
      <c r="C396">
        <v>2</v>
      </c>
      <c r="D396">
        <v>77</v>
      </c>
      <c r="E396" s="11" cm="1">
        <f t="array" ref="E396">_xlfn.XLOOKUP(fsales[[#This Row],[ProductID]],dProduct[[#All],[ProductID]],dProduct[[#All],[Price]])*fsales[[#This Row],[Units]]</f>
        <v>2306.15</v>
      </c>
      <c r="F396" s="11" t="str" cm="1">
        <f t="array" ref="F396">_xlfn.XLOOKUP(fsales[[#This Row],[ProductID]],dProduct[[#All],[ProductID]],dProduct[[#All],[Product]])</f>
        <v>Carlota</v>
      </c>
      <c r="G396" s="11" t="str" cm="1">
        <f t="array" ref="G396">_xlfn.XLOOKUP(fsales[[#This Row],[ProductID]],dProduct[[#All],[ProductID]],dProduct[[#All],[Supplier]])</f>
        <v>Gel Booms</v>
      </c>
      <c r="H396" s="11" t="str" cm="1">
        <f t="array" ref="H396">_xlfn.XLOOKUP(fsales[[#This Row],[SalesRepID]],dSalesRep[[#All],[SalesRepID]],dSalesRep[[#All],[Region]])</f>
        <v>CA</v>
      </c>
    </row>
    <row r="397" spans="1:8" x14ac:dyDescent="0.3">
      <c r="A397" s="1">
        <v>44613</v>
      </c>
      <c r="B397">
        <v>2</v>
      </c>
      <c r="C397">
        <v>4</v>
      </c>
      <c r="D397">
        <v>163</v>
      </c>
      <c r="E397" s="11" cm="1">
        <f t="array" ref="E397">_xlfn.XLOOKUP(fsales[[#This Row],[ProductID]],dProduct[[#All],[ProductID]],dProduct[[#All],[Price]])*fsales[[#This Row],[Units]]</f>
        <v>4881.8499999999995</v>
      </c>
      <c r="F397" s="11" t="str" cm="1">
        <f t="array" ref="F397">_xlfn.XLOOKUP(fsales[[#This Row],[ProductID]],dProduct[[#All],[ProductID]],dProduct[[#All],[Product]])</f>
        <v>Carlota</v>
      </c>
      <c r="G397" s="11" t="str" cm="1">
        <f t="array" ref="G397">_xlfn.XLOOKUP(fsales[[#This Row],[ProductID]],dProduct[[#All],[ProductID]],dProduct[[#All],[Supplier]])</f>
        <v>Gel Booms</v>
      </c>
      <c r="H397" s="11" t="str" cm="1">
        <f t="array" ref="H397">_xlfn.XLOOKUP(fsales[[#This Row],[SalesRepID]],dSalesRep[[#All],[SalesRepID]],dSalesRep[[#All],[Region]])</f>
        <v>WA</v>
      </c>
    </row>
    <row r="398" spans="1:8" x14ac:dyDescent="0.3">
      <c r="A398" s="1">
        <v>44915</v>
      </c>
      <c r="B398">
        <v>3</v>
      </c>
      <c r="C398">
        <v>1</v>
      </c>
      <c r="D398">
        <v>81</v>
      </c>
      <c r="E398" s="11" cm="1">
        <f t="array" ref="E398">_xlfn.XLOOKUP(fsales[[#This Row],[ProductID]],dProduct[[#All],[ProductID]],dProduct[[#All],[Price]])*fsales[[#This Row],[Units]]</f>
        <v>2101.9499999999998</v>
      </c>
      <c r="F398" s="11" t="str" cm="1">
        <f t="array" ref="F398">_xlfn.XLOOKUP(fsales[[#This Row],[ProductID]],dProduct[[#All],[ProductID]],dProduct[[#All],[Product]])</f>
        <v>Aspen</v>
      </c>
      <c r="G398" s="11" t="str" cm="1">
        <f t="array" ref="G398">_xlfn.XLOOKUP(fsales[[#This Row],[ProductID]],dProduct[[#All],[ProductID]],dProduct[[#All],[Supplier]])</f>
        <v>Colorado Booms</v>
      </c>
      <c r="H398" s="11" t="str" cm="1">
        <f t="array" ref="H398">_xlfn.XLOOKUP(fsales[[#This Row],[SalesRepID]],dSalesRep[[#All],[SalesRepID]],dSalesRep[[#All],[Region]])</f>
        <v>CA</v>
      </c>
    </row>
    <row r="399" spans="1:8" x14ac:dyDescent="0.3">
      <c r="A399" s="1">
        <v>45039</v>
      </c>
      <c r="B399">
        <v>2</v>
      </c>
      <c r="C399">
        <v>4</v>
      </c>
      <c r="D399">
        <v>186</v>
      </c>
      <c r="E399" s="11" cm="1">
        <f t="array" ref="E399">_xlfn.XLOOKUP(fsales[[#This Row],[ProductID]],dProduct[[#All],[ProductID]],dProduct[[#All],[Price]])*fsales[[#This Row],[Units]]</f>
        <v>5570.7</v>
      </c>
      <c r="F399" s="11" t="str" cm="1">
        <f t="array" ref="F399">_xlfn.XLOOKUP(fsales[[#This Row],[ProductID]],dProduct[[#All],[ProductID]],dProduct[[#All],[Product]])</f>
        <v>Carlota</v>
      </c>
      <c r="G399" s="11" t="str" cm="1">
        <f t="array" ref="G399">_xlfn.XLOOKUP(fsales[[#This Row],[ProductID]],dProduct[[#All],[ProductID]],dProduct[[#All],[Supplier]])</f>
        <v>Gel Booms</v>
      </c>
      <c r="H399" s="11" t="str" cm="1">
        <f t="array" ref="H399">_xlfn.XLOOKUP(fsales[[#This Row],[SalesRepID]],dSalesRep[[#All],[SalesRepID]],dSalesRep[[#All],[Region]])</f>
        <v>WA</v>
      </c>
    </row>
    <row r="400" spans="1:8" x14ac:dyDescent="0.3">
      <c r="A400" s="1">
        <v>44760</v>
      </c>
      <c r="B400">
        <v>2</v>
      </c>
      <c r="C400">
        <v>4</v>
      </c>
      <c r="D400">
        <v>1</v>
      </c>
      <c r="E400" s="11" cm="1">
        <f t="array" ref="E400">_xlfn.XLOOKUP(fsales[[#This Row],[ProductID]],dProduct[[#All],[ProductID]],dProduct[[#All],[Price]])*fsales[[#This Row],[Units]]</f>
        <v>29.95</v>
      </c>
      <c r="F400" s="11" t="str" cm="1">
        <f t="array" ref="F400">_xlfn.XLOOKUP(fsales[[#This Row],[ProductID]],dProduct[[#All],[ProductID]],dProduct[[#All],[Product]])</f>
        <v>Carlota</v>
      </c>
      <c r="G400" s="11" t="str" cm="1">
        <f t="array" ref="G400">_xlfn.XLOOKUP(fsales[[#This Row],[ProductID]],dProduct[[#All],[ProductID]],dProduct[[#All],[Supplier]])</f>
        <v>Gel Booms</v>
      </c>
      <c r="H400" s="11" t="str" cm="1">
        <f t="array" ref="H400">_xlfn.XLOOKUP(fsales[[#This Row],[SalesRepID]],dSalesRep[[#All],[SalesRepID]],dSalesRep[[#All],[Region]])</f>
        <v>WA</v>
      </c>
    </row>
    <row r="401" spans="1:8" x14ac:dyDescent="0.3">
      <c r="A401" s="1">
        <v>44353</v>
      </c>
      <c r="B401">
        <v>3</v>
      </c>
      <c r="C401">
        <v>4</v>
      </c>
      <c r="D401">
        <v>3</v>
      </c>
      <c r="E401" s="11" cm="1">
        <f t="array" ref="E401">_xlfn.XLOOKUP(fsales[[#This Row],[ProductID]],dProduct[[#All],[ProductID]],dProduct[[#All],[Price]])*fsales[[#This Row],[Units]]</f>
        <v>77.849999999999994</v>
      </c>
      <c r="F401" s="11" t="str" cm="1">
        <f t="array" ref="F401">_xlfn.XLOOKUP(fsales[[#This Row],[ProductID]],dProduct[[#All],[ProductID]],dProduct[[#All],[Product]])</f>
        <v>Aspen</v>
      </c>
      <c r="G401" s="11" t="str" cm="1">
        <f t="array" ref="G401">_xlfn.XLOOKUP(fsales[[#This Row],[ProductID]],dProduct[[#All],[ProductID]],dProduct[[#All],[Supplier]])</f>
        <v>Colorado Booms</v>
      </c>
      <c r="H401" s="11" t="str" cm="1">
        <f t="array" ref="H401">_xlfn.XLOOKUP(fsales[[#This Row],[SalesRepID]],dSalesRep[[#All],[SalesRepID]],dSalesRep[[#All],[Region]])</f>
        <v>WA</v>
      </c>
    </row>
    <row r="402" spans="1:8" x14ac:dyDescent="0.3">
      <c r="A402" s="1">
        <v>44553</v>
      </c>
      <c r="B402">
        <v>2</v>
      </c>
      <c r="C402">
        <v>4</v>
      </c>
      <c r="D402">
        <v>100</v>
      </c>
      <c r="E402" s="11" cm="1">
        <f t="array" ref="E402">_xlfn.XLOOKUP(fsales[[#This Row],[ProductID]],dProduct[[#All],[ProductID]],dProduct[[#All],[Price]])*fsales[[#This Row],[Units]]</f>
        <v>2995</v>
      </c>
      <c r="F402" s="11" t="str" cm="1">
        <f t="array" ref="F402">_xlfn.XLOOKUP(fsales[[#This Row],[ProductID]],dProduct[[#All],[ProductID]],dProduct[[#All],[Product]])</f>
        <v>Carlota</v>
      </c>
      <c r="G402" s="11" t="str" cm="1">
        <f t="array" ref="G402">_xlfn.XLOOKUP(fsales[[#This Row],[ProductID]],dProduct[[#All],[ProductID]],dProduct[[#All],[Supplier]])</f>
        <v>Gel Booms</v>
      </c>
      <c r="H402" s="11" t="str" cm="1">
        <f t="array" ref="H402">_xlfn.XLOOKUP(fsales[[#This Row],[SalesRepID]],dSalesRep[[#All],[SalesRepID]],dSalesRep[[#All],[Region]])</f>
        <v>WA</v>
      </c>
    </row>
    <row r="403" spans="1:8" x14ac:dyDescent="0.3">
      <c r="A403" s="1">
        <v>44730</v>
      </c>
      <c r="B403">
        <v>1</v>
      </c>
      <c r="C403">
        <v>1</v>
      </c>
      <c r="D403">
        <v>62</v>
      </c>
      <c r="E403" s="11" cm="1">
        <f t="array" ref="E403">_xlfn.XLOOKUP(fsales[[#This Row],[ProductID]],dProduct[[#All],[ProductID]],dProduct[[#All],[Price]])*fsales[[#This Row],[Units]]</f>
        <v>2724.9</v>
      </c>
      <c r="F403" s="11" t="str" cm="1">
        <f t="array" ref="F403">_xlfn.XLOOKUP(fsales[[#This Row],[ProductID]],dProduct[[#All],[ProductID]],dProduct[[#All],[Product]])</f>
        <v>Quad</v>
      </c>
      <c r="G403" s="11" t="str" cm="1">
        <f t="array" ref="G403">_xlfn.XLOOKUP(fsales[[#This Row],[ProductID]],dProduct[[#All],[ProductID]],dProduct[[#All],[Supplier]])</f>
        <v>Gel Booms</v>
      </c>
      <c r="H403" s="11" t="str" cm="1">
        <f t="array" ref="H403">_xlfn.XLOOKUP(fsales[[#This Row],[SalesRepID]],dSalesRep[[#All],[SalesRepID]],dSalesRep[[#All],[Region]])</f>
        <v>CA</v>
      </c>
    </row>
    <row r="404" spans="1:8" x14ac:dyDescent="0.3">
      <c r="A404" s="1">
        <v>44534</v>
      </c>
      <c r="B404">
        <v>2</v>
      </c>
      <c r="C404">
        <v>2</v>
      </c>
      <c r="D404">
        <v>61</v>
      </c>
      <c r="E404" s="11" cm="1">
        <f t="array" ref="E404">_xlfn.XLOOKUP(fsales[[#This Row],[ProductID]],dProduct[[#All],[ProductID]],dProduct[[#All],[Price]])*fsales[[#This Row],[Units]]</f>
        <v>1826.95</v>
      </c>
      <c r="F404" s="11" t="str" cm="1">
        <f t="array" ref="F404">_xlfn.XLOOKUP(fsales[[#This Row],[ProductID]],dProduct[[#All],[ProductID]],dProduct[[#All],[Product]])</f>
        <v>Carlota</v>
      </c>
      <c r="G404" s="11" t="str" cm="1">
        <f t="array" ref="G404">_xlfn.XLOOKUP(fsales[[#This Row],[ProductID]],dProduct[[#All],[ProductID]],dProduct[[#All],[Supplier]])</f>
        <v>Gel Booms</v>
      </c>
      <c r="H404" s="11" t="str" cm="1">
        <f t="array" ref="H404">_xlfn.XLOOKUP(fsales[[#This Row],[SalesRepID]],dSalesRep[[#All],[SalesRepID]],dSalesRep[[#All],[Region]])</f>
        <v>CA</v>
      </c>
    </row>
    <row r="405" spans="1:8" x14ac:dyDescent="0.3">
      <c r="A405" s="1">
        <v>44886</v>
      </c>
      <c r="B405">
        <v>4</v>
      </c>
      <c r="C405">
        <v>2</v>
      </c>
      <c r="D405">
        <v>106</v>
      </c>
      <c r="E405" s="11" cm="1">
        <f t="array" ref="E405">_xlfn.XLOOKUP(fsales[[#This Row],[ProductID]],dProduct[[#All],[ProductID]],dProduct[[#All],[Price]])*fsales[[#This Row],[Units]]</f>
        <v>2538.6999999999998</v>
      </c>
      <c r="F405" s="11" t="str" cm="1">
        <f t="array" ref="F405">_xlfn.XLOOKUP(fsales[[#This Row],[ProductID]],dProduct[[#All],[ProductID]],dProduct[[#All],[Product]])</f>
        <v>Yanaki</v>
      </c>
      <c r="G405" s="11" t="str" cm="1">
        <f t="array" ref="G405">_xlfn.XLOOKUP(fsales[[#This Row],[ProductID]],dProduct[[#All],[ProductID]],dProduct[[#All],[Supplier]])</f>
        <v>Colorado Booms</v>
      </c>
      <c r="H405" s="11" t="str" cm="1">
        <f t="array" ref="H405">_xlfn.XLOOKUP(fsales[[#This Row],[SalesRepID]],dSalesRep[[#All],[SalesRepID]],dSalesRep[[#All],[Region]])</f>
        <v>CA</v>
      </c>
    </row>
    <row r="406" spans="1:8" x14ac:dyDescent="0.3">
      <c r="A406" s="1">
        <v>45038</v>
      </c>
      <c r="B406">
        <v>4</v>
      </c>
      <c r="C406">
        <v>2</v>
      </c>
      <c r="D406">
        <v>282</v>
      </c>
      <c r="E406" s="11" cm="1">
        <f t="array" ref="E406">_xlfn.XLOOKUP(fsales[[#This Row],[ProductID]],dProduct[[#All],[ProductID]],dProduct[[#All],[Price]])*fsales[[#This Row],[Units]]</f>
        <v>6753.9</v>
      </c>
      <c r="F406" s="11" t="str" cm="1">
        <f t="array" ref="F406">_xlfn.XLOOKUP(fsales[[#This Row],[ProductID]],dProduct[[#All],[ProductID]],dProduct[[#All],[Product]])</f>
        <v>Yanaki</v>
      </c>
      <c r="G406" s="11" t="str" cm="1">
        <f t="array" ref="G406">_xlfn.XLOOKUP(fsales[[#This Row],[ProductID]],dProduct[[#All],[ProductID]],dProduct[[#All],[Supplier]])</f>
        <v>Colorado Booms</v>
      </c>
      <c r="H406" s="11" t="str" cm="1">
        <f t="array" ref="H406">_xlfn.XLOOKUP(fsales[[#This Row],[SalesRepID]],dSalesRep[[#All],[SalesRepID]],dSalesRep[[#All],[Region]])</f>
        <v>CA</v>
      </c>
    </row>
    <row r="407" spans="1:8" x14ac:dyDescent="0.3">
      <c r="A407" s="1">
        <v>44291</v>
      </c>
      <c r="B407">
        <v>2</v>
      </c>
      <c r="C407">
        <v>2</v>
      </c>
      <c r="D407">
        <v>189</v>
      </c>
      <c r="E407" s="11" cm="1">
        <f t="array" ref="E407">_xlfn.XLOOKUP(fsales[[#This Row],[ProductID]],dProduct[[#All],[ProductID]],dProduct[[#All],[Price]])*fsales[[#This Row],[Units]]</f>
        <v>5660.55</v>
      </c>
      <c r="F407" s="11" t="str" cm="1">
        <f t="array" ref="F407">_xlfn.XLOOKUP(fsales[[#This Row],[ProductID]],dProduct[[#All],[ProductID]],dProduct[[#All],[Product]])</f>
        <v>Carlota</v>
      </c>
      <c r="G407" s="11" t="str" cm="1">
        <f t="array" ref="G407">_xlfn.XLOOKUP(fsales[[#This Row],[ProductID]],dProduct[[#All],[ProductID]],dProduct[[#All],[Supplier]])</f>
        <v>Gel Booms</v>
      </c>
      <c r="H407" s="11" t="str" cm="1">
        <f t="array" ref="H407">_xlfn.XLOOKUP(fsales[[#This Row],[SalesRepID]],dSalesRep[[#All],[SalesRepID]],dSalesRep[[#All],[Region]])</f>
        <v>CA</v>
      </c>
    </row>
    <row r="408" spans="1:8" x14ac:dyDescent="0.3">
      <c r="A408" s="1">
        <v>44485</v>
      </c>
      <c r="B408">
        <v>2</v>
      </c>
      <c r="C408">
        <v>2</v>
      </c>
      <c r="D408">
        <v>288</v>
      </c>
      <c r="E408" s="11" cm="1">
        <f t="array" ref="E408">_xlfn.XLOOKUP(fsales[[#This Row],[ProductID]],dProduct[[#All],[ProductID]],dProduct[[#All],[Price]])*fsales[[#This Row],[Units]]</f>
        <v>8625.6</v>
      </c>
      <c r="F408" s="11" t="str" cm="1">
        <f t="array" ref="F408">_xlfn.XLOOKUP(fsales[[#This Row],[ProductID]],dProduct[[#All],[ProductID]],dProduct[[#All],[Product]])</f>
        <v>Carlota</v>
      </c>
      <c r="G408" s="11" t="str" cm="1">
        <f t="array" ref="G408">_xlfn.XLOOKUP(fsales[[#This Row],[ProductID]],dProduct[[#All],[ProductID]],dProduct[[#All],[Supplier]])</f>
        <v>Gel Booms</v>
      </c>
      <c r="H408" s="11" t="str" cm="1">
        <f t="array" ref="H408">_xlfn.XLOOKUP(fsales[[#This Row],[SalesRepID]],dSalesRep[[#All],[SalesRepID]],dSalesRep[[#All],[Region]])</f>
        <v>CA</v>
      </c>
    </row>
    <row r="409" spans="1:8" x14ac:dyDescent="0.3">
      <c r="A409" s="1">
        <v>44395</v>
      </c>
      <c r="B409">
        <v>2</v>
      </c>
      <c r="C409">
        <v>4</v>
      </c>
      <c r="D409">
        <v>66</v>
      </c>
      <c r="E409" s="11" cm="1">
        <f t="array" ref="E409">_xlfn.XLOOKUP(fsales[[#This Row],[ProductID]],dProduct[[#All],[ProductID]],dProduct[[#All],[Price]])*fsales[[#This Row],[Units]]</f>
        <v>1976.7</v>
      </c>
      <c r="F409" s="11" t="str" cm="1">
        <f t="array" ref="F409">_xlfn.XLOOKUP(fsales[[#This Row],[ProductID]],dProduct[[#All],[ProductID]],dProduct[[#All],[Product]])</f>
        <v>Carlota</v>
      </c>
      <c r="G409" s="11" t="str" cm="1">
        <f t="array" ref="G409">_xlfn.XLOOKUP(fsales[[#This Row],[ProductID]],dProduct[[#All],[ProductID]],dProduct[[#All],[Supplier]])</f>
        <v>Gel Booms</v>
      </c>
      <c r="H409" s="11" t="str" cm="1">
        <f t="array" ref="H409">_xlfn.XLOOKUP(fsales[[#This Row],[SalesRepID]],dSalesRep[[#All],[SalesRepID]],dSalesRep[[#All],[Region]])</f>
        <v>WA</v>
      </c>
    </row>
    <row r="410" spans="1:8" x14ac:dyDescent="0.3">
      <c r="A410" s="1">
        <v>44544</v>
      </c>
      <c r="B410">
        <v>1</v>
      </c>
      <c r="C410">
        <v>4</v>
      </c>
      <c r="D410">
        <v>8</v>
      </c>
      <c r="E410" s="11" cm="1">
        <f t="array" ref="E410">_xlfn.XLOOKUP(fsales[[#This Row],[ProductID]],dProduct[[#All],[ProductID]],dProduct[[#All],[Price]])*fsales[[#This Row],[Units]]</f>
        <v>351.6</v>
      </c>
      <c r="F410" s="11" t="str" cm="1">
        <f t="array" ref="F410">_xlfn.XLOOKUP(fsales[[#This Row],[ProductID]],dProduct[[#All],[ProductID]],dProduct[[#All],[Product]])</f>
        <v>Quad</v>
      </c>
      <c r="G410" s="11" t="str" cm="1">
        <f t="array" ref="G410">_xlfn.XLOOKUP(fsales[[#This Row],[ProductID]],dProduct[[#All],[ProductID]],dProduct[[#All],[Supplier]])</f>
        <v>Gel Booms</v>
      </c>
      <c r="H410" s="11" t="str" cm="1">
        <f t="array" ref="H410">_xlfn.XLOOKUP(fsales[[#This Row],[SalesRepID]],dSalesRep[[#All],[SalesRepID]],dSalesRep[[#All],[Region]])</f>
        <v>WA</v>
      </c>
    </row>
    <row r="411" spans="1:8" x14ac:dyDescent="0.3">
      <c r="A411" s="1">
        <v>45142</v>
      </c>
      <c r="B411">
        <v>2</v>
      </c>
      <c r="C411">
        <v>4</v>
      </c>
      <c r="D411">
        <v>97</v>
      </c>
      <c r="E411" s="11" cm="1">
        <f t="array" ref="E411">_xlfn.XLOOKUP(fsales[[#This Row],[ProductID]],dProduct[[#All],[ProductID]],dProduct[[#All],[Price]])*fsales[[#This Row],[Units]]</f>
        <v>2905.15</v>
      </c>
      <c r="F411" s="11" t="str" cm="1">
        <f t="array" ref="F411">_xlfn.XLOOKUP(fsales[[#This Row],[ProductID]],dProduct[[#All],[ProductID]],dProduct[[#All],[Product]])</f>
        <v>Carlota</v>
      </c>
      <c r="G411" s="11" t="str" cm="1">
        <f t="array" ref="G411">_xlfn.XLOOKUP(fsales[[#This Row],[ProductID]],dProduct[[#All],[ProductID]],dProduct[[#All],[Supplier]])</f>
        <v>Gel Booms</v>
      </c>
      <c r="H411" s="11" t="str" cm="1">
        <f t="array" ref="H411">_xlfn.XLOOKUP(fsales[[#This Row],[SalesRepID]],dSalesRep[[#All],[SalesRepID]],dSalesRep[[#All],[Region]])</f>
        <v>WA</v>
      </c>
    </row>
    <row r="412" spans="1:8" x14ac:dyDescent="0.3">
      <c r="A412" s="1">
        <v>45094</v>
      </c>
      <c r="B412">
        <v>4</v>
      </c>
      <c r="C412">
        <v>4</v>
      </c>
      <c r="D412">
        <v>1</v>
      </c>
      <c r="E412" s="11" cm="1">
        <f t="array" ref="E412">_xlfn.XLOOKUP(fsales[[#This Row],[ProductID]],dProduct[[#All],[ProductID]],dProduct[[#All],[Price]])*fsales[[#This Row],[Units]]</f>
        <v>23.95</v>
      </c>
      <c r="F412" s="11" t="str" cm="1">
        <f t="array" ref="F412">_xlfn.XLOOKUP(fsales[[#This Row],[ProductID]],dProduct[[#All],[ProductID]],dProduct[[#All],[Product]])</f>
        <v>Yanaki</v>
      </c>
      <c r="G412" s="11" t="str" cm="1">
        <f t="array" ref="G412">_xlfn.XLOOKUP(fsales[[#This Row],[ProductID]],dProduct[[#All],[ProductID]],dProduct[[#All],[Supplier]])</f>
        <v>Colorado Booms</v>
      </c>
      <c r="H412" s="11" t="str" cm="1">
        <f t="array" ref="H412">_xlfn.XLOOKUP(fsales[[#This Row],[SalesRepID]],dSalesRep[[#All],[SalesRepID]],dSalesRep[[#All],[Region]])</f>
        <v>WA</v>
      </c>
    </row>
    <row r="413" spans="1:8" x14ac:dyDescent="0.3">
      <c r="A413" s="1">
        <v>44868</v>
      </c>
      <c r="B413">
        <v>4</v>
      </c>
      <c r="C413">
        <v>2</v>
      </c>
      <c r="D413">
        <v>127</v>
      </c>
      <c r="E413" s="11" cm="1">
        <f t="array" ref="E413">_xlfn.XLOOKUP(fsales[[#This Row],[ProductID]],dProduct[[#All],[ProductID]],dProduct[[#All],[Price]])*fsales[[#This Row],[Units]]</f>
        <v>3041.65</v>
      </c>
      <c r="F413" s="11" t="str" cm="1">
        <f t="array" ref="F413">_xlfn.XLOOKUP(fsales[[#This Row],[ProductID]],dProduct[[#All],[ProductID]],dProduct[[#All],[Product]])</f>
        <v>Yanaki</v>
      </c>
      <c r="G413" s="11" t="str" cm="1">
        <f t="array" ref="G413">_xlfn.XLOOKUP(fsales[[#This Row],[ProductID]],dProduct[[#All],[ProductID]],dProduct[[#All],[Supplier]])</f>
        <v>Colorado Booms</v>
      </c>
      <c r="H413" s="11" t="str" cm="1">
        <f t="array" ref="H413">_xlfn.XLOOKUP(fsales[[#This Row],[SalesRepID]],dSalesRep[[#All],[SalesRepID]],dSalesRep[[#All],[Region]])</f>
        <v>CA</v>
      </c>
    </row>
    <row r="414" spans="1:8" x14ac:dyDescent="0.3">
      <c r="A414" s="1">
        <v>44872</v>
      </c>
      <c r="B414">
        <v>3</v>
      </c>
      <c r="C414">
        <v>2</v>
      </c>
      <c r="D414">
        <v>252</v>
      </c>
      <c r="E414" s="11" cm="1">
        <f t="array" ref="E414">_xlfn.XLOOKUP(fsales[[#This Row],[ProductID]],dProduct[[#All],[ProductID]],dProduct[[#All],[Price]])*fsales[[#This Row],[Units]]</f>
        <v>6539.4</v>
      </c>
      <c r="F414" s="11" t="str" cm="1">
        <f t="array" ref="F414">_xlfn.XLOOKUP(fsales[[#This Row],[ProductID]],dProduct[[#All],[ProductID]],dProduct[[#All],[Product]])</f>
        <v>Aspen</v>
      </c>
      <c r="G414" s="11" t="str" cm="1">
        <f t="array" ref="G414">_xlfn.XLOOKUP(fsales[[#This Row],[ProductID]],dProduct[[#All],[ProductID]],dProduct[[#All],[Supplier]])</f>
        <v>Colorado Booms</v>
      </c>
      <c r="H414" s="11" t="str" cm="1">
        <f t="array" ref="H414">_xlfn.XLOOKUP(fsales[[#This Row],[SalesRepID]],dSalesRep[[#All],[SalesRepID]],dSalesRep[[#All],[Region]])</f>
        <v>CA</v>
      </c>
    </row>
    <row r="415" spans="1:8" x14ac:dyDescent="0.3">
      <c r="A415" s="1">
        <v>45288</v>
      </c>
      <c r="B415">
        <v>2</v>
      </c>
      <c r="C415">
        <v>4</v>
      </c>
      <c r="D415">
        <v>87</v>
      </c>
      <c r="E415" s="11" cm="1">
        <f t="array" ref="E415">_xlfn.XLOOKUP(fsales[[#This Row],[ProductID]],dProduct[[#All],[ProductID]],dProduct[[#All],[Price]])*fsales[[#This Row],[Units]]</f>
        <v>2605.65</v>
      </c>
      <c r="F415" s="11" t="str" cm="1">
        <f t="array" ref="F415">_xlfn.XLOOKUP(fsales[[#This Row],[ProductID]],dProduct[[#All],[ProductID]],dProduct[[#All],[Product]])</f>
        <v>Carlota</v>
      </c>
      <c r="G415" s="11" t="str" cm="1">
        <f t="array" ref="G415">_xlfn.XLOOKUP(fsales[[#This Row],[ProductID]],dProduct[[#All],[ProductID]],dProduct[[#All],[Supplier]])</f>
        <v>Gel Booms</v>
      </c>
      <c r="H415" s="11" t="str" cm="1">
        <f t="array" ref="H415">_xlfn.XLOOKUP(fsales[[#This Row],[SalesRepID]],dSalesRep[[#All],[SalesRepID]],dSalesRep[[#All],[Region]])</f>
        <v>WA</v>
      </c>
    </row>
    <row r="416" spans="1:8" x14ac:dyDescent="0.3">
      <c r="A416" s="1">
        <v>44874</v>
      </c>
      <c r="B416">
        <v>3</v>
      </c>
      <c r="C416">
        <v>4</v>
      </c>
      <c r="D416">
        <v>1</v>
      </c>
      <c r="E416" s="11" cm="1">
        <f t="array" ref="E416">_xlfn.XLOOKUP(fsales[[#This Row],[ProductID]],dProduct[[#All],[ProductID]],dProduct[[#All],[Price]])*fsales[[#This Row],[Units]]</f>
        <v>25.95</v>
      </c>
      <c r="F416" s="11" t="str" cm="1">
        <f t="array" ref="F416">_xlfn.XLOOKUP(fsales[[#This Row],[ProductID]],dProduct[[#All],[ProductID]],dProduct[[#All],[Product]])</f>
        <v>Aspen</v>
      </c>
      <c r="G416" s="11" t="str" cm="1">
        <f t="array" ref="G416">_xlfn.XLOOKUP(fsales[[#This Row],[ProductID]],dProduct[[#All],[ProductID]],dProduct[[#All],[Supplier]])</f>
        <v>Colorado Booms</v>
      </c>
      <c r="H416" s="11" t="str" cm="1">
        <f t="array" ref="H416">_xlfn.XLOOKUP(fsales[[#This Row],[SalesRepID]],dSalesRep[[#All],[SalesRepID]],dSalesRep[[#All],[Region]])</f>
        <v>WA</v>
      </c>
    </row>
    <row r="417" spans="1:8" x14ac:dyDescent="0.3">
      <c r="A417" s="1">
        <v>44807</v>
      </c>
      <c r="B417">
        <v>2</v>
      </c>
      <c r="C417">
        <v>2</v>
      </c>
      <c r="D417">
        <v>3</v>
      </c>
      <c r="E417" s="11" cm="1">
        <f t="array" ref="E417">_xlfn.XLOOKUP(fsales[[#This Row],[ProductID]],dProduct[[#All],[ProductID]],dProduct[[#All],[Price]])*fsales[[#This Row],[Units]]</f>
        <v>89.85</v>
      </c>
      <c r="F417" s="11" t="str" cm="1">
        <f t="array" ref="F417">_xlfn.XLOOKUP(fsales[[#This Row],[ProductID]],dProduct[[#All],[ProductID]],dProduct[[#All],[Product]])</f>
        <v>Carlota</v>
      </c>
      <c r="G417" s="11" t="str" cm="1">
        <f t="array" ref="G417">_xlfn.XLOOKUP(fsales[[#This Row],[ProductID]],dProduct[[#All],[ProductID]],dProduct[[#All],[Supplier]])</f>
        <v>Gel Booms</v>
      </c>
      <c r="H417" s="11" t="str" cm="1">
        <f t="array" ref="H417">_xlfn.XLOOKUP(fsales[[#This Row],[SalesRepID]],dSalesRep[[#All],[SalesRepID]],dSalesRep[[#All],[Region]])</f>
        <v>CA</v>
      </c>
    </row>
    <row r="418" spans="1:8" x14ac:dyDescent="0.3">
      <c r="A418" s="1">
        <v>45243</v>
      </c>
      <c r="B418">
        <v>1</v>
      </c>
      <c r="C418">
        <v>2</v>
      </c>
      <c r="D418">
        <v>81</v>
      </c>
      <c r="E418" s="11" cm="1">
        <f t="array" ref="E418">_xlfn.XLOOKUP(fsales[[#This Row],[ProductID]],dProduct[[#All],[ProductID]],dProduct[[#All],[Price]])*fsales[[#This Row],[Units]]</f>
        <v>3559.9500000000003</v>
      </c>
      <c r="F418" s="11" t="str" cm="1">
        <f t="array" ref="F418">_xlfn.XLOOKUP(fsales[[#This Row],[ProductID]],dProduct[[#All],[ProductID]],dProduct[[#All],[Product]])</f>
        <v>Quad</v>
      </c>
      <c r="G418" s="11" t="str" cm="1">
        <f t="array" ref="G418">_xlfn.XLOOKUP(fsales[[#This Row],[ProductID]],dProduct[[#All],[ProductID]],dProduct[[#All],[Supplier]])</f>
        <v>Gel Booms</v>
      </c>
      <c r="H418" s="11" t="str" cm="1">
        <f t="array" ref="H418">_xlfn.XLOOKUP(fsales[[#This Row],[SalesRepID]],dSalesRep[[#All],[SalesRepID]],dSalesRep[[#All],[Region]])</f>
        <v>CA</v>
      </c>
    </row>
    <row r="419" spans="1:8" x14ac:dyDescent="0.3">
      <c r="A419" s="1">
        <v>45181</v>
      </c>
      <c r="B419">
        <v>2</v>
      </c>
      <c r="C419">
        <v>2</v>
      </c>
      <c r="D419">
        <v>93</v>
      </c>
      <c r="E419" s="11" cm="1">
        <f t="array" ref="E419">_xlfn.XLOOKUP(fsales[[#This Row],[ProductID]],dProduct[[#All],[ProductID]],dProduct[[#All],[Price]])*fsales[[#This Row],[Units]]</f>
        <v>2785.35</v>
      </c>
      <c r="F419" s="11" t="str" cm="1">
        <f t="array" ref="F419">_xlfn.XLOOKUP(fsales[[#This Row],[ProductID]],dProduct[[#All],[ProductID]],dProduct[[#All],[Product]])</f>
        <v>Carlota</v>
      </c>
      <c r="G419" s="11" t="str" cm="1">
        <f t="array" ref="G419">_xlfn.XLOOKUP(fsales[[#This Row],[ProductID]],dProduct[[#All],[ProductID]],dProduct[[#All],[Supplier]])</f>
        <v>Gel Booms</v>
      </c>
      <c r="H419" s="11" t="str" cm="1">
        <f t="array" ref="H419">_xlfn.XLOOKUP(fsales[[#This Row],[SalesRepID]],dSalesRep[[#All],[SalesRepID]],dSalesRep[[#All],[Region]])</f>
        <v>CA</v>
      </c>
    </row>
    <row r="420" spans="1:8" x14ac:dyDescent="0.3">
      <c r="A420" s="1">
        <v>44895</v>
      </c>
      <c r="B420">
        <v>4</v>
      </c>
      <c r="C420">
        <v>4</v>
      </c>
      <c r="D420">
        <v>225</v>
      </c>
      <c r="E420" s="11" cm="1">
        <f t="array" ref="E420">_xlfn.XLOOKUP(fsales[[#This Row],[ProductID]],dProduct[[#All],[ProductID]],dProduct[[#All],[Price]])*fsales[[#This Row],[Units]]</f>
        <v>5388.75</v>
      </c>
      <c r="F420" s="11" t="str" cm="1">
        <f t="array" ref="F420">_xlfn.XLOOKUP(fsales[[#This Row],[ProductID]],dProduct[[#All],[ProductID]],dProduct[[#All],[Product]])</f>
        <v>Yanaki</v>
      </c>
      <c r="G420" s="11" t="str" cm="1">
        <f t="array" ref="G420">_xlfn.XLOOKUP(fsales[[#This Row],[ProductID]],dProduct[[#All],[ProductID]],dProduct[[#All],[Supplier]])</f>
        <v>Colorado Booms</v>
      </c>
      <c r="H420" s="11" t="str" cm="1">
        <f t="array" ref="H420">_xlfn.XLOOKUP(fsales[[#This Row],[SalesRepID]],dSalesRep[[#All],[SalesRepID]],dSalesRep[[#All],[Region]])</f>
        <v>WA</v>
      </c>
    </row>
    <row r="421" spans="1:8" x14ac:dyDescent="0.3">
      <c r="A421" s="1">
        <v>44748</v>
      </c>
      <c r="B421">
        <v>1</v>
      </c>
      <c r="C421">
        <v>2</v>
      </c>
      <c r="D421">
        <v>58</v>
      </c>
      <c r="E421" s="11" cm="1">
        <f t="array" ref="E421">_xlfn.XLOOKUP(fsales[[#This Row],[ProductID]],dProduct[[#All],[ProductID]],dProduct[[#All],[Price]])*fsales[[#This Row],[Units]]</f>
        <v>2549.1000000000004</v>
      </c>
      <c r="F421" s="11" t="str" cm="1">
        <f t="array" ref="F421">_xlfn.XLOOKUP(fsales[[#This Row],[ProductID]],dProduct[[#All],[ProductID]],dProduct[[#All],[Product]])</f>
        <v>Quad</v>
      </c>
      <c r="G421" s="11" t="str" cm="1">
        <f t="array" ref="G421">_xlfn.XLOOKUP(fsales[[#This Row],[ProductID]],dProduct[[#All],[ProductID]],dProduct[[#All],[Supplier]])</f>
        <v>Gel Booms</v>
      </c>
      <c r="H421" s="11" t="str" cm="1">
        <f t="array" ref="H421">_xlfn.XLOOKUP(fsales[[#This Row],[SalesRepID]],dSalesRep[[#All],[SalesRepID]],dSalesRep[[#All],[Region]])</f>
        <v>CA</v>
      </c>
    </row>
    <row r="422" spans="1:8" x14ac:dyDescent="0.3">
      <c r="A422" s="1">
        <v>44480</v>
      </c>
      <c r="B422">
        <v>2</v>
      </c>
      <c r="C422">
        <v>1</v>
      </c>
      <c r="D422">
        <v>50</v>
      </c>
      <c r="E422" s="11" cm="1">
        <f t="array" ref="E422">_xlfn.XLOOKUP(fsales[[#This Row],[ProductID]],dProduct[[#All],[ProductID]],dProduct[[#All],[Price]])*fsales[[#This Row],[Units]]</f>
        <v>1497.5</v>
      </c>
      <c r="F422" s="11" t="str" cm="1">
        <f t="array" ref="F422">_xlfn.XLOOKUP(fsales[[#This Row],[ProductID]],dProduct[[#All],[ProductID]],dProduct[[#All],[Product]])</f>
        <v>Carlota</v>
      </c>
      <c r="G422" s="11" t="str" cm="1">
        <f t="array" ref="G422">_xlfn.XLOOKUP(fsales[[#This Row],[ProductID]],dProduct[[#All],[ProductID]],dProduct[[#All],[Supplier]])</f>
        <v>Gel Booms</v>
      </c>
      <c r="H422" s="11" t="str" cm="1">
        <f t="array" ref="H422">_xlfn.XLOOKUP(fsales[[#This Row],[SalesRepID]],dSalesRep[[#All],[SalesRepID]],dSalesRep[[#All],[Region]])</f>
        <v>CA</v>
      </c>
    </row>
    <row r="423" spans="1:8" x14ac:dyDescent="0.3">
      <c r="A423" s="1">
        <v>45242</v>
      </c>
      <c r="B423">
        <v>2</v>
      </c>
      <c r="C423">
        <v>2</v>
      </c>
      <c r="D423">
        <v>126</v>
      </c>
      <c r="E423" s="11" cm="1">
        <f t="array" ref="E423">_xlfn.XLOOKUP(fsales[[#This Row],[ProductID]],dProduct[[#All],[ProductID]],dProduct[[#All],[Price]])*fsales[[#This Row],[Units]]</f>
        <v>3773.7</v>
      </c>
      <c r="F423" s="11" t="str" cm="1">
        <f t="array" ref="F423">_xlfn.XLOOKUP(fsales[[#This Row],[ProductID]],dProduct[[#All],[ProductID]],dProduct[[#All],[Product]])</f>
        <v>Carlota</v>
      </c>
      <c r="G423" s="11" t="str" cm="1">
        <f t="array" ref="G423">_xlfn.XLOOKUP(fsales[[#This Row],[ProductID]],dProduct[[#All],[ProductID]],dProduct[[#All],[Supplier]])</f>
        <v>Gel Booms</v>
      </c>
      <c r="H423" s="11" t="str" cm="1">
        <f t="array" ref="H423">_xlfn.XLOOKUP(fsales[[#This Row],[SalesRepID]],dSalesRep[[#All],[SalesRepID]],dSalesRep[[#All],[Region]])</f>
        <v>CA</v>
      </c>
    </row>
    <row r="424" spans="1:8" x14ac:dyDescent="0.3">
      <c r="A424" s="1">
        <v>45148</v>
      </c>
      <c r="B424">
        <v>2</v>
      </c>
      <c r="C424">
        <v>3</v>
      </c>
      <c r="D424">
        <v>1</v>
      </c>
      <c r="E424" s="11" cm="1">
        <f t="array" ref="E424">_xlfn.XLOOKUP(fsales[[#This Row],[ProductID]],dProduct[[#All],[ProductID]],dProduct[[#All],[Price]])*fsales[[#This Row],[Units]]</f>
        <v>29.95</v>
      </c>
      <c r="F424" s="11" t="str" cm="1">
        <f t="array" ref="F424">_xlfn.XLOOKUP(fsales[[#This Row],[ProductID]],dProduct[[#All],[ProductID]],dProduct[[#All],[Product]])</f>
        <v>Carlota</v>
      </c>
      <c r="G424" s="11" t="str" cm="1">
        <f t="array" ref="G424">_xlfn.XLOOKUP(fsales[[#This Row],[ProductID]],dProduct[[#All],[ProductID]],dProduct[[#All],[Supplier]])</f>
        <v>Gel Booms</v>
      </c>
      <c r="H424" s="11" t="str" cm="1">
        <f t="array" ref="H424">_xlfn.XLOOKUP(fsales[[#This Row],[SalesRepID]],dSalesRep[[#All],[SalesRepID]],dSalesRep[[#All],[Region]])</f>
        <v>WA</v>
      </c>
    </row>
    <row r="425" spans="1:8" x14ac:dyDescent="0.3">
      <c r="A425" s="1">
        <v>44683</v>
      </c>
      <c r="B425">
        <v>3</v>
      </c>
      <c r="C425">
        <v>1</v>
      </c>
      <c r="D425">
        <v>2</v>
      </c>
      <c r="E425" s="11" cm="1">
        <f t="array" ref="E425">_xlfn.XLOOKUP(fsales[[#This Row],[ProductID]],dProduct[[#All],[ProductID]],dProduct[[#All],[Price]])*fsales[[#This Row],[Units]]</f>
        <v>51.9</v>
      </c>
      <c r="F425" s="11" t="str" cm="1">
        <f t="array" ref="F425">_xlfn.XLOOKUP(fsales[[#This Row],[ProductID]],dProduct[[#All],[ProductID]],dProduct[[#All],[Product]])</f>
        <v>Aspen</v>
      </c>
      <c r="G425" s="11" t="str" cm="1">
        <f t="array" ref="G425">_xlfn.XLOOKUP(fsales[[#This Row],[ProductID]],dProduct[[#All],[ProductID]],dProduct[[#All],[Supplier]])</f>
        <v>Colorado Booms</v>
      </c>
      <c r="H425" s="11" t="str" cm="1">
        <f t="array" ref="H425">_xlfn.XLOOKUP(fsales[[#This Row],[SalesRepID]],dSalesRep[[#All],[SalesRepID]],dSalesRep[[#All],[Region]])</f>
        <v>CA</v>
      </c>
    </row>
    <row r="426" spans="1:8" x14ac:dyDescent="0.3">
      <c r="A426" s="1">
        <v>44914</v>
      </c>
      <c r="B426">
        <v>2</v>
      </c>
      <c r="C426">
        <v>4</v>
      </c>
      <c r="D426">
        <v>1</v>
      </c>
      <c r="E426" s="11" cm="1">
        <f t="array" ref="E426">_xlfn.XLOOKUP(fsales[[#This Row],[ProductID]],dProduct[[#All],[ProductID]],dProduct[[#All],[Price]])*fsales[[#This Row],[Units]]</f>
        <v>29.95</v>
      </c>
      <c r="F426" s="11" t="str" cm="1">
        <f t="array" ref="F426">_xlfn.XLOOKUP(fsales[[#This Row],[ProductID]],dProduct[[#All],[ProductID]],dProduct[[#All],[Product]])</f>
        <v>Carlota</v>
      </c>
      <c r="G426" s="11" t="str" cm="1">
        <f t="array" ref="G426">_xlfn.XLOOKUP(fsales[[#This Row],[ProductID]],dProduct[[#All],[ProductID]],dProduct[[#All],[Supplier]])</f>
        <v>Gel Booms</v>
      </c>
      <c r="H426" s="11" t="str" cm="1">
        <f t="array" ref="H426">_xlfn.XLOOKUP(fsales[[#This Row],[SalesRepID]],dSalesRep[[#All],[SalesRepID]],dSalesRep[[#All],[Region]])</f>
        <v>WA</v>
      </c>
    </row>
    <row r="427" spans="1:8" x14ac:dyDescent="0.3">
      <c r="A427" s="1">
        <v>45046</v>
      </c>
      <c r="B427">
        <v>2</v>
      </c>
      <c r="C427">
        <v>4</v>
      </c>
      <c r="D427">
        <v>174</v>
      </c>
      <c r="E427" s="11" cm="1">
        <f t="array" ref="E427">_xlfn.XLOOKUP(fsales[[#This Row],[ProductID]],dProduct[[#All],[ProductID]],dProduct[[#All],[Price]])*fsales[[#This Row],[Units]]</f>
        <v>5211.3</v>
      </c>
      <c r="F427" s="11" t="str" cm="1">
        <f t="array" ref="F427">_xlfn.XLOOKUP(fsales[[#This Row],[ProductID]],dProduct[[#All],[ProductID]],dProduct[[#All],[Product]])</f>
        <v>Carlota</v>
      </c>
      <c r="G427" s="11" t="str" cm="1">
        <f t="array" ref="G427">_xlfn.XLOOKUP(fsales[[#This Row],[ProductID]],dProduct[[#All],[ProductID]],dProduct[[#All],[Supplier]])</f>
        <v>Gel Booms</v>
      </c>
      <c r="H427" s="11" t="str" cm="1">
        <f t="array" ref="H427">_xlfn.XLOOKUP(fsales[[#This Row],[SalesRepID]],dSalesRep[[#All],[SalesRepID]],dSalesRep[[#All],[Region]])</f>
        <v>WA</v>
      </c>
    </row>
    <row r="428" spans="1:8" x14ac:dyDescent="0.3">
      <c r="A428" s="1">
        <v>44293</v>
      </c>
      <c r="B428">
        <v>2</v>
      </c>
      <c r="C428">
        <v>3</v>
      </c>
      <c r="D428">
        <v>90</v>
      </c>
      <c r="E428" s="11" cm="1">
        <f t="array" ref="E428">_xlfn.XLOOKUP(fsales[[#This Row],[ProductID]],dProduct[[#All],[ProductID]],dProduct[[#All],[Price]])*fsales[[#This Row],[Units]]</f>
        <v>2695.5</v>
      </c>
      <c r="F428" s="11" t="str" cm="1">
        <f t="array" ref="F428">_xlfn.XLOOKUP(fsales[[#This Row],[ProductID]],dProduct[[#All],[ProductID]],dProduct[[#All],[Product]])</f>
        <v>Carlota</v>
      </c>
      <c r="G428" s="11" t="str" cm="1">
        <f t="array" ref="G428">_xlfn.XLOOKUP(fsales[[#This Row],[ProductID]],dProduct[[#All],[ProductID]],dProduct[[#All],[Supplier]])</f>
        <v>Gel Booms</v>
      </c>
      <c r="H428" s="11" t="str" cm="1">
        <f t="array" ref="H428">_xlfn.XLOOKUP(fsales[[#This Row],[SalesRepID]],dSalesRep[[#All],[SalesRepID]],dSalesRep[[#All],[Region]])</f>
        <v>WA</v>
      </c>
    </row>
    <row r="429" spans="1:8" x14ac:dyDescent="0.3">
      <c r="A429" s="1">
        <v>45172</v>
      </c>
      <c r="B429">
        <v>2</v>
      </c>
      <c r="C429">
        <v>4</v>
      </c>
      <c r="D429">
        <v>5</v>
      </c>
      <c r="E429" s="11" cm="1">
        <f t="array" ref="E429">_xlfn.XLOOKUP(fsales[[#This Row],[ProductID]],dProduct[[#All],[ProductID]],dProduct[[#All],[Price]])*fsales[[#This Row],[Units]]</f>
        <v>149.75</v>
      </c>
      <c r="F429" s="11" t="str" cm="1">
        <f t="array" ref="F429">_xlfn.XLOOKUP(fsales[[#This Row],[ProductID]],dProduct[[#All],[ProductID]],dProduct[[#All],[Product]])</f>
        <v>Carlota</v>
      </c>
      <c r="G429" s="11" t="str" cm="1">
        <f t="array" ref="G429">_xlfn.XLOOKUP(fsales[[#This Row],[ProductID]],dProduct[[#All],[ProductID]],dProduct[[#All],[Supplier]])</f>
        <v>Gel Booms</v>
      </c>
      <c r="H429" s="11" t="str" cm="1">
        <f t="array" ref="H429">_xlfn.XLOOKUP(fsales[[#This Row],[SalesRepID]],dSalesRep[[#All],[SalesRepID]],dSalesRep[[#All],[Region]])</f>
        <v>WA</v>
      </c>
    </row>
    <row r="430" spans="1:8" x14ac:dyDescent="0.3">
      <c r="A430" s="1">
        <v>44804</v>
      </c>
      <c r="B430">
        <v>2</v>
      </c>
      <c r="C430">
        <v>3</v>
      </c>
      <c r="D430">
        <v>6</v>
      </c>
      <c r="E430" s="11" cm="1">
        <f t="array" ref="E430">_xlfn.XLOOKUP(fsales[[#This Row],[ProductID]],dProduct[[#All],[ProductID]],dProduct[[#All],[Price]])*fsales[[#This Row],[Units]]</f>
        <v>179.7</v>
      </c>
      <c r="F430" s="11" t="str" cm="1">
        <f t="array" ref="F430">_xlfn.XLOOKUP(fsales[[#This Row],[ProductID]],dProduct[[#All],[ProductID]],dProduct[[#All],[Product]])</f>
        <v>Carlota</v>
      </c>
      <c r="G430" s="11" t="str" cm="1">
        <f t="array" ref="G430">_xlfn.XLOOKUP(fsales[[#This Row],[ProductID]],dProduct[[#All],[ProductID]],dProduct[[#All],[Supplier]])</f>
        <v>Gel Booms</v>
      </c>
      <c r="H430" s="11" t="str" cm="1">
        <f t="array" ref="H430">_xlfn.XLOOKUP(fsales[[#This Row],[SalesRepID]],dSalesRep[[#All],[SalesRepID]],dSalesRep[[#All],[Region]])</f>
        <v>WA</v>
      </c>
    </row>
    <row r="431" spans="1:8" x14ac:dyDescent="0.3">
      <c r="A431" s="1">
        <v>44878</v>
      </c>
      <c r="B431">
        <v>2</v>
      </c>
      <c r="C431">
        <v>2</v>
      </c>
      <c r="D431">
        <v>2</v>
      </c>
      <c r="E431" s="11" cm="1">
        <f t="array" ref="E431">_xlfn.XLOOKUP(fsales[[#This Row],[ProductID]],dProduct[[#All],[ProductID]],dProduct[[#All],[Price]])*fsales[[#This Row],[Units]]</f>
        <v>59.9</v>
      </c>
      <c r="F431" s="11" t="str" cm="1">
        <f t="array" ref="F431">_xlfn.XLOOKUP(fsales[[#This Row],[ProductID]],dProduct[[#All],[ProductID]],dProduct[[#All],[Product]])</f>
        <v>Carlota</v>
      </c>
      <c r="G431" s="11" t="str" cm="1">
        <f t="array" ref="G431">_xlfn.XLOOKUP(fsales[[#This Row],[ProductID]],dProduct[[#All],[ProductID]],dProduct[[#All],[Supplier]])</f>
        <v>Gel Booms</v>
      </c>
      <c r="H431" s="11" t="str" cm="1">
        <f t="array" ref="H431">_xlfn.XLOOKUP(fsales[[#This Row],[SalesRepID]],dSalesRep[[#All],[SalesRepID]],dSalesRep[[#All],[Region]])</f>
        <v>CA</v>
      </c>
    </row>
    <row r="432" spans="1:8" x14ac:dyDescent="0.3">
      <c r="A432" s="1">
        <v>44895</v>
      </c>
      <c r="B432">
        <v>2</v>
      </c>
      <c r="C432">
        <v>4</v>
      </c>
      <c r="D432">
        <v>105</v>
      </c>
      <c r="E432" s="11" cm="1">
        <f t="array" ref="E432">_xlfn.XLOOKUP(fsales[[#This Row],[ProductID]],dProduct[[#All],[ProductID]],dProduct[[#All],[Price]])*fsales[[#This Row],[Units]]</f>
        <v>3144.75</v>
      </c>
      <c r="F432" s="11" t="str" cm="1">
        <f t="array" ref="F432">_xlfn.XLOOKUP(fsales[[#This Row],[ProductID]],dProduct[[#All],[ProductID]],dProduct[[#All],[Product]])</f>
        <v>Carlota</v>
      </c>
      <c r="G432" s="11" t="str" cm="1">
        <f t="array" ref="G432">_xlfn.XLOOKUP(fsales[[#This Row],[ProductID]],dProduct[[#All],[ProductID]],dProduct[[#All],[Supplier]])</f>
        <v>Gel Booms</v>
      </c>
      <c r="H432" s="11" t="str" cm="1">
        <f t="array" ref="H432">_xlfn.XLOOKUP(fsales[[#This Row],[SalesRepID]],dSalesRep[[#All],[SalesRepID]],dSalesRep[[#All],[Region]])</f>
        <v>WA</v>
      </c>
    </row>
    <row r="433" spans="1:8" x14ac:dyDescent="0.3">
      <c r="A433" s="1">
        <v>44899</v>
      </c>
      <c r="B433">
        <v>2</v>
      </c>
      <c r="C433">
        <v>2</v>
      </c>
      <c r="D433">
        <v>88</v>
      </c>
      <c r="E433" s="11" cm="1">
        <f t="array" ref="E433">_xlfn.XLOOKUP(fsales[[#This Row],[ProductID]],dProduct[[#All],[ProductID]],dProduct[[#All],[Price]])*fsales[[#This Row],[Units]]</f>
        <v>2635.6</v>
      </c>
      <c r="F433" s="11" t="str" cm="1">
        <f t="array" ref="F433">_xlfn.XLOOKUP(fsales[[#This Row],[ProductID]],dProduct[[#All],[ProductID]],dProduct[[#All],[Product]])</f>
        <v>Carlota</v>
      </c>
      <c r="G433" s="11" t="str" cm="1">
        <f t="array" ref="G433">_xlfn.XLOOKUP(fsales[[#This Row],[ProductID]],dProduct[[#All],[ProductID]],dProduct[[#All],[Supplier]])</f>
        <v>Gel Booms</v>
      </c>
      <c r="H433" s="11" t="str" cm="1">
        <f t="array" ref="H433">_xlfn.XLOOKUP(fsales[[#This Row],[SalesRepID]],dSalesRep[[#All],[SalesRepID]],dSalesRep[[#All],[Region]])</f>
        <v>CA</v>
      </c>
    </row>
    <row r="434" spans="1:8" x14ac:dyDescent="0.3">
      <c r="A434" s="1">
        <v>44551</v>
      </c>
      <c r="B434">
        <v>4</v>
      </c>
      <c r="C434">
        <v>4</v>
      </c>
      <c r="D434">
        <v>93</v>
      </c>
      <c r="E434" s="11" cm="1">
        <f t="array" ref="E434">_xlfn.XLOOKUP(fsales[[#This Row],[ProductID]],dProduct[[#All],[ProductID]],dProduct[[#All],[Price]])*fsales[[#This Row],[Units]]</f>
        <v>2227.35</v>
      </c>
      <c r="F434" s="11" t="str" cm="1">
        <f t="array" ref="F434">_xlfn.XLOOKUP(fsales[[#This Row],[ProductID]],dProduct[[#All],[ProductID]],dProduct[[#All],[Product]])</f>
        <v>Yanaki</v>
      </c>
      <c r="G434" s="11" t="str" cm="1">
        <f t="array" ref="G434">_xlfn.XLOOKUP(fsales[[#This Row],[ProductID]],dProduct[[#All],[ProductID]],dProduct[[#All],[Supplier]])</f>
        <v>Colorado Booms</v>
      </c>
      <c r="H434" s="11" t="str" cm="1">
        <f t="array" ref="H434">_xlfn.XLOOKUP(fsales[[#This Row],[SalesRepID]],dSalesRep[[#All],[SalesRepID]],dSalesRep[[#All],[Region]])</f>
        <v>WA</v>
      </c>
    </row>
    <row r="435" spans="1:8" x14ac:dyDescent="0.3">
      <c r="A435" s="1">
        <v>44753</v>
      </c>
      <c r="B435">
        <v>3</v>
      </c>
      <c r="C435">
        <v>2</v>
      </c>
      <c r="D435">
        <v>5</v>
      </c>
      <c r="E435" s="11" cm="1">
        <f t="array" ref="E435">_xlfn.XLOOKUP(fsales[[#This Row],[ProductID]],dProduct[[#All],[ProductID]],dProduct[[#All],[Price]])*fsales[[#This Row],[Units]]</f>
        <v>129.75</v>
      </c>
      <c r="F435" s="11" t="str" cm="1">
        <f t="array" ref="F435">_xlfn.XLOOKUP(fsales[[#This Row],[ProductID]],dProduct[[#All],[ProductID]],dProduct[[#All],[Product]])</f>
        <v>Aspen</v>
      </c>
      <c r="G435" s="11" t="str" cm="1">
        <f t="array" ref="G435">_xlfn.XLOOKUP(fsales[[#This Row],[ProductID]],dProduct[[#All],[ProductID]],dProduct[[#All],[Supplier]])</f>
        <v>Colorado Booms</v>
      </c>
      <c r="H435" s="11" t="str" cm="1">
        <f t="array" ref="H435">_xlfn.XLOOKUP(fsales[[#This Row],[SalesRepID]],dSalesRep[[#All],[SalesRepID]],dSalesRep[[#All],[Region]])</f>
        <v>CA</v>
      </c>
    </row>
    <row r="436" spans="1:8" x14ac:dyDescent="0.3">
      <c r="A436" s="1">
        <v>44404</v>
      </c>
      <c r="B436">
        <v>1</v>
      </c>
      <c r="C436">
        <v>3</v>
      </c>
      <c r="D436">
        <v>1</v>
      </c>
      <c r="E436" s="11" cm="1">
        <f t="array" ref="E436">_xlfn.XLOOKUP(fsales[[#This Row],[ProductID]],dProduct[[#All],[ProductID]],dProduct[[#All],[Price]])*fsales[[#This Row],[Units]]</f>
        <v>43.95</v>
      </c>
      <c r="F436" s="11" t="str" cm="1">
        <f t="array" ref="F436">_xlfn.XLOOKUP(fsales[[#This Row],[ProductID]],dProduct[[#All],[ProductID]],dProduct[[#All],[Product]])</f>
        <v>Quad</v>
      </c>
      <c r="G436" s="11" t="str" cm="1">
        <f t="array" ref="G436">_xlfn.XLOOKUP(fsales[[#This Row],[ProductID]],dProduct[[#All],[ProductID]],dProduct[[#All],[Supplier]])</f>
        <v>Gel Booms</v>
      </c>
      <c r="H436" s="11" t="str" cm="1">
        <f t="array" ref="H436">_xlfn.XLOOKUP(fsales[[#This Row],[SalesRepID]],dSalesRep[[#All],[SalesRepID]],dSalesRep[[#All],[Region]])</f>
        <v>WA</v>
      </c>
    </row>
    <row r="437" spans="1:8" x14ac:dyDescent="0.3">
      <c r="A437" s="1">
        <v>45247</v>
      </c>
      <c r="B437">
        <v>4</v>
      </c>
      <c r="C437">
        <v>1</v>
      </c>
      <c r="D437">
        <v>94</v>
      </c>
      <c r="E437" s="11" cm="1">
        <f t="array" ref="E437">_xlfn.XLOOKUP(fsales[[#This Row],[ProductID]],dProduct[[#All],[ProductID]],dProduct[[#All],[Price]])*fsales[[#This Row],[Units]]</f>
        <v>2251.2999999999997</v>
      </c>
      <c r="F437" s="11" t="str" cm="1">
        <f t="array" ref="F437">_xlfn.XLOOKUP(fsales[[#This Row],[ProductID]],dProduct[[#All],[ProductID]],dProduct[[#All],[Product]])</f>
        <v>Yanaki</v>
      </c>
      <c r="G437" s="11" t="str" cm="1">
        <f t="array" ref="G437">_xlfn.XLOOKUP(fsales[[#This Row],[ProductID]],dProduct[[#All],[ProductID]],dProduct[[#All],[Supplier]])</f>
        <v>Colorado Booms</v>
      </c>
      <c r="H437" s="11" t="str" cm="1">
        <f t="array" ref="H437">_xlfn.XLOOKUP(fsales[[#This Row],[SalesRepID]],dSalesRep[[#All],[SalesRepID]],dSalesRep[[#All],[Region]])</f>
        <v>CA</v>
      </c>
    </row>
    <row r="438" spans="1:8" x14ac:dyDescent="0.3">
      <c r="A438" s="1">
        <v>44917</v>
      </c>
      <c r="B438">
        <v>4</v>
      </c>
      <c r="C438">
        <v>4</v>
      </c>
      <c r="D438">
        <v>2</v>
      </c>
      <c r="E438" s="11" cm="1">
        <f t="array" ref="E438">_xlfn.XLOOKUP(fsales[[#This Row],[ProductID]],dProduct[[#All],[ProductID]],dProduct[[#All],[Price]])*fsales[[#This Row],[Units]]</f>
        <v>47.9</v>
      </c>
      <c r="F438" s="11" t="str" cm="1">
        <f t="array" ref="F438">_xlfn.XLOOKUP(fsales[[#This Row],[ProductID]],dProduct[[#All],[ProductID]],dProduct[[#All],[Product]])</f>
        <v>Yanaki</v>
      </c>
      <c r="G438" s="11" t="str" cm="1">
        <f t="array" ref="G438">_xlfn.XLOOKUP(fsales[[#This Row],[ProductID]],dProduct[[#All],[ProductID]],dProduct[[#All],[Supplier]])</f>
        <v>Colorado Booms</v>
      </c>
      <c r="H438" s="11" t="str" cm="1">
        <f t="array" ref="H438">_xlfn.XLOOKUP(fsales[[#This Row],[SalesRepID]],dSalesRep[[#All],[SalesRepID]],dSalesRep[[#All],[Region]])</f>
        <v>WA</v>
      </c>
    </row>
    <row r="439" spans="1:8" x14ac:dyDescent="0.3">
      <c r="A439" s="1">
        <v>44878</v>
      </c>
      <c r="B439">
        <v>4</v>
      </c>
      <c r="C439">
        <v>1</v>
      </c>
      <c r="D439">
        <v>65</v>
      </c>
      <c r="E439" s="11" cm="1">
        <f t="array" ref="E439">_xlfn.XLOOKUP(fsales[[#This Row],[ProductID]],dProduct[[#All],[ProductID]],dProduct[[#All],[Price]])*fsales[[#This Row],[Units]]</f>
        <v>1556.75</v>
      </c>
      <c r="F439" s="11" t="str" cm="1">
        <f t="array" ref="F439">_xlfn.XLOOKUP(fsales[[#This Row],[ProductID]],dProduct[[#All],[ProductID]],dProduct[[#All],[Product]])</f>
        <v>Yanaki</v>
      </c>
      <c r="G439" s="11" t="str" cm="1">
        <f t="array" ref="G439">_xlfn.XLOOKUP(fsales[[#This Row],[ProductID]],dProduct[[#All],[ProductID]],dProduct[[#All],[Supplier]])</f>
        <v>Colorado Booms</v>
      </c>
      <c r="H439" s="11" t="str" cm="1">
        <f t="array" ref="H439">_xlfn.XLOOKUP(fsales[[#This Row],[SalesRepID]],dSalesRep[[#All],[SalesRepID]],dSalesRep[[#All],[Region]])</f>
        <v>CA</v>
      </c>
    </row>
    <row r="440" spans="1:8" x14ac:dyDescent="0.3">
      <c r="A440" s="1">
        <v>44809</v>
      </c>
      <c r="B440">
        <v>2</v>
      </c>
      <c r="C440">
        <v>2</v>
      </c>
      <c r="D440">
        <v>192</v>
      </c>
      <c r="E440" s="11" cm="1">
        <f t="array" ref="E440">_xlfn.XLOOKUP(fsales[[#This Row],[ProductID]],dProduct[[#All],[ProductID]],dProduct[[#All],[Price]])*fsales[[#This Row],[Units]]</f>
        <v>5750.4</v>
      </c>
      <c r="F440" s="11" t="str" cm="1">
        <f t="array" ref="F440">_xlfn.XLOOKUP(fsales[[#This Row],[ProductID]],dProduct[[#All],[ProductID]],dProduct[[#All],[Product]])</f>
        <v>Carlota</v>
      </c>
      <c r="G440" s="11" t="str" cm="1">
        <f t="array" ref="G440">_xlfn.XLOOKUP(fsales[[#This Row],[ProductID]],dProduct[[#All],[ProductID]],dProduct[[#All],[Supplier]])</f>
        <v>Gel Booms</v>
      </c>
      <c r="H440" s="11" t="str" cm="1">
        <f t="array" ref="H440">_xlfn.XLOOKUP(fsales[[#This Row],[SalesRepID]],dSalesRep[[#All],[SalesRepID]],dSalesRep[[#All],[Region]])</f>
        <v>CA</v>
      </c>
    </row>
    <row r="441" spans="1:8" x14ac:dyDescent="0.3">
      <c r="A441" s="1">
        <v>44646</v>
      </c>
      <c r="B441">
        <v>1</v>
      </c>
      <c r="C441">
        <v>4</v>
      </c>
      <c r="D441">
        <v>1</v>
      </c>
      <c r="E441" s="11" cm="1">
        <f t="array" ref="E441">_xlfn.XLOOKUP(fsales[[#This Row],[ProductID]],dProduct[[#All],[ProductID]],dProduct[[#All],[Price]])*fsales[[#This Row],[Units]]</f>
        <v>43.95</v>
      </c>
      <c r="F441" s="11" t="str" cm="1">
        <f t="array" ref="F441">_xlfn.XLOOKUP(fsales[[#This Row],[ProductID]],dProduct[[#All],[ProductID]],dProduct[[#All],[Product]])</f>
        <v>Quad</v>
      </c>
      <c r="G441" s="11" t="str" cm="1">
        <f t="array" ref="G441">_xlfn.XLOOKUP(fsales[[#This Row],[ProductID]],dProduct[[#All],[ProductID]],dProduct[[#All],[Supplier]])</f>
        <v>Gel Booms</v>
      </c>
      <c r="H441" s="11" t="str" cm="1">
        <f t="array" ref="H441">_xlfn.XLOOKUP(fsales[[#This Row],[SalesRepID]],dSalesRep[[#All],[SalesRepID]],dSalesRep[[#All],[Region]])</f>
        <v>WA</v>
      </c>
    </row>
    <row r="442" spans="1:8" x14ac:dyDescent="0.3">
      <c r="A442" s="1">
        <v>44921</v>
      </c>
      <c r="B442">
        <v>2</v>
      </c>
      <c r="C442">
        <v>4</v>
      </c>
      <c r="D442">
        <v>68</v>
      </c>
      <c r="E442" s="11" cm="1">
        <f t="array" ref="E442">_xlfn.XLOOKUP(fsales[[#This Row],[ProductID]],dProduct[[#All],[ProductID]],dProduct[[#All],[Price]])*fsales[[#This Row],[Units]]</f>
        <v>2036.6</v>
      </c>
      <c r="F442" s="11" t="str" cm="1">
        <f t="array" ref="F442">_xlfn.XLOOKUP(fsales[[#This Row],[ProductID]],dProduct[[#All],[ProductID]],dProduct[[#All],[Product]])</f>
        <v>Carlota</v>
      </c>
      <c r="G442" s="11" t="str" cm="1">
        <f t="array" ref="G442">_xlfn.XLOOKUP(fsales[[#This Row],[ProductID]],dProduct[[#All],[ProductID]],dProduct[[#All],[Supplier]])</f>
        <v>Gel Booms</v>
      </c>
      <c r="H442" s="11" t="str" cm="1">
        <f t="array" ref="H442">_xlfn.XLOOKUP(fsales[[#This Row],[SalesRepID]],dSalesRep[[#All],[SalesRepID]],dSalesRep[[#All],[Region]])</f>
        <v>WA</v>
      </c>
    </row>
    <row r="443" spans="1:8" x14ac:dyDescent="0.3">
      <c r="A443" s="1">
        <v>44734</v>
      </c>
      <c r="B443">
        <v>2</v>
      </c>
      <c r="C443">
        <v>4</v>
      </c>
      <c r="D443">
        <v>69</v>
      </c>
      <c r="E443" s="11" cm="1">
        <f t="array" ref="E443">_xlfn.XLOOKUP(fsales[[#This Row],[ProductID]],dProduct[[#All],[ProductID]],dProduct[[#All],[Price]])*fsales[[#This Row],[Units]]</f>
        <v>2066.5499999999997</v>
      </c>
      <c r="F443" s="11" t="str" cm="1">
        <f t="array" ref="F443">_xlfn.XLOOKUP(fsales[[#This Row],[ProductID]],dProduct[[#All],[ProductID]],dProduct[[#All],[Product]])</f>
        <v>Carlota</v>
      </c>
      <c r="G443" s="11" t="str" cm="1">
        <f t="array" ref="G443">_xlfn.XLOOKUP(fsales[[#This Row],[ProductID]],dProduct[[#All],[ProductID]],dProduct[[#All],[Supplier]])</f>
        <v>Gel Booms</v>
      </c>
      <c r="H443" s="11" t="str" cm="1">
        <f t="array" ref="H443">_xlfn.XLOOKUP(fsales[[#This Row],[SalesRepID]],dSalesRep[[#All],[SalesRepID]],dSalesRep[[#All],[Region]])</f>
        <v>WA</v>
      </c>
    </row>
    <row r="444" spans="1:8" x14ac:dyDescent="0.3">
      <c r="A444" s="1">
        <v>44972</v>
      </c>
      <c r="B444">
        <v>2</v>
      </c>
      <c r="C444">
        <v>4</v>
      </c>
      <c r="D444">
        <v>96</v>
      </c>
      <c r="E444" s="11" cm="1">
        <f t="array" ref="E444">_xlfn.XLOOKUP(fsales[[#This Row],[ProductID]],dProduct[[#All],[ProductID]],dProduct[[#All],[Price]])*fsales[[#This Row],[Units]]</f>
        <v>2875.2</v>
      </c>
      <c r="F444" s="11" t="str" cm="1">
        <f t="array" ref="F444">_xlfn.XLOOKUP(fsales[[#This Row],[ProductID]],dProduct[[#All],[ProductID]],dProduct[[#All],[Product]])</f>
        <v>Carlota</v>
      </c>
      <c r="G444" s="11" t="str" cm="1">
        <f t="array" ref="G444">_xlfn.XLOOKUP(fsales[[#This Row],[ProductID]],dProduct[[#All],[ProductID]],dProduct[[#All],[Supplier]])</f>
        <v>Gel Booms</v>
      </c>
      <c r="H444" s="11" t="str" cm="1">
        <f t="array" ref="H444">_xlfn.XLOOKUP(fsales[[#This Row],[SalesRepID]],dSalesRep[[#All],[SalesRepID]],dSalesRep[[#All],[Region]])</f>
        <v>WA</v>
      </c>
    </row>
    <row r="445" spans="1:8" x14ac:dyDescent="0.3">
      <c r="A445" s="1">
        <v>44683</v>
      </c>
      <c r="B445">
        <v>3</v>
      </c>
      <c r="C445">
        <v>4</v>
      </c>
      <c r="D445">
        <v>105</v>
      </c>
      <c r="E445" s="11" cm="1">
        <f t="array" ref="E445">_xlfn.XLOOKUP(fsales[[#This Row],[ProductID]],dProduct[[#All],[ProductID]],dProduct[[#All],[Price]])*fsales[[#This Row],[Units]]</f>
        <v>2724.75</v>
      </c>
      <c r="F445" s="11" t="str" cm="1">
        <f t="array" ref="F445">_xlfn.XLOOKUP(fsales[[#This Row],[ProductID]],dProduct[[#All],[ProductID]],dProduct[[#All],[Product]])</f>
        <v>Aspen</v>
      </c>
      <c r="G445" s="11" t="str" cm="1">
        <f t="array" ref="G445">_xlfn.XLOOKUP(fsales[[#This Row],[ProductID]],dProduct[[#All],[ProductID]],dProduct[[#All],[Supplier]])</f>
        <v>Colorado Booms</v>
      </c>
      <c r="H445" s="11" t="str" cm="1">
        <f t="array" ref="H445">_xlfn.XLOOKUP(fsales[[#This Row],[SalesRepID]],dSalesRep[[#All],[SalesRepID]],dSalesRep[[#All],[Region]])</f>
        <v>WA</v>
      </c>
    </row>
    <row r="446" spans="1:8" x14ac:dyDescent="0.3">
      <c r="A446" s="1">
        <v>45184</v>
      </c>
      <c r="B446">
        <v>4</v>
      </c>
      <c r="C446">
        <v>4</v>
      </c>
      <c r="D446">
        <v>79</v>
      </c>
      <c r="E446" s="11" cm="1">
        <f t="array" ref="E446">_xlfn.XLOOKUP(fsales[[#This Row],[ProductID]],dProduct[[#All],[ProductID]],dProduct[[#All],[Price]])*fsales[[#This Row],[Units]]</f>
        <v>1892.05</v>
      </c>
      <c r="F446" s="11" t="str" cm="1">
        <f t="array" ref="F446">_xlfn.XLOOKUP(fsales[[#This Row],[ProductID]],dProduct[[#All],[ProductID]],dProduct[[#All],[Product]])</f>
        <v>Yanaki</v>
      </c>
      <c r="G446" s="11" t="str" cm="1">
        <f t="array" ref="G446">_xlfn.XLOOKUP(fsales[[#This Row],[ProductID]],dProduct[[#All],[ProductID]],dProduct[[#All],[Supplier]])</f>
        <v>Colorado Booms</v>
      </c>
      <c r="H446" s="11" t="str" cm="1">
        <f t="array" ref="H446">_xlfn.XLOOKUP(fsales[[#This Row],[SalesRepID]],dSalesRep[[#All],[SalesRepID]],dSalesRep[[#All],[Region]])</f>
        <v>WA</v>
      </c>
    </row>
    <row r="447" spans="1:8" x14ac:dyDescent="0.3">
      <c r="A447" s="1">
        <v>44513</v>
      </c>
      <c r="B447">
        <v>2</v>
      </c>
      <c r="C447">
        <v>4</v>
      </c>
      <c r="D447">
        <v>140</v>
      </c>
      <c r="E447" s="11" cm="1">
        <f t="array" ref="E447">_xlfn.XLOOKUP(fsales[[#This Row],[ProductID]],dProduct[[#All],[ProductID]],dProduct[[#All],[Price]])*fsales[[#This Row],[Units]]</f>
        <v>4193</v>
      </c>
      <c r="F447" s="11" t="str" cm="1">
        <f t="array" ref="F447">_xlfn.XLOOKUP(fsales[[#This Row],[ProductID]],dProduct[[#All],[ProductID]],dProduct[[#All],[Product]])</f>
        <v>Carlota</v>
      </c>
      <c r="G447" s="11" t="str" cm="1">
        <f t="array" ref="G447">_xlfn.XLOOKUP(fsales[[#This Row],[ProductID]],dProduct[[#All],[ProductID]],dProduct[[#All],[Supplier]])</f>
        <v>Gel Booms</v>
      </c>
      <c r="H447" s="11" t="str" cm="1">
        <f t="array" ref="H447">_xlfn.XLOOKUP(fsales[[#This Row],[SalesRepID]],dSalesRep[[#All],[SalesRepID]],dSalesRep[[#All],[Region]])</f>
        <v>WA</v>
      </c>
    </row>
    <row r="448" spans="1:8" x14ac:dyDescent="0.3">
      <c r="A448" s="1">
        <v>45160</v>
      </c>
      <c r="B448">
        <v>3</v>
      </c>
      <c r="C448">
        <v>2</v>
      </c>
      <c r="D448">
        <v>212</v>
      </c>
      <c r="E448" s="11" cm="1">
        <f t="array" ref="E448">_xlfn.XLOOKUP(fsales[[#This Row],[ProductID]],dProduct[[#All],[ProductID]],dProduct[[#All],[Price]])*fsales[[#This Row],[Units]]</f>
        <v>5501.4</v>
      </c>
      <c r="F448" s="11" t="str" cm="1">
        <f t="array" ref="F448">_xlfn.XLOOKUP(fsales[[#This Row],[ProductID]],dProduct[[#All],[ProductID]],dProduct[[#All],[Product]])</f>
        <v>Aspen</v>
      </c>
      <c r="G448" s="11" t="str" cm="1">
        <f t="array" ref="G448">_xlfn.XLOOKUP(fsales[[#This Row],[ProductID]],dProduct[[#All],[ProductID]],dProduct[[#All],[Supplier]])</f>
        <v>Colorado Booms</v>
      </c>
      <c r="H448" s="11" t="str" cm="1">
        <f t="array" ref="H448">_xlfn.XLOOKUP(fsales[[#This Row],[SalesRepID]],dSalesRep[[#All],[SalesRepID]],dSalesRep[[#All],[Region]])</f>
        <v>CA</v>
      </c>
    </row>
    <row r="449" spans="1:8" x14ac:dyDescent="0.3">
      <c r="A449" s="1">
        <v>45250</v>
      </c>
      <c r="B449">
        <v>2</v>
      </c>
      <c r="C449">
        <v>3</v>
      </c>
      <c r="D449">
        <v>68</v>
      </c>
      <c r="E449" s="11" cm="1">
        <f t="array" ref="E449">_xlfn.XLOOKUP(fsales[[#This Row],[ProductID]],dProduct[[#All],[ProductID]],dProduct[[#All],[Price]])*fsales[[#This Row],[Units]]</f>
        <v>2036.6</v>
      </c>
      <c r="F449" s="11" t="str" cm="1">
        <f t="array" ref="F449">_xlfn.XLOOKUP(fsales[[#This Row],[ProductID]],dProduct[[#All],[ProductID]],dProduct[[#All],[Product]])</f>
        <v>Carlota</v>
      </c>
      <c r="G449" s="11" t="str" cm="1">
        <f t="array" ref="G449">_xlfn.XLOOKUP(fsales[[#This Row],[ProductID]],dProduct[[#All],[ProductID]],dProduct[[#All],[Supplier]])</f>
        <v>Gel Booms</v>
      </c>
      <c r="H449" s="11" t="str" cm="1">
        <f t="array" ref="H449">_xlfn.XLOOKUP(fsales[[#This Row],[SalesRepID]],dSalesRep[[#All],[SalesRepID]],dSalesRep[[#All],[Region]])</f>
        <v>WA</v>
      </c>
    </row>
    <row r="450" spans="1:8" x14ac:dyDescent="0.3">
      <c r="A450" s="1">
        <v>45244</v>
      </c>
      <c r="B450">
        <v>4</v>
      </c>
      <c r="C450">
        <v>2</v>
      </c>
      <c r="D450">
        <v>32</v>
      </c>
      <c r="E450" s="11" cm="1">
        <f t="array" ref="E450">_xlfn.XLOOKUP(fsales[[#This Row],[ProductID]],dProduct[[#All],[ProductID]],dProduct[[#All],[Price]])*fsales[[#This Row],[Units]]</f>
        <v>766.4</v>
      </c>
      <c r="F450" s="11" t="str" cm="1">
        <f t="array" ref="F450">_xlfn.XLOOKUP(fsales[[#This Row],[ProductID]],dProduct[[#All],[ProductID]],dProduct[[#All],[Product]])</f>
        <v>Yanaki</v>
      </c>
      <c r="G450" s="11" t="str" cm="1">
        <f t="array" ref="G450">_xlfn.XLOOKUP(fsales[[#This Row],[ProductID]],dProduct[[#All],[ProductID]],dProduct[[#All],[Supplier]])</f>
        <v>Colorado Booms</v>
      </c>
      <c r="H450" s="11" t="str" cm="1">
        <f t="array" ref="H450">_xlfn.XLOOKUP(fsales[[#This Row],[SalesRepID]],dSalesRep[[#All],[SalesRepID]],dSalesRep[[#All],[Region]])</f>
        <v>CA</v>
      </c>
    </row>
    <row r="451" spans="1:8" x14ac:dyDescent="0.3">
      <c r="A451" s="1">
        <v>44440</v>
      </c>
      <c r="B451">
        <v>2</v>
      </c>
      <c r="C451">
        <v>1</v>
      </c>
      <c r="D451">
        <v>49</v>
      </c>
      <c r="E451" s="11" cm="1">
        <f t="array" ref="E451">_xlfn.XLOOKUP(fsales[[#This Row],[ProductID]],dProduct[[#All],[ProductID]],dProduct[[#All],[Price]])*fsales[[#This Row],[Units]]</f>
        <v>1467.55</v>
      </c>
      <c r="F451" s="11" t="str" cm="1">
        <f t="array" ref="F451">_xlfn.XLOOKUP(fsales[[#This Row],[ProductID]],dProduct[[#All],[ProductID]],dProduct[[#All],[Product]])</f>
        <v>Carlota</v>
      </c>
      <c r="G451" s="11" t="str" cm="1">
        <f t="array" ref="G451">_xlfn.XLOOKUP(fsales[[#This Row],[ProductID]],dProduct[[#All],[ProductID]],dProduct[[#All],[Supplier]])</f>
        <v>Gel Booms</v>
      </c>
      <c r="H451" s="11" t="str" cm="1">
        <f t="array" ref="H451">_xlfn.XLOOKUP(fsales[[#This Row],[SalesRepID]],dSalesRep[[#All],[SalesRepID]],dSalesRep[[#All],[Region]])</f>
        <v>CA</v>
      </c>
    </row>
    <row r="452" spans="1:8" x14ac:dyDescent="0.3">
      <c r="A452" s="1">
        <v>45291</v>
      </c>
      <c r="B452">
        <v>2</v>
      </c>
      <c r="C452">
        <v>4</v>
      </c>
      <c r="D452">
        <v>109</v>
      </c>
      <c r="E452" s="11" cm="1">
        <f t="array" ref="E452">_xlfn.XLOOKUP(fsales[[#This Row],[ProductID]],dProduct[[#All],[ProductID]],dProduct[[#All],[Price]])*fsales[[#This Row],[Units]]</f>
        <v>3264.5499999999997</v>
      </c>
      <c r="F452" s="11" t="str" cm="1">
        <f t="array" ref="F452">_xlfn.XLOOKUP(fsales[[#This Row],[ProductID]],dProduct[[#All],[ProductID]],dProduct[[#All],[Product]])</f>
        <v>Carlota</v>
      </c>
      <c r="G452" s="11" t="str" cm="1">
        <f t="array" ref="G452">_xlfn.XLOOKUP(fsales[[#This Row],[ProductID]],dProduct[[#All],[ProductID]],dProduct[[#All],[Supplier]])</f>
        <v>Gel Booms</v>
      </c>
      <c r="H452" s="11" t="str" cm="1">
        <f t="array" ref="H452">_xlfn.XLOOKUP(fsales[[#This Row],[SalesRepID]],dSalesRep[[#All],[SalesRepID]],dSalesRep[[#All],[Region]])</f>
        <v>WA</v>
      </c>
    </row>
    <row r="453" spans="1:8" x14ac:dyDescent="0.3">
      <c r="A453" s="1">
        <v>45029</v>
      </c>
      <c r="B453">
        <v>2</v>
      </c>
      <c r="C453">
        <v>2</v>
      </c>
      <c r="D453">
        <v>174</v>
      </c>
      <c r="E453" s="11" cm="1">
        <f t="array" ref="E453">_xlfn.XLOOKUP(fsales[[#This Row],[ProductID]],dProduct[[#All],[ProductID]],dProduct[[#All],[Price]])*fsales[[#This Row],[Units]]</f>
        <v>5211.3</v>
      </c>
      <c r="F453" s="11" t="str" cm="1">
        <f t="array" ref="F453">_xlfn.XLOOKUP(fsales[[#This Row],[ProductID]],dProduct[[#All],[ProductID]],dProduct[[#All],[Product]])</f>
        <v>Carlota</v>
      </c>
      <c r="G453" s="11" t="str" cm="1">
        <f t="array" ref="G453">_xlfn.XLOOKUP(fsales[[#This Row],[ProductID]],dProduct[[#All],[ProductID]],dProduct[[#All],[Supplier]])</f>
        <v>Gel Booms</v>
      </c>
      <c r="H453" s="11" t="str" cm="1">
        <f t="array" ref="H453">_xlfn.XLOOKUP(fsales[[#This Row],[SalesRepID]],dSalesRep[[#All],[SalesRepID]],dSalesRep[[#All],[Region]])</f>
        <v>CA</v>
      </c>
    </row>
    <row r="454" spans="1:8" x14ac:dyDescent="0.3">
      <c r="A454" s="1">
        <v>45198</v>
      </c>
      <c r="B454">
        <v>2</v>
      </c>
      <c r="C454">
        <v>1</v>
      </c>
      <c r="D454">
        <v>251</v>
      </c>
      <c r="E454" s="11" cm="1">
        <f t="array" ref="E454">_xlfn.XLOOKUP(fsales[[#This Row],[ProductID]],dProduct[[#All],[ProductID]],dProduct[[#All],[Price]])*fsales[[#This Row],[Units]]</f>
        <v>7517.45</v>
      </c>
      <c r="F454" s="11" t="str" cm="1">
        <f t="array" ref="F454">_xlfn.XLOOKUP(fsales[[#This Row],[ProductID]],dProduct[[#All],[ProductID]],dProduct[[#All],[Product]])</f>
        <v>Carlota</v>
      </c>
      <c r="G454" s="11" t="str" cm="1">
        <f t="array" ref="G454">_xlfn.XLOOKUP(fsales[[#This Row],[ProductID]],dProduct[[#All],[ProductID]],dProduct[[#All],[Supplier]])</f>
        <v>Gel Booms</v>
      </c>
      <c r="H454" s="11" t="str" cm="1">
        <f t="array" ref="H454">_xlfn.XLOOKUP(fsales[[#This Row],[SalesRepID]],dSalesRep[[#All],[SalesRepID]],dSalesRep[[#All],[Region]])</f>
        <v>CA</v>
      </c>
    </row>
    <row r="455" spans="1:8" x14ac:dyDescent="0.3">
      <c r="A455" s="1">
        <v>44559</v>
      </c>
      <c r="B455">
        <v>1</v>
      </c>
      <c r="C455">
        <v>4</v>
      </c>
      <c r="D455">
        <v>6</v>
      </c>
      <c r="E455" s="11" cm="1">
        <f t="array" ref="E455">_xlfn.XLOOKUP(fsales[[#This Row],[ProductID]],dProduct[[#All],[ProductID]],dProduct[[#All],[Price]])*fsales[[#This Row],[Units]]</f>
        <v>263.70000000000005</v>
      </c>
      <c r="F455" s="11" t="str" cm="1">
        <f t="array" ref="F455">_xlfn.XLOOKUP(fsales[[#This Row],[ProductID]],dProduct[[#All],[ProductID]],dProduct[[#All],[Product]])</f>
        <v>Quad</v>
      </c>
      <c r="G455" s="11" t="str" cm="1">
        <f t="array" ref="G455">_xlfn.XLOOKUP(fsales[[#This Row],[ProductID]],dProduct[[#All],[ProductID]],dProduct[[#All],[Supplier]])</f>
        <v>Gel Booms</v>
      </c>
      <c r="H455" s="11" t="str" cm="1">
        <f t="array" ref="H455">_xlfn.XLOOKUP(fsales[[#This Row],[SalesRepID]],dSalesRep[[#All],[SalesRepID]],dSalesRep[[#All],[Region]])</f>
        <v>WA</v>
      </c>
    </row>
    <row r="456" spans="1:8" x14ac:dyDescent="0.3">
      <c r="A456" s="1">
        <v>44658</v>
      </c>
      <c r="B456">
        <v>2</v>
      </c>
      <c r="C456">
        <v>3</v>
      </c>
      <c r="D456">
        <v>69</v>
      </c>
      <c r="E456" s="11" cm="1">
        <f t="array" ref="E456">_xlfn.XLOOKUP(fsales[[#This Row],[ProductID]],dProduct[[#All],[ProductID]],dProduct[[#All],[Price]])*fsales[[#This Row],[Units]]</f>
        <v>2066.5499999999997</v>
      </c>
      <c r="F456" s="11" t="str" cm="1">
        <f t="array" ref="F456">_xlfn.XLOOKUP(fsales[[#This Row],[ProductID]],dProduct[[#All],[ProductID]],dProduct[[#All],[Product]])</f>
        <v>Carlota</v>
      </c>
      <c r="G456" s="11" t="str" cm="1">
        <f t="array" ref="G456">_xlfn.XLOOKUP(fsales[[#This Row],[ProductID]],dProduct[[#All],[ProductID]],dProduct[[#All],[Supplier]])</f>
        <v>Gel Booms</v>
      </c>
      <c r="H456" s="11" t="str" cm="1">
        <f t="array" ref="H456">_xlfn.XLOOKUP(fsales[[#This Row],[SalesRepID]],dSalesRep[[#All],[SalesRepID]],dSalesRep[[#All],[Region]])</f>
        <v>WA</v>
      </c>
    </row>
    <row r="457" spans="1:8" x14ac:dyDescent="0.3">
      <c r="A457" s="1">
        <v>44525</v>
      </c>
      <c r="B457">
        <v>2</v>
      </c>
      <c r="C457">
        <v>2</v>
      </c>
      <c r="D457">
        <v>66</v>
      </c>
      <c r="E457" s="11" cm="1">
        <f t="array" ref="E457">_xlfn.XLOOKUP(fsales[[#This Row],[ProductID]],dProduct[[#All],[ProductID]],dProduct[[#All],[Price]])*fsales[[#This Row],[Units]]</f>
        <v>1976.7</v>
      </c>
      <c r="F457" s="11" t="str" cm="1">
        <f t="array" ref="F457">_xlfn.XLOOKUP(fsales[[#This Row],[ProductID]],dProduct[[#All],[ProductID]],dProduct[[#All],[Product]])</f>
        <v>Carlota</v>
      </c>
      <c r="G457" s="11" t="str" cm="1">
        <f t="array" ref="G457">_xlfn.XLOOKUP(fsales[[#This Row],[ProductID]],dProduct[[#All],[ProductID]],dProduct[[#All],[Supplier]])</f>
        <v>Gel Booms</v>
      </c>
      <c r="H457" s="11" t="str" cm="1">
        <f t="array" ref="H457">_xlfn.XLOOKUP(fsales[[#This Row],[SalesRepID]],dSalesRep[[#All],[SalesRepID]],dSalesRep[[#All],[Region]])</f>
        <v>CA</v>
      </c>
    </row>
    <row r="458" spans="1:8" x14ac:dyDescent="0.3">
      <c r="A458" s="1">
        <v>44703</v>
      </c>
      <c r="B458">
        <v>2</v>
      </c>
      <c r="C458">
        <v>2</v>
      </c>
      <c r="D458">
        <v>216</v>
      </c>
      <c r="E458" s="11" cm="1">
        <f t="array" ref="E458">_xlfn.XLOOKUP(fsales[[#This Row],[ProductID]],dProduct[[#All],[ProductID]],dProduct[[#All],[Price]])*fsales[[#This Row],[Units]]</f>
        <v>6469.2</v>
      </c>
      <c r="F458" s="11" t="str" cm="1">
        <f t="array" ref="F458">_xlfn.XLOOKUP(fsales[[#This Row],[ProductID]],dProduct[[#All],[ProductID]],dProduct[[#All],[Product]])</f>
        <v>Carlota</v>
      </c>
      <c r="G458" s="11" t="str" cm="1">
        <f t="array" ref="G458">_xlfn.XLOOKUP(fsales[[#This Row],[ProductID]],dProduct[[#All],[ProductID]],dProduct[[#All],[Supplier]])</f>
        <v>Gel Booms</v>
      </c>
      <c r="H458" s="11" t="str" cm="1">
        <f t="array" ref="H458">_xlfn.XLOOKUP(fsales[[#This Row],[SalesRepID]],dSalesRep[[#All],[SalesRepID]],dSalesRep[[#All],[Region]])</f>
        <v>CA</v>
      </c>
    </row>
    <row r="459" spans="1:8" x14ac:dyDescent="0.3">
      <c r="A459" s="1">
        <v>44549</v>
      </c>
      <c r="B459">
        <v>3</v>
      </c>
      <c r="C459">
        <v>4</v>
      </c>
      <c r="D459">
        <v>162</v>
      </c>
      <c r="E459" s="11" cm="1">
        <f t="array" ref="E459">_xlfn.XLOOKUP(fsales[[#This Row],[ProductID]],dProduct[[#All],[ProductID]],dProduct[[#All],[Price]])*fsales[[#This Row],[Units]]</f>
        <v>4203.8999999999996</v>
      </c>
      <c r="F459" s="11" t="str" cm="1">
        <f t="array" ref="F459">_xlfn.XLOOKUP(fsales[[#This Row],[ProductID]],dProduct[[#All],[ProductID]],dProduct[[#All],[Product]])</f>
        <v>Aspen</v>
      </c>
      <c r="G459" s="11" t="str" cm="1">
        <f t="array" ref="G459">_xlfn.XLOOKUP(fsales[[#This Row],[ProductID]],dProduct[[#All],[ProductID]],dProduct[[#All],[Supplier]])</f>
        <v>Colorado Booms</v>
      </c>
      <c r="H459" s="11" t="str" cm="1">
        <f t="array" ref="H459">_xlfn.XLOOKUP(fsales[[#This Row],[SalesRepID]],dSalesRep[[#All],[SalesRepID]],dSalesRep[[#All],[Region]])</f>
        <v>WA</v>
      </c>
    </row>
    <row r="460" spans="1:8" x14ac:dyDescent="0.3">
      <c r="A460" s="1">
        <v>44878</v>
      </c>
      <c r="B460">
        <v>4</v>
      </c>
      <c r="C460">
        <v>1</v>
      </c>
      <c r="D460">
        <v>73</v>
      </c>
      <c r="E460" s="11" cm="1">
        <f t="array" ref="E460">_xlfn.XLOOKUP(fsales[[#This Row],[ProductID]],dProduct[[#All],[ProductID]],dProduct[[#All],[Price]])*fsales[[#This Row],[Units]]</f>
        <v>1748.35</v>
      </c>
      <c r="F460" s="11" t="str" cm="1">
        <f t="array" ref="F460">_xlfn.XLOOKUP(fsales[[#This Row],[ProductID]],dProduct[[#All],[ProductID]],dProduct[[#All],[Product]])</f>
        <v>Yanaki</v>
      </c>
      <c r="G460" s="11" t="str" cm="1">
        <f t="array" ref="G460">_xlfn.XLOOKUP(fsales[[#This Row],[ProductID]],dProduct[[#All],[ProductID]],dProduct[[#All],[Supplier]])</f>
        <v>Colorado Booms</v>
      </c>
      <c r="H460" s="11" t="str" cm="1">
        <f t="array" ref="H460">_xlfn.XLOOKUP(fsales[[#This Row],[SalesRepID]],dSalesRep[[#All],[SalesRepID]],dSalesRep[[#All],[Region]])</f>
        <v>CA</v>
      </c>
    </row>
    <row r="461" spans="1:8" x14ac:dyDescent="0.3">
      <c r="A461" s="1">
        <v>44882</v>
      </c>
      <c r="B461">
        <v>2</v>
      </c>
      <c r="C461">
        <v>1</v>
      </c>
      <c r="D461">
        <v>90</v>
      </c>
      <c r="E461" s="11" cm="1">
        <f t="array" ref="E461">_xlfn.XLOOKUP(fsales[[#This Row],[ProductID]],dProduct[[#All],[ProductID]],dProduct[[#All],[Price]])*fsales[[#This Row],[Units]]</f>
        <v>2695.5</v>
      </c>
      <c r="F461" s="11" t="str" cm="1">
        <f t="array" ref="F461">_xlfn.XLOOKUP(fsales[[#This Row],[ProductID]],dProduct[[#All],[ProductID]],dProduct[[#All],[Product]])</f>
        <v>Carlota</v>
      </c>
      <c r="G461" s="11" t="str" cm="1">
        <f t="array" ref="G461">_xlfn.XLOOKUP(fsales[[#This Row],[ProductID]],dProduct[[#All],[ProductID]],dProduct[[#All],[Supplier]])</f>
        <v>Gel Booms</v>
      </c>
      <c r="H461" s="11" t="str" cm="1">
        <f t="array" ref="H461">_xlfn.XLOOKUP(fsales[[#This Row],[SalesRepID]],dSalesRep[[#All],[SalesRepID]],dSalesRep[[#All],[Region]])</f>
        <v>CA</v>
      </c>
    </row>
    <row r="462" spans="1:8" x14ac:dyDescent="0.3">
      <c r="A462" s="1">
        <v>44336</v>
      </c>
      <c r="B462">
        <v>4</v>
      </c>
      <c r="C462">
        <v>1</v>
      </c>
      <c r="D462">
        <v>245</v>
      </c>
      <c r="E462" s="11" cm="1">
        <f t="array" ref="E462">_xlfn.XLOOKUP(fsales[[#This Row],[ProductID]],dProduct[[#All],[ProductID]],dProduct[[#All],[Price]])*fsales[[#This Row],[Units]]</f>
        <v>5867.75</v>
      </c>
      <c r="F462" s="11" t="str" cm="1">
        <f t="array" ref="F462">_xlfn.XLOOKUP(fsales[[#This Row],[ProductID]],dProduct[[#All],[ProductID]],dProduct[[#All],[Product]])</f>
        <v>Yanaki</v>
      </c>
      <c r="G462" s="11" t="str" cm="1">
        <f t="array" ref="G462">_xlfn.XLOOKUP(fsales[[#This Row],[ProductID]],dProduct[[#All],[ProductID]],dProduct[[#All],[Supplier]])</f>
        <v>Colorado Booms</v>
      </c>
      <c r="H462" s="11" t="str" cm="1">
        <f t="array" ref="H462">_xlfn.XLOOKUP(fsales[[#This Row],[SalesRepID]],dSalesRep[[#All],[SalesRepID]],dSalesRep[[#All],[Region]])</f>
        <v>CA</v>
      </c>
    </row>
    <row r="463" spans="1:8" x14ac:dyDescent="0.3">
      <c r="A463" s="1">
        <v>44715</v>
      </c>
      <c r="B463">
        <v>2</v>
      </c>
      <c r="C463">
        <v>2</v>
      </c>
      <c r="D463">
        <v>6</v>
      </c>
      <c r="E463" s="11" cm="1">
        <f t="array" ref="E463">_xlfn.XLOOKUP(fsales[[#This Row],[ProductID]],dProduct[[#All],[ProductID]],dProduct[[#All],[Price]])*fsales[[#This Row],[Units]]</f>
        <v>179.7</v>
      </c>
      <c r="F463" s="11" t="str" cm="1">
        <f t="array" ref="F463">_xlfn.XLOOKUP(fsales[[#This Row],[ProductID]],dProduct[[#All],[ProductID]],dProduct[[#All],[Product]])</f>
        <v>Carlota</v>
      </c>
      <c r="G463" s="11" t="str" cm="1">
        <f t="array" ref="G463">_xlfn.XLOOKUP(fsales[[#This Row],[ProductID]],dProduct[[#All],[ProductID]],dProduct[[#All],[Supplier]])</f>
        <v>Gel Booms</v>
      </c>
      <c r="H463" s="11" t="str" cm="1">
        <f t="array" ref="H463">_xlfn.XLOOKUP(fsales[[#This Row],[SalesRepID]],dSalesRep[[#All],[SalesRepID]],dSalesRep[[#All],[Region]])</f>
        <v>CA</v>
      </c>
    </row>
    <row r="464" spans="1:8" x14ac:dyDescent="0.3">
      <c r="A464" s="1">
        <v>44869</v>
      </c>
      <c r="B464">
        <v>2</v>
      </c>
      <c r="C464">
        <v>4</v>
      </c>
      <c r="D464">
        <v>94</v>
      </c>
      <c r="E464" s="11" cm="1">
        <f t="array" ref="E464">_xlfn.XLOOKUP(fsales[[#This Row],[ProductID]],dProduct[[#All],[ProductID]],dProduct[[#All],[Price]])*fsales[[#This Row],[Units]]</f>
        <v>2815.2999999999997</v>
      </c>
      <c r="F464" s="11" t="str" cm="1">
        <f t="array" ref="F464">_xlfn.XLOOKUP(fsales[[#This Row],[ProductID]],dProduct[[#All],[ProductID]],dProduct[[#All],[Product]])</f>
        <v>Carlota</v>
      </c>
      <c r="G464" s="11" t="str" cm="1">
        <f t="array" ref="G464">_xlfn.XLOOKUP(fsales[[#This Row],[ProductID]],dProduct[[#All],[ProductID]],dProduct[[#All],[Supplier]])</f>
        <v>Gel Booms</v>
      </c>
      <c r="H464" s="11" t="str" cm="1">
        <f t="array" ref="H464">_xlfn.XLOOKUP(fsales[[#This Row],[SalesRepID]],dSalesRep[[#All],[SalesRepID]],dSalesRep[[#All],[Region]])</f>
        <v>WA</v>
      </c>
    </row>
    <row r="465" spans="1:8" x14ac:dyDescent="0.3">
      <c r="A465" s="1">
        <v>45156</v>
      </c>
      <c r="B465">
        <v>4</v>
      </c>
      <c r="C465">
        <v>4</v>
      </c>
      <c r="D465">
        <v>5</v>
      </c>
      <c r="E465" s="11" cm="1">
        <f t="array" ref="E465">_xlfn.XLOOKUP(fsales[[#This Row],[ProductID]],dProduct[[#All],[ProductID]],dProduct[[#All],[Price]])*fsales[[#This Row],[Units]]</f>
        <v>119.75</v>
      </c>
      <c r="F465" s="11" t="str" cm="1">
        <f t="array" ref="F465">_xlfn.XLOOKUP(fsales[[#This Row],[ProductID]],dProduct[[#All],[ProductID]],dProduct[[#All],[Product]])</f>
        <v>Yanaki</v>
      </c>
      <c r="G465" s="11" t="str" cm="1">
        <f t="array" ref="G465">_xlfn.XLOOKUP(fsales[[#This Row],[ProductID]],dProduct[[#All],[ProductID]],dProduct[[#All],[Supplier]])</f>
        <v>Colorado Booms</v>
      </c>
      <c r="H465" s="11" t="str" cm="1">
        <f t="array" ref="H465">_xlfn.XLOOKUP(fsales[[#This Row],[SalesRepID]],dSalesRep[[#All],[SalesRepID]],dSalesRep[[#All],[Region]])</f>
        <v>WA</v>
      </c>
    </row>
    <row r="466" spans="1:8" x14ac:dyDescent="0.3">
      <c r="A466" s="1">
        <v>44995</v>
      </c>
      <c r="B466">
        <v>2</v>
      </c>
      <c r="C466">
        <v>4</v>
      </c>
      <c r="D466">
        <v>105</v>
      </c>
      <c r="E466" s="11" cm="1">
        <f t="array" ref="E466">_xlfn.XLOOKUP(fsales[[#This Row],[ProductID]],dProduct[[#All],[ProductID]],dProduct[[#All],[Price]])*fsales[[#This Row],[Units]]</f>
        <v>3144.75</v>
      </c>
      <c r="F466" s="11" t="str" cm="1">
        <f t="array" ref="F466">_xlfn.XLOOKUP(fsales[[#This Row],[ProductID]],dProduct[[#All],[ProductID]],dProduct[[#All],[Product]])</f>
        <v>Carlota</v>
      </c>
      <c r="G466" s="11" t="str" cm="1">
        <f t="array" ref="G466">_xlfn.XLOOKUP(fsales[[#This Row],[ProductID]],dProduct[[#All],[ProductID]],dProduct[[#All],[Supplier]])</f>
        <v>Gel Booms</v>
      </c>
      <c r="H466" s="11" t="str" cm="1">
        <f t="array" ref="H466">_xlfn.XLOOKUP(fsales[[#This Row],[SalesRepID]],dSalesRep[[#All],[SalesRepID]],dSalesRep[[#All],[Region]])</f>
        <v>WA</v>
      </c>
    </row>
    <row r="467" spans="1:8" x14ac:dyDescent="0.3">
      <c r="A467" s="1">
        <v>45236</v>
      </c>
      <c r="B467">
        <v>2</v>
      </c>
      <c r="C467">
        <v>3</v>
      </c>
      <c r="D467">
        <v>91</v>
      </c>
      <c r="E467" s="11" cm="1">
        <f t="array" ref="E467">_xlfn.XLOOKUP(fsales[[#This Row],[ProductID]],dProduct[[#All],[ProductID]],dProduct[[#All],[Price]])*fsales[[#This Row],[Units]]</f>
        <v>2725.45</v>
      </c>
      <c r="F467" s="11" t="str" cm="1">
        <f t="array" ref="F467">_xlfn.XLOOKUP(fsales[[#This Row],[ProductID]],dProduct[[#All],[ProductID]],dProduct[[#All],[Product]])</f>
        <v>Carlota</v>
      </c>
      <c r="G467" s="11" t="str" cm="1">
        <f t="array" ref="G467">_xlfn.XLOOKUP(fsales[[#This Row],[ProductID]],dProduct[[#All],[ProductID]],dProduct[[#All],[Supplier]])</f>
        <v>Gel Booms</v>
      </c>
      <c r="H467" s="11" t="str" cm="1">
        <f t="array" ref="H467">_xlfn.XLOOKUP(fsales[[#This Row],[SalesRepID]],dSalesRep[[#All],[SalesRepID]],dSalesRep[[#All],[Region]])</f>
        <v>WA</v>
      </c>
    </row>
    <row r="468" spans="1:8" x14ac:dyDescent="0.3">
      <c r="A468" s="1">
        <v>44902</v>
      </c>
      <c r="B468">
        <v>2</v>
      </c>
      <c r="C468">
        <v>2</v>
      </c>
      <c r="D468">
        <v>51</v>
      </c>
      <c r="E468" s="11" cm="1">
        <f t="array" ref="E468">_xlfn.XLOOKUP(fsales[[#This Row],[ProductID]],dProduct[[#All],[ProductID]],dProduct[[#All],[Price]])*fsales[[#This Row],[Units]]</f>
        <v>1527.45</v>
      </c>
      <c r="F468" s="11" t="str" cm="1">
        <f t="array" ref="F468">_xlfn.XLOOKUP(fsales[[#This Row],[ProductID]],dProduct[[#All],[ProductID]],dProduct[[#All],[Product]])</f>
        <v>Carlota</v>
      </c>
      <c r="G468" s="11" t="str" cm="1">
        <f t="array" ref="G468">_xlfn.XLOOKUP(fsales[[#This Row],[ProductID]],dProduct[[#All],[ProductID]],dProduct[[#All],[Supplier]])</f>
        <v>Gel Booms</v>
      </c>
      <c r="H468" s="11" t="str" cm="1">
        <f t="array" ref="H468">_xlfn.XLOOKUP(fsales[[#This Row],[SalesRepID]],dSalesRep[[#All],[SalesRepID]],dSalesRep[[#All],[Region]])</f>
        <v>CA</v>
      </c>
    </row>
    <row r="469" spans="1:8" x14ac:dyDescent="0.3">
      <c r="A469" s="1">
        <v>44532</v>
      </c>
      <c r="B469">
        <v>2</v>
      </c>
      <c r="C469">
        <v>2</v>
      </c>
      <c r="D469">
        <v>4</v>
      </c>
      <c r="E469" s="11" cm="1">
        <f t="array" ref="E469">_xlfn.XLOOKUP(fsales[[#This Row],[ProductID]],dProduct[[#All],[ProductID]],dProduct[[#All],[Price]])*fsales[[#This Row],[Units]]</f>
        <v>119.8</v>
      </c>
      <c r="F469" s="11" t="str" cm="1">
        <f t="array" ref="F469">_xlfn.XLOOKUP(fsales[[#This Row],[ProductID]],dProduct[[#All],[ProductID]],dProduct[[#All],[Product]])</f>
        <v>Carlota</v>
      </c>
      <c r="G469" s="11" t="str" cm="1">
        <f t="array" ref="G469">_xlfn.XLOOKUP(fsales[[#This Row],[ProductID]],dProduct[[#All],[ProductID]],dProduct[[#All],[Supplier]])</f>
        <v>Gel Booms</v>
      </c>
      <c r="H469" s="11" t="str" cm="1">
        <f t="array" ref="H469">_xlfn.XLOOKUP(fsales[[#This Row],[SalesRepID]],dSalesRep[[#All],[SalesRepID]],dSalesRep[[#All],[Region]])</f>
        <v>CA</v>
      </c>
    </row>
    <row r="470" spans="1:8" x14ac:dyDescent="0.3">
      <c r="A470" s="1">
        <v>45161</v>
      </c>
      <c r="B470">
        <v>2</v>
      </c>
      <c r="C470">
        <v>4</v>
      </c>
      <c r="D470">
        <v>160</v>
      </c>
      <c r="E470" s="11" cm="1">
        <f t="array" ref="E470">_xlfn.XLOOKUP(fsales[[#This Row],[ProductID]],dProduct[[#All],[ProductID]],dProduct[[#All],[Price]])*fsales[[#This Row],[Units]]</f>
        <v>4792</v>
      </c>
      <c r="F470" s="11" t="str" cm="1">
        <f t="array" ref="F470">_xlfn.XLOOKUP(fsales[[#This Row],[ProductID]],dProduct[[#All],[ProductID]],dProduct[[#All],[Product]])</f>
        <v>Carlota</v>
      </c>
      <c r="G470" s="11" t="str" cm="1">
        <f t="array" ref="G470">_xlfn.XLOOKUP(fsales[[#This Row],[ProductID]],dProduct[[#All],[ProductID]],dProduct[[#All],[Supplier]])</f>
        <v>Gel Booms</v>
      </c>
      <c r="H470" s="11" t="str" cm="1">
        <f t="array" ref="H470">_xlfn.XLOOKUP(fsales[[#This Row],[SalesRepID]],dSalesRep[[#All],[SalesRepID]],dSalesRep[[#All],[Region]])</f>
        <v>WA</v>
      </c>
    </row>
    <row r="471" spans="1:8" x14ac:dyDescent="0.3">
      <c r="A471" s="1">
        <v>44947</v>
      </c>
      <c r="B471">
        <v>2</v>
      </c>
      <c r="C471">
        <v>2</v>
      </c>
      <c r="D471">
        <v>291</v>
      </c>
      <c r="E471" s="11" cm="1">
        <f t="array" ref="E471">_xlfn.XLOOKUP(fsales[[#This Row],[ProductID]],dProduct[[#All],[ProductID]],dProduct[[#All],[Price]])*fsales[[#This Row],[Units]]</f>
        <v>8715.4499999999989</v>
      </c>
      <c r="F471" s="11" t="str" cm="1">
        <f t="array" ref="F471">_xlfn.XLOOKUP(fsales[[#This Row],[ProductID]],dProduct[[#All],[ProductID]],dProduct[[#All],[Product]])</f>
        <v>Carlota</v>
      </c>
      <c r="G471" s="11" t="str" cm="1">
        <f t="array" ref="G471">_xlfn.XLOOKUP(fsales[[#This Row],[ProductID]],dProduct[[#All],[ProductID]],dProduct[[#All],[Supplier]])</f>
        <v>Gel Booms</v>
      </c>
      <c r="H471" s="11" t="str" cm="1">
        <f t="array" ref="H471">_xlfn.XLOOKUP(fsales[[#This Row],[SalesRepID]],dSalesRep[[#All],[SalesRepID]],dSalesRep[[#All],[Region]])</f>
        <v>CA</v>
      </c>
    </row>
    <row r="472" spans="1:8" x14ac:dyDescent="0.3">
      <c r="A472" s="1">
        <v>44973</v>
      </c>
      <c r="B472">
        <v>4</v>
      </c>
      <c r="C472">
        <v>2</v>
      </c>
      <c r="D472">
        <v>68</v>
      </c>
      <c r="E472" s="11" cm="1">
        <f t="array" ref="E472">_xlfn.XLOOKUP(fsales[[#This Row],[ProductID]],dProduct[[#All],[ProductID]],dProduct[[#All],[Price]])*fsales[[#This Row],[Units]]</f>
        <v>1628.6</v>
      </c>
      <c r="F472" s="11" t="str" cm="1">
        <f t="array" ref="F472">_xlfn.XLOOKUP(fsales[[#This Row],[ProductID]],dProduct[[#All],[ProductID]],dProduct[[#All],[Product]])</f>
        <v>Yanaki</v>
      </c>
      <c r="G472" s="11" t="str" cm="1">
        <f t="array" ref="G472">_xlfn.XLOOKUP(fsales[[#This Row],[ProductID]],dProduct[[#All],[ProductID]],dProduct[[#All],[Supplier]])</f>
        <v>Colorado Booms</v>
      </c>
      <c r="H472" s="11" t="str" cm="1">
        <f t="array" ref="H472">_xlfn.XLOOKUP(fsales[[#This Row],[SalesRepID]],dSalesRep[[#All],[SalesRepID]],dSalesRep[[#All],[Region]])</f>
        <v>CA</v>
      </c>
    </row>
    <row r="473" spans="1:8" x14ac:dyDescent="0.3">
      <c r="A473" s="1">
        <v>44561</v>
      </c>
      <c r="B473">
        <v>1</v>
      </c>
      <c r="C473">
        <v>2</v>
      </c>
      <c r="D473">
        <v>4</v>
      </c>
      <c r="E473" s="11" cm="1">
        <f t="array" ref="E473">_xlfn.XLOOKUP(fsales[[#This Row],[ProductID]],dProduct[[#All],[ProductID]],dProduct[[#All],[Price]])*fsales[[#This Row],[Units]]</f>
        <v>175.8</v>
      </c>
      <c r="F473" s="11" t="str" cm="1">
        <f t="array" ref="F473">_xlfn.XLOOKUP(fsales[[#This Row],[ProductID]],dProduct[[#All],[ProductID]],dProduct[[#All],[Product]])</f>
        <v>Quad</v>
      </c>
      <c r="G473" s="11" t="str" cm="1">
        <f t="array" ref="G473">_xlfn.XLOOKUP(fsales[[#This Row],[ProductID]],dProduct[[#All],[ProductID]],dProduct[[#All],[Supplier]])</f>
        <v>Gel Booms</v>
      </c>
      <c r="H473" s="11" t="str" cm="1">
        <f t="array" ref="H473">_xlfn.XLOOKUP(fsales[[#This Row],[SalesRepID]],dSalesRep[[#All],[SalesRepID]],dSalesRep[[#All],[Region]])</f>
        <v>CA</v>
      </c>
    </row>
    <row r="474" spans="1:8" x14ac:dyDescent="0.3">
      <c r="A474" s="1">
        <v>44524</v>
      </c>
      <c r="B474">
        <v>3</v>
      </c>
      <c r="C474">
        <v>2</v>
      </c>
      <c r="D474">
        <v>292</v>
      </c>
      <c r="E474" s="11" cm="1">
        <f t="array" ref="E474">_xlfn.XLOOKUP(fsales[[#This Row],[ProductID]],dProduct[[#All],[ProductID]],dProduct[[#All],[Price]])*fsales[[#This Row],[Units]]</f>
        <v>7577.4</v>
      </c>
      <c r="F474" s="11" t="str" cm="1">
        <f t="array" ref="F474">_xlfn.XLOOKUP(fsales[[#This Row],[ProductID]],dProduct[[#All],[ProductID]],dProduct[[#All],[Product]])</f>
        <v>Aspen</v>
      </c>
      <c r="G474" s="11" t="str" cm="1">
        <f t="array" ref="G474">_xlfn.XLOOKUP(fsales[[#This Row],[ProductID]],dProduct[[#All],[ProductID]],dProduct[[#All],[Supplier]])</f>
        <v>Colorado Booms</v>
      </c>
      <c r="H474" s="11" t="str" cm="1">
        <f t="array" ref="H474">_xlfn.XLOOKUP(fsales[[#This Row],[SalesRepID]],dSalesRep[[#All],[SalesRepID]],dSalesRep[[#All],[Region]])</f>
        <v>CA</v>
      </c>
    </row>
    <row r="475" spans="1:8" x14ac:dyDescent="0.3">
      <c r="A475" s="1">
        <v>45257</v>
      </c>
      <c r="B475">
        <v>1</v>
      </c>
      <c r="C475">
        <v>4</v>
      </c>
      <c r="D475">
        <v>115</v>
      </c>
      <c r="E475" s="11" cm="1">
        <f t="array" ref="E475">_xlfn.XLOOKUP(fsales[[#This Row],[ProductID]],dProduct[[#All],[ProductID]],dProduct[[#All],[Price]])*fsales[[#This Row],[Units]]</f>
        <v>5054.25</v>
      </c>
      <c r="F475" s="11" t="str" cm="1">
        <f t="array" ref="F475">_xlfn.XLOOKUP(fsales[[#This Row],[ProductID]],dProduct[[#All],[ProductID]],dProduct[[#All],[Product]])</f>
        <v>Quad</v>
      </c>
      <c r="G475" s="11" t="str" cm="1">
        <f t="array" ref="G475">_xlfn.XLOOKUP(fsales[[#This Row],[ProductID]],dProduct[[#All],[ProductID]],dProduct[[#All],[Supplier]])</f>
        <v>Gel Booms</v>
      </c>
      <c r="H475" s="11" t="str" cm="1">
        <f t="array" ref="H475">_xlfn.XLOOKUP(fsales[[#This Row],[SalesRepID]],dSalesRep[[#All],[SalesRepID]],dSalesRep[[#All],[Region]])</f>
        <v>WA</v>
      </c>
    </row>
    <row r="476" spans="1:8" x14ac:dyDescent="0.3">
      <c r="A476" s="1">
        <v>44906</v>
      </c>
      <c r="B476">
        <v>3</v>
      </c>
      <c r="C476">
        <v>1</v>
      </c>
      <c r="D476">
        <v>82</v>
      </c>
      <c r="E476" s="11" cm="1">
        <f t="array" ref="E476">_xlfn.XLOOKUP(fsales[[#This Row],[ProductID]],dProduct[[#All],[ProductID]],dProduct[[#All],[Price]])*fsales[[#This Row],[Units]]</f>
        <v>2127.9</v>
      </c>
      <c r="F476" s="11" t="str" cm="1">
        <f t="array" ref="F476">_xlfn.XLOOKUP(fsales[[#This Row],[ProductID]],dProduct[[#All],[ProductID]],dProduct[[#All],[Product]])</f>
        <v>Aspen</v>
      </c>
      <c r="G476" s="11" t="str" cm="1">
        <f t="array" ref="G476">_xlfn.XLOOKUP(fsales[[#This Row],[ProductID]],dProduct[[#All],[ProductID]],dProduct[[#All],[Supplier]])</f>
        <v>Colorado Booms</v>
      </c>
      <c r="H476" s="11" t="str" cm="1">
        <f t="array" ref="H476">_xlfn.XLOOKUP(fsales[[#This Row],[SalesRepID]],dSalesRep[[#All],[SalesRepID]],dSalesRep[[#All],[Region]])</f>
        <v>CA</v>
      </c>
    </row>
    <row r="477" spans="1:8" x14ac:dyDescent="0.3">
      <c r="A477" s="1">
        <v>45205</v>
      </c>
      <c r="B477">
        <v>2</v>
      </c>
      <c r="C477">
        <v>4</v>
      </c>
      <c r="D477">
        <v>84</v>
      </c>
      <c r="E477" s="11" cm="1">
        <f t="array" ref="E477">_xlfn.XLOOKUP(fsales[[#This Row],[ProductID]],dProduct[[#All],[ProductID]],dProduct[[#All],[Price]])*fsales[[#This Row],[Units]]</f>
        <v>2515.7999999999997</v>
      </c>
      <c r="F477" s="11" t="str" cm="1">
        <f t="array" ref="F477">_xlfn.XLOOKUP(fsales[[#This Row],[ProductID]],dProduct[[#All],[ProductID]],dProduct[[#All],[Product]])</f>
        <v>Carlota</v>
      </c>
      <c r="G477" s="11" t="str" cm="1">
        <f t="array" ref="G477">_xlfn.XLOOKUP(fsales[[#This Row],[ProductID]],dProduct[[#All],[ProductID]],dProduct[[#All],[Supplier]])</f>
        <v>Gel Booms</v>
      </c>
      <c r="H477" s="11" t="str" cm="1">
        <f t="array" ref="H477">_xlfn.XLOOKUP(fsales[[#This Row],[SalesRepID]],dSalesRep[[#All],[SalesRepID]],dSalesRep[[#All],[Region]])</f>
        <v>WA</v>
      </c>
    </row>
    <row r="478" spans="1:8" x14ac:dyDescent="0.3">
      <c r="A478" s="1">
        <v>45170</v>
      </c>
      <c r="B478">
        <v>2</v>
      </c>
      <c r="C478">
        <v>4</v>
      </c>
      <c r="D478">
        <v>5</v>
      </c>
      <c r="E478" s="11" cm="1">
        <f t="array" ref="E478">_xlfn.XLOOKUP(fsales[[#This Row],[ProductID]],dProduct[[#All],[ProductID]],dProduct[[#All],[Price]])*fsales[[#This Row],[Units]]</f>
        <v>149.75</v>
      </c>
      <c r="F478" s="11" t="str" cm="1">
        <f t="array" ref="F478">_xlfn.XLOOKUP(fsales[[#This Row],[ProductID]],dProduct[[#All],[ProductID]],dProduct[[#All],[Product]])</f>
        <v>Carlota</v>
      </c>
      <c r="G478" s="11" t="str" cm="1">
        <f t="array" ref="G478">_xlfn.XLOOKUP(fsales[[#This Row],[ProductID]],dProduct[[#All],[ProductID]],dProduct[[#All],[Supplier]])</f>
        <v>Gel Booms</v>
      </c>
      <c r="H478" s="11" t="str" cm="1">
        <f t="array" ref="H478">_xlfn.XLOOKUP(fsales[[#This Row],[SalesRepID]],dSalesRep[[#All],[SalesRepID]],dSalesRep[[#All],[Region]])</f>
        <v>WA</v>
      </c>
    </row>
    <row r="479" spans="1:8" x14ac:dyDescent="0.3">
      <c r="A479" s="1">
        <v>44544</v>
      </c>
      <c r="B479">
        <v>4</v>
      </c>
      <c r="C479">
        <v>2</v>
      </c>
      <c r="D479">
        <v>99</v>
      </c>
      <c r="E479" s="11" cm="1">
        <f t="array" ref="E479">_xlfn.XLOOKUP(fsales[[#This Row],[ProductID]],dProduct[[#All],[ProductID]],dProduct[[#All],[Price]])*fsales[[#This Row],[Units]]</f>
        <v>2371.0499999999997</v>
      </c>
      <c r="F479" s="11" t="str" cm="1">
        <f t="array" ref="F479">_xlfn.XLOOKUP(fsales[[#This Row],[ProductID]],dProduct[[#All],[ProductID]],dProduct[[#All],[Product]])</f>
        <v>Yanaki</v>
      </c>
      <c r="G479" s="11" t="str" cm="1">
        <f t="array" ref="G479">_xlfn.XLOOKUP(fsales[[#This Row],[ProductID]],dProduct[[#All],[ProductID]],dProduct[[#All],[Supplier]])</f>
        <v>Colorado Booms</v>
      </c>
      <c r="H479" s="11" t="str" cm="1">
        <f t="array" ref="H479">_xlfn.XLOOKUP(fsales[[#This Row],[SalesRepID]],dSalesRep[[#All],[SalesRepID]],dSalesRep[[#All],[Region]])</f>
        <v>CA</v>
      </c>
    </row>
    <row r="480" spans="1:8" x14ac:dyDescent="0.3">
      <c r="A480" s="1">
        <v>45205</v>
      </c>
      <c r="B480">
        <v>1</v>
      </c>
      <c r="C480">
        <v>2</v>
      </c>
      <c r="D480">
        <v>209</v>
      </c>
      <c r="E480" s="11" cm="1">
        <f t="array" ref="E480">_xlfn.XLOOKUP(fsales[[#This Row],[ProductID]],dProduct[[#All],[ProductID]],dProduct[[#All],[Price]])*fsales[[#This Row],[Units]]</f>
        <v>9185.5500000000011</v>
      </c>
      <c r="F480" s="11" t="str" cm="1">
        <f t="array" ref="F480">_xlfn.XLOOKUP(fsales[[#This Row],[ProductID]],dProduct[[#All],[ProductID]],dProduct[[#All],[Product]])</f>
        <v>Quad</v>
      </c>
      <c r="G480" s="11" t="str" cm="1">
        <f t="array" ref="G480">_xlfn.XLOOKUP(fsales[[#This Row],[ProductID]],dProduct[[#All],[ProductID]],dProduct[[#All],[Supplier]])</f>
        <v>Gel Booms</v>
      </c>
      <c r="H480" s="11" t="str" cm="1">
        <f t="array" ref="H480">_xlfn.XLOOKUP(fsales[[#This Row],[SalesRepID]],dSalesRep[[#All],[SalesRepID]],dSalesRep[[#All],[Region]])</f>
        <v>CA</v>
      </c>
    </row>
    <row r="481" spans="1:8" x14ac:dyDescent="0.3">
      <c r="A481" s="1">
        <v>45174</v>
      </c>
      <c r="B481">
        <v>2</v>
      </c>
      <c r="C481">
        <v>4</v>
      </c>
      <c r="D481">
        <v>51</v>
      </c>
      <c r="E481" s="11" cm="1">
        <f t="array" ref="E481">_xlfn.XLOOKUP(fsales[[#This Row],[ProductID]],dProduct[[#All],[ProductID]],dProduct[[#All],[Price]])*fsales[[#This Row],[Units]]</f>
        <v>1527.45</v>
      </c>
      <c r="F481" s="11" t="str" cm="1">
        <f t="array" ref="F481">_xlfn.XLOOKUP(fsales[[#This Row],[ProductID]],dProduct[[#All],[ProductID]],dProduct[[#All],[Product]])</f>
        <v>Carlota</v>
      </c>
      <c r="G481" s="11" t="str" cm="1">
        <f t="array" ref="G481">_xlfn.XLOOKUP(fsales[[#This Row],[ProductID]],dProduct[[#All],[ProductID]],dProduct[[#All],[Supplier]])</f>
        <v>Gel Booms</v>
      </c>
      <c r="H481" s="11" t="str" cm="1">
        <f t="array" ref="H481">_xlfn.XLOOKUP(fsales[[#This Row],[SalesRepID]],dSalesRep[[#All],[SalesRepID]],dSalesRep[[#All],[Region]])</f>
        <v>WA</v>
      </c>
    </row>
    <row r="482" spans="1:8" x14ac:dyDescent="0.3">
      <c r="A482" s="1">
        <v>44443</v>
      </c>
      <c r="B482">
        <v>2</v>
      </c>
      <c r="C482">
        <v>2</v>
      </c>
      <c r="D482">
        <v>203</v>
      </c>
      <c r="E482" s="11" cm="1">
        <f t="array" ref="E482">_xlfn.XLOOKUP(fsales[[#This Row],[ProductID]],dProduct[[#All],[ProductID]],dProduct[[#All],[Price]])*fsales[[#This Row],[Units]]</f>
        <v>6079.8499999999995</v>
      </c>
      <c r="F482" s="11" t="str" cm="1">
        <f t="array" ref="F482">_xlfn.XLOOKUP(fsales[[#This Row],[ProductID]],dProduct[[#All],[ProductID]],dProduct[[#All],[Product]])</f>
        <v>Carlota</v>
      </c>
      <c r="G482" s="11" t="str" cm="1">
        <f t="array" ref="G482">_xlfn.XLOOKUP(fsales[[#This Row],[ProductID]],dProduct[[#All],[ProductID]],dProduct[[#All],[Supplier]])</f>
        <v>Gel Booms</v>
      </c>
      <c r="H482" s="11" t="str" cm="1">
        <f t="array" ref="H482">_xlfn.XLOOKUP(fsales[[#This Row],[SalesRepID]],dSalesRep[[#All],[SalesRepID]],dSalesRep[[#All],[Region]])</f>
        <v>CA</v>
      </c>
    </row>
    <row r="483" spans="1:8" x14ac:dyDescent="0.3">
      <c r="A483" s="1">
        <v>44539</v>
      </c>
      <c r="B483">
        <v>1</v>
      </c>
      <c r="C483">
        <v>4</v>
      </c>
      <c r="D483">
        <v>69</v>
      </c>
      <c r="E483" s="11" cm="1">
        <f t="array" ref="E483">_xlfn.XLOOKUP(fsales[[#This Row],[ProductID]],dProduct[[#All],[ProductID]],dProduct[[#All],[Price]])*fsales[[#This Row],[Units]]</f>
        <v>3032.55</v>
      </c>
      <c r="F483" s="11" t="str" cm="1">
        <f t="array" ref="F483">_xlfn.XLOOKUP(fsales[[#This Row],[ProductID]],dProduct[[#All],[ProductID]],dProduct[[#All],[Product]])</f>
        <v>Quad</v>
      </c>
      <c r="G483" s="11" t="str" cm="1">
        <f t="array" ref="G483">_xlfn.XLOOKUP(fsales[[#This Row],[ProductID]],dProduct[[#All],[ProductID]],dProduct[[#All],[Supplier]])</f>
        <v>Gel Booms</v>
      </c>
      <c r="H483" s="11" t="str" cm="1">
        <f t="array" ref="H483">_xlfn.XLOOKUP(fsales[[#This Row],[SalesRepID]],dSalesRep[[#All],[SalesRepID]],dSalesRep[[#All],[Region]])</f>
        <v>WA</v>
      </c>
    </row>
    <row r="484" spans="1:8" x14ac:dyDescent="0.3">
      <c r="A484" s="1">
        <v>44495</v>
      </c>
      <c r="B484">
        <v>2</v>
      </c>
      <c r="C484">
        <v>2</v>
      </c>
      <c r="D484">
        <v>2</v>
      </c>
      <c r="E484" s="11" cm="1">
        <f t="array" ref="E484">_xlfn.XLOOKUP(fsales[[#This Row],[ProductID]],dProduct[[#All],[ProductID]],dProduct[[#All],[Price]])*fsales[[#This Row],[Units]]</f>
        <v>59.9</v>
      </c>
      <c r="F484" s="11" t="str" cm="1">
        <f t="array" ref="F484">_xlfn.XLOOKUP(fsales[[#This Row],[ProductID]],dProduct[[#All],[ProductID]],dProduct[[#All],[Product]])</f>
        <v>Carlota</v>
      </c>
      <c r="G484" s="11" t="str" cm="1">
        <f t="array" ref="G484">_xlfn.XLOOKUP(fsales[[#This Row],[ProductID]],dProduct[[#All],[ProductID]],dProduct[[#All],[Supplier]])</f>
        <v>Gel Booms</v>
      </c>
      <c r="H484" s="11" t="str" cm="1">
        <f t="array" ref="H484">_xlfn.XLOOKUP(fsales[[#This Row],[SalesRepID]],dSalesRep[[#All],[SalesRepID]],dSalesRep[[#All],[Region]])</f>
        <v>CA</v>
      </c>
    </row>
    <row r="485" spans="1:8" x14ac:dyDescent="0.3">
      <c r="A485" s="1">
        <v>44514</v>
      </c>
      <c r="B485">
        <v>2</v>
      </c>
      <c r="C485">
        <v>2</v>
      </c>
      <c r="D485">
        <v>6</v>
      </c>
      <c r="E485" s="11" cm="1">
        <f t="array" ref="E485">_xlfn.XLOOKUP(fsales[[#This Row],[ProductID]],dProduct[[#All],[ProductID]],dProduct[[#All],[Price]])*fsales[[#This Row],[Units]]</f>
        <v>179.7</v>
      </c>
      <c r="F485" s="11" t="str" cm="1">
        <f t="array" ref="F485">_xlfn.XLOOKUP(fsales[[#This Row],[ProductID]],dProduct[[#All],[ProductID]],dProduct[[#All],[Product]])</f>
        <v>Carlota</v>
      </c>
      <c r="G485" s="11" t="str" cm="1">
        <f t="array" ref="G485">_xlfn.XLOOKUP(fsales[[#This Row],[ProductID]],dProduct[[#All],[ProductID]],dProduct[[#All],[Supplier]])</f>
        <v>Gel Booms</v>
      </c>
      <c r="H485" s="11" t="str" cm="1">
        <f t="array" ref="H485">_xlfn.XLOOKUP(fsales[[#This Row],[SalesRepID]],dSalesRep[[#All],[SalesRepID]],dSalesRep[[#All],[Region]])</f>
        <v>CA</v>
      </c>
    </row>
    <row r="486" spans="1:8" x14ac:dyDescent="0.3">
      <c r="A486" s="1">
        <v>44479</v>
      </c>
      <c r="B486">
        <v>3</v>
      </c>
      <c r="C486">
        <v>4</v>
      </c>
      <c r="D486">
        <v>5</v>
      </c>
      <c r="E486" s="11" cm="1">
        <f t="array" ref="E486">_xlfn.XLOOKUP(fsales[[#This Row],[ProductID]],dProduct[[#All],[ProductID]],dProduct[[#All],[Price]])*fsales[[#This Row],[Units]]</f>
        <v>129.75</v>
      </c>
      <c r="F486" s="11" t="str" cm="1">
        <f t="array" ref="F486">_xlfn.XLOOKUP(fsales[[#This Row],[ProductID]],dProduct[[#All],[ProductID]],dProduct[[#All],[Product]])</f>
        <v>Aspen</v>
      </c>
      <c r="G486" s="11" t="str" cm="1">
        <f t="array" ref="G486">_xlfn.XLOOKUP(fsales[[#This Row],[ProductID]],dProduct[[#All],[ProductID]],dProduct[[#All],[Supplier]])</f>
        <v>Colorado Booms</v>
      </c>
      <c r="H486" s="11" t="str" cm="1">
        <f t="array" ref="H486">_xlfn.XLOOKUP(fsales[[#This Row],[SalesRepID]],dSalesRep[[#All],[SalesRepID]],dSalesRep[[#All],[Region]])</f>
        <v>WA</v>
      </c>
    </row>
    <row r="487" spans="1:8" x14ac:dyDescent="0.3">
      <c r="A487" s="1">
        <v>44404</v>
      </c>
      <c r="B487">
        <v>1</v>
      </c>
      <c r="C487">
        <v>3</v>
      </c>
      <c r="D487">
        <v>17</v>
      </c>
      <c r="E487" s="11" cm="1">
        <f t="array" ref="E487">_xlfn.XLOOKUP(fsales[[#This Row],[ProductID]],dProduct[[#All],[ProductID]],dProduct[[#All],[Price]])*fsales[[#This Row],[Units]]</f>
        <v>747.15000000000009</v>
      </c>
      <c r="F487" s="11" t="str" cm="1">
        <f t="array" ref="F487">_xlfn.XLOOKUP(fsales[[#This Row],[ProductID]],dProduct[[#All],[ProductID]],dProduct[[#All],[Product]])</f>
        <v>Quad</v>
      </c>
      <c r="G487" s="11" t="str" cm="1">
        <f t="array" ref="G487">_xlfn.XLOOKUP(fsales[[#This Row],[ProductID]],dProduct[[#All],[ProductID]],dProduct[[#All],[Supplier]])</f>
        <v>Gel Booms</v>
      </c>
      <c r="H487" s="11" t="str" cm="1">
        <f t="array" ref="H487">_xlfn.XLOOKUP(fsales[[#This Row],[SalesRepID]],dSalesRep[[#All],[SalesRepID]],dSalesRep[[#All],[Region]])</f>
        <v>WA</v>
      </c>
    </row>
    <row r="488" spans="1:8" x14ac:dyDescent="0.3">
      <c r="A488" s="1">
        <v>44803</v>
      </c>
      <c r="B488">
        <v>2</v>
      </c>
      <c r="C488">
        <v>2</v>
      </c>
      <c r="D488">
        <v>102</v>
      </c>
      <c r="E488" s="11" cm="1">
        <f t="array" ref="E488">_xlfn.XLOOKUP(fsales[[#This Row],[ProductID]],dProduct[[#All],[ProductID]],dProduct[[#All],[Price]])*fsales[[#This Row],[Units]]</f>
        <v>3054.9</v>
      </c>
      <c r="F488" s="11" t="str" cm="1">
        <f t="array" ref="F488">_xlfn.XLOOKUP(fsales[[#This Row],[ProductID]],dProduct[[#All],[ProductID]],dProduct[[#All],[Product]])</f>
        <v>Carlota</v>
      </c>
      <c r="G488" s="11" t="str" cm="1">
        <f t="array" ref="G488">_xlfn.XLOOKUP(fsales[[#This Row],[ProductID]],dProduct[[#All],[ProductID]],dProduct[[#All],[Supplier]])</f>
        <v>Gel Booms</v>
      </c>
      <c r="H488" s="11" t="str" cm="1">
        <f t="array" ref="H488">_xlfn.XLOOKUP(fsales[[#This Row],[SalesRepID]],dSalesRep[[#All],[SalesRepID]],dSalesRep[[#All],[Region]])</f>
        <v>CA</v>
      </c>
    </row>
    <row r="489" spans="1:8" x14ac:dyDescent="0.3">
      <c r="A489" s="1">
        <v>45265</v>
      </c>
      <c r="B489">
        <v>2</v>
      </c>
      <c r="C489">
        <v>2</v>
      </c>
      <c r="D489">
        <v>5</v>
      </c>
      <c r="E489" s="11" cm="1">
        <f t="array" ref="E489">_xlfn.XLOOKUP(fsales[[#This Row],[ProductID]],dProduct[[#All],[ProductID]],dProduct[[#All],[Price]])*fsales[[#This Row],[Units]]</f>
        <v>149.75</v>
      </c>
      <c r="F489" s="11" t="str" cm="1">
        <f t="array" ref="F489">_xlfn.XLOOKUP(fsales[[#This Row],[ProductID]],dProduct[[#All],[ProductID]],dProduct[[#All],[Product]])</f>
        <v>Carlota</v>
      </c>
      <c r="G489" s="11" t="str" cm="1">
        <f t="array" ref="G489">_xlfn.XLOOKUP(fsales[[#This Row],[ProductID]],dProduct[[#All],[ProductID]],dProduct[[#All],[Supplier]])</f>
        <v>Gel Booms</v>
      </c>
      <c r="H489" s="11" t="str" cm="1">
        <f t="array" ref="H489">_xlfn.XLOOKUP(fsales[[#This Row],[SalesRepID]],dSalesRep[[#All],[SalesRepID]],dSalesRep[[#All],[Region]])</f>
        <v>CA</v>
      </c>
    </row>
    <row r="490" spans="1:8" x14ac:dyDescent="0.3">
      <c r="A490" s="1">
        <v>44722</v>
      </c>
      <c r="B490">
        <v>2</v>
      </c>
      <c r="C490">
        <v>2</v>
      </c>
      <c r="D490">
        <v>1</v>
      </c>
      <c r="E490" s="11" cm="1">
        <f t="array" ref="E490">_xlfn.XLOOKUP(fsales[[#This Row],[ProductID]],dProduct[[#All],[ProductID]],dProduct[[#All],[Price]])*fsales[[#This Row],[Units]]</f>
        <v>29.95</v>
      </c>
      <c r="F490" s="11" t="str" cm="1">
        <f t="array" ref="F490">_xlfn.XLOOKUP(fsales[[#This Row],[ProductID]],dProduct[[#All],[ProductID]],dProduct[[#All],[Product]])</f>
        <v>Carlota</v>
      </c>
      <c r="G490" s="11" t="str" cm="1">
        <f t="array" ref="G490">_xlfn.XLOOKUP(fsales[[#This Row],[ProductID]],dProduct[[#All],[ProductID]],dProduct[[#All],[Supplier]])</f>
        <v>Gel Booms</v>
      </c>
      <c r="H490" s="11" t="str" cm="1">
        <f t="array" ref="H490">_xlfn.XLOOKUP(fsales[[#This Row],[SalesRepID]],dSalesRep[[#All],[SalesRepID]],dSalesRep[[#All],[Region]])</f>
        <v>CA</v>
      </c>
    </row>
    <row r="491" spans="1:8" x14ac:dyDescent="0.3">
      <c r="A491" s="1">
        <v>45285</v>
      </c>
      <c r="B491">
        <v>1</v>
      </c>
      <c r="C491">
        <v>2</v>
      </c>
      <c r="D491">
        <v>56</v>
      </c>
      <c r="E491" s="11" cm="1">
        <f t="array" ref="E491">_xlfn.XLOOKUP(fsales[[#This Row],[ProductID]],dProduct[[#All],[ProductID]],dProduct[[#All],[Price]])*fsales[[#This Row],[Units]]</f>
        <v>2461.2000000000003</v>
      </c>
      <c r="F491" s="11" t="str" cm="1">
        <f t="array" ref="F491">_xlfn.XLOOKUP(fsales[[#This Row],[ProductID]],dProduct[[#All],[ProductID]],dProduct[[#All],[Product]])</f>
        <v>Quad</v>
      </c>
      <c r="G491" s="11" t="str" cm="1">
        <f t="array" ref="G491">_xlfn.XLOOKUP(fsales[[#This Row],[ProductID]],dProduct[[#All],[ProductID]],dProduct[[#All],[Supplier]])</f>
        <v>Gel Booms</v>
      </c>
      <c r="H491" s="11" t="str" cm="1">
        <f t="array" ref="H491">_xlfn.XLOOKUP(fsales[[#This Row],[SalesRepID]],dSalesRep[[#All],[SalesRepID]],dSalesRep[[#All],[Region]])</f>
        <v>CA</v>
      </c>
    </row>
    <row r="492" spans="1:8" x14ac:dyDescent="0.3">
      <c r="A492" s="1">
        <v>44476</v>
      </c>
      <c r="B492">
        <v>2</v>
      </c>
      <c r="C492">
        <v>4</v>
      </c>
      <c r="D492">
        <v>86</v>
      </c>
      <c r="E492" s="11" cm="1">
        <f t="array" ref="E492">_xlfn.XLOOKUP(fsales[[#This Row],[ProductID]],dProduct[[#All],[ProductID]],dProduct[[#All],[Price]])*fsales[[#This Row],[Units]]</f>
        <v>2575.6999999999998</v>
      </c>
      <c r="F492" s="11" t="str" cm="1">
        <f t="array" ref="F492">_xlfn.XLOOKUP(fsales[[#This Row],[ProductID]],dProduct[[#All],[ProductID]],dProduct[[#All],[Product]])</f>
        <v>Carlota</v>
      </c>
      <c r="G492" s="11" t="str" cm="1">
        <f t="array" ref="G492">_xlfn.XLOOKUP(fsales[[#This Row],[ProductID]],dProduct[[#All],[ProductID]],dProduct[[#All],[Supplier]])</f>
        <v>Gel Booms</v>
      </c>
      <c r="H492" s="11" t="str" cm="1">
        <f t="array" ref="H492">_xlfn.XLOOKUP(fsales[[#This Row],[SalesRepID]],dSalesRep[[#All],[SalesRepID]],dSalesRep[[#All],[Region]])</f>
        <v>WA</v>
      </c>
    </row>
    <row r="493" spans="1:8" x14ac:dyDescent="0.3">
      <c r="A493" s="1">
        <v>44397</v>
      </c>
      <c r="B493">
        <v>2</v>
      </c>
      <c r="C493">
        <v>4</v>
      </c>
      <c r="D493">
        <v>110</v>
      </c>
      <c r="E493" s="11" cm="1">
        <f t="array" ref="E493">_xlfn.XLOOKUP(fsales[[#This Row],[ProductID]],dProduct[[#All],[ProductID]],dProduct[[#All],[Price]])*fsales[[#This Row],[Units]]</f>
        <v>3294.5</v>
      </c>
      <c r="F493" s="11" t="str" cm="1">
        <f t="array" ref="F493">_xlfn.XLOOKUP(fsales[[#This Row],[ProductID]],dProduct[[#All],[ProductID]],dProduct[[#All],[Product]])</f>
        <v>Carlota</v>
      </c>
      <c r="G493" s="11" t="str" cm="1">
        <f t="array" ref="G493">_xlfn.XLOOKUP(fsales[[#This Row],[ProductID]],dProduct[[#All],[ProductID]],dProduct[[#All],[Supplier]])</f>
        <v>Gel Booms</v>
      </c>
      <c r="H493" s="11" t="str" cm="1">
        <f t="array" ref="H493">_xlfn.XLOOKUP(fsales[[#This Row],[SalesRepID]],dSalesRep[[#All],[SalesRepID]],dSalesRep[[#All],[Region]])</f>
        <v>WA</v>
      </c>
    </row>
    <row r="494" spans="1:8" x14ac:dyDescent="0.3">
      <c r="A494" s="1">
        <v>44871</v>
      </c>
      <c r="B494">
        <v>1</v>
      </c>
      <c r="C494">
        <v>2</v>
      </c>
      <c r="D494">
        <v>6</v>
      </c>
      <c r="E494" s="11" cm="1">
        <f t="array" ref="E494">_xlfn.XLOOKUP(fsales[[#This Row],[ProductID]],dProduct[[#All],[ProductID]],dProduct[[#All],[Price]])*fsales[[#This Row],[Units]]</f>
        <v>263.70000000000005</v>
      </c>
      <c r="F494" s="11" t="str" cm="1">
        <f t="array" ref="F494">_xlfn.XLOOKUP(fsales[[#This Row],[ProductID]],dProduct[[#All],[ProductID]],dProduct[[#All],[Product]])</f>
        <v>Quad</v>
      </c>
      <c r="G494" s="11" t="str" cm="1">
        <f t="array" ref="G494">_xlfn.XLOOKUP(fsales[[#This Row],[ProductID]],dProduct[[#All],[ProductID]],dProduct[[#All],[Supplier]])</f>
        <v>Gel Booms</v>
      </c>
      <c r="H494" s="11" t="str" cm="1">
        <f t="array" ref="H494">_xlfn.XLOOKUP(fsales[[#This Row],[SalesRepID]],dSalesRep[[#All],[SalesRepID]],dSalesRep[[#All],[Region]])</f>
        <v>CA</v>
      </c>
    </row>
    <row r="495" spans="1:8" x14ac:dyDescent="0.3">
      <c r="A495" s="1">
        <v>45048</v>
      </c>
      <c r="B495">
        <v>2</v>
      </c>
      <c r="C495">
        <v>4</v>
      </c>
      <c r="D495">
        <v>128</v>
      </c>
      <c r="E495" s="11" cm="1">
        <f t="array" ref="E495">_xlfn.XLOOKUP(fsales[[#This Row],[ProductID]],dProduct[[#All],[ProductID]],dProduct[[#All],[Price]])*fsales[[#This Row],[Units]]</f>
        <v>3833.6</v>
      </c>
      <c r="F495" s="11" t="str" cm="1">
        <f t="array" ref="F495">_xlfn.XLOOKUP(fsales[[#This Row],[ProductID]],dProduct[[#All],[ProductID]],dProduct[[#All],[Product]])</f>
        <v>Carlota</v>
      </c>
      <c r="G495" s="11" t="str" cm="1">
        <f t="array" ref="G495">_xlfn.XLOOKUP(fsales[[#This Row],[ProductID]],dProduct[[#All],[ProductID]],dProduct[[#All],[Supplier]])</f>
        <v>Gel Booms</v>
      </c>
      <c r="H495" s="11" t="str" cm="1">
        <f t="array" ref="H495">_xlfn.XLOOKUP(fsales[[#This Row],[SalesRepID]],dSalesRep[[#All],[SalesRepID]],dSalesRep[[#All],[Region]])</f>
        <v>WA</v>
      </c>
    </row>
    <row r="496" spans="1:8" x14ac:dyDescent="0.3">
      <c r="A496" s="1">
        <v>44552</v>
      </c>
      <c r="B496">
        <v>2</v>
      </c>
      <c r="C496">
        <v>4</v>
      </c>
      <c r="D496">
        <v>124</v>
      </c>
      <c r="E496" s="11" cm="1">
        <f t="array" ref="E496">_xlfn.XLOOKUP(fsales[[#This Row],[ProductID]],dProduct[[#All],[ProductID]],dProduct[[#All],[Price]])*fsales[[#This Row],[Units]]</f>
        <v>3713.7999999999997</v>
      </c>
      <c r="F496" s="11" t="str" cm="1">
        <f t="array" ref="F496">_xlfn.XLOOKUP(fsales[[#This Row],[ProductID]],dProduct[[#All],[ProductID]],dProduct[[#All],[Product]])</f>
        <v>Carlota</v>
      </c>
      <c r="G496" s="11" t="str" cm="1">
        <f t="array" ref="G496">_xlfn.XLOOKUP(fsales[[#This Row],[ProductID]],dProduct[[#All],[ProductID]],dProduct[[#All],[Supplier]])</f>
        <v>Gel Booms</v>
      </c>
      <c r="H496" s="11" t="str" cm="1">
        <f t="array" ref="H496">_xlfn.XLOOKUP(fsales[[#This Row],[SalesRepID]],dSalesRep[[#All],[SalesRepID]],dSalesRep[[#All],[Region]])</f>
        <v>WA</v>
      </c>
    </row>
    <row r="497" spans="1:8" x14ac:dyDescent="0.3">
      <c r="A497" s="1">
        <v>44525</v>
      </c>
      <c r="B497">
        <v>2</v>
      </c>
      <c r="C497">
        <v>2</v>
      </c>
      <c r="D497">
        <v>100</v>
      </c>
      <c r="E497" s="11" cm="1">
        <f t="array" ref="E497">_xlfn.XLOOKUP(fsales[[#This Row],[ProductID]],dProduct[[#All],[ProductID]],dProduct[[#All],[Price]])*fsales[[#This Row],[Units]]</f>
        <v>2995</v>
      </c>
      <c r="F497" s="11" t="str" cm="1">
        <f t="array" ref="F497">_xlfn.XLOOKUP(fsales[[#This Row],[ProductID]],dProduct[[#All],[ProductID]],dProduct[[#All],[Product]])</f>
        <v>Carlota</v>
      </c>
      <c r="G497" s="11" t="str" cm="1">
        <f t="array" ref="G497">_xlfn.XLOOKUP(fsales[[#This Row],[ProductID]],dProduct[[#All],[ProductID]],dProduct[[#All],[Supplier]])</f>
        <v>Gel Booms</v>
      </c>
      <c r="H497" s="11" t="str" cm="1">
        <f t="array" ref="H497">_xlfn.XLOOKUP(fsales[[#This Row],[SalesRepID]],dSalesRep[[#All],[SalesRepID]],dSalesRep[[#All],[Region]])</f>
        <v>CA</v>
      </c>
    </row>
    <row r="498" spans="1:8" x14ac:dyDescent="0.3">
      <c r="A498" s="1">
        <v>44292</v>
      </c>
      <c r="B498">
        <v>1</v>
      </c>
      <c r="C498">
        <v>2</v>
      </c>
      <c r="D498">
        <v>5</v>
      </c>
      <c r="E498" s="11" cm="1">
        <f t="array" ref="E498">_xlfn.XLOOKUP(fsales[[#This Row],[ProductID]],dProduct[[#All],[ProductID]],dProduct[[#All],[Price]])*fsales[[#This Row],[Units]]</f>
        <v>219.75</v>
      </c>
      <c r="F498" s="11" t="str" cm="1">
        <f t="array" ref="F498">_xlfn.XLOOKUP(fsales[[#This Row],[ProductID]],dProduct[[#All],[ProductID]],dProduct[[#All],[Product]])</f>
        <v>Quad</v>
      </c>
      <c r="G498" s="11" t="str" cm="1">
        <f t="array" ref="G498">_xlfn.XLOOKUP(fsales[[#This Row],[ProductID]],dProduct[[#All],[ProductID]],dProduct[[#All],[Supplier]])</f>
        <v>Gel Booms</v>
      </c>
      <c r="H498" s="11" t="str" cm="1">
        <f t="array" ref="H498">_xlfn.XLOOKUP(fsales[[#This Row],[SalesRepID]],dSalesRep[[#All],[SalesRepID]],dSalesRep[[#All],[Region]])</f>
        <v>CA</v>
      </c>
    </row>
    <row r="499" spans="1:8" x14ac:dyDescent="0.3">
      <c r="A499" s="1">
        <v>44873</v>
      </c>
      <c r="B499">
        <v>2</v>
      </c>
      <c r="C499">
        <v>4</v>
      </c>
      <c r="D499">
        <v>97</v>
      </c>
      <c r="E499" s="11" cm="1">
        <f t="array" ref="E499">_xlfn.XLOOKUP(fsales[[#This Row],[ProductID]],dProduct[[#All],[ProductID]],dProduct[[#All],[Price]])*fsales[[#This Row],[Units]]</f>
        <v>2905.15</v>
      </c>
      <c r="F499" s="11" t="str" cm="1">
        <f t="array" ref="F499">_xlfn.XLOOKUP(fsales[[#This Row],[ProductID]],dProduct[[#All],[ProductID]],dProduct[[#All],[Product]])</f>
        <v>Carlota</v>
      </c>
      <c r="G499" s="11" t="str" cm="1">
        <f t="array" ref="G499">_xlfn.XLOOKUP(fsales[[#This Row],[ProductID]],dProduct[[#All],[ProductID]],dProduct[[#All],[Supplier]])</f>
        <v>Gel Booms</v>
      </c>
      <c r="H499" s="11" t="str" cm="1">
        <f t="array" ref="H499">_xlfn.XLOOKUP(fsales[[#This Row],[SalesRepID]],dSalesRep[[#All],[SalesRepID]],dSalesRep[[#All],[Region]])</f>
        <v>WA</v>
      </c>
    </row>
    <row r="500" spans="1:8" x14ac:dyDescent="0.3">
      <c r="A500" s="1">
        <v>44803</v>
      </c>
      <c r="B500">
        <v>3</v>
      </c>
      <c r="C500">
        <v>2</v>
      </c>
      <c r="D500">
        <v>65</v>
      </c>
      <c r="E500" s="11" cm="1">
        <f t="array" ref="E500">_xlfn.XLOOKUP(fsales[[#This Row],[ProductID]],dProduct[[#All],[ProductID]],dProduct[[#All],[Price]])*fsales[[#This Row],[Units]]</f>
        <v>1686.75</v>
      </c>
      <c r="F500" s="11" t="str" cm="1">
        <f t="array" ref="F500">_xlfn.XLOOKUP(fsales[[#This Row],[ProductID]],dProduct[[#All],[ProductID]],dProduct[[#All],[Product]])</f>
        <v>Aspen</v>
      </c>
      <c r="G500" s="11" t="str" cm="1">
        <f t="array" ref="G500">_xlfn.XLOOKUP(fsales[[#This Row],[ProductID]],dProduct[[#All],[ProductID]],dProduct[[#All],[Supplier]])</f>
        <v>Colorado Booms</v>
      </c>
      <c r="H500" s="11" t="str" cm="1">
        <f t="array" ref="H500">_xlfn.XLOOKUP(fsales[[#This Row],[SalesRepID]],dSalesRep[[#All],[SalesRepID]],dSalesRep[[#All],[Region]])</f>
        <v>CA</v>
      </c>
    </row>
    <row r="501" spans="1:8" x14ac:dyDescent="0.3">
      <c r="A501" s="1">
        <v>44712</v>
      </c>
      <c r="B501">
        <v>2</v>
      </c>
      <c r="C501">
        <v>4</v>
      </c>
      <c r="D501">
        <v>293</v>
      </c>
      <c r="E501" s="11" cm="1">
        <f t="array" ref="E501">_xlfn.XLOOKUP(fsales[[#This Row],[ProductID]],dProduct[[#All],[ProductID]],dProduct[[#All],[Price]])*fsales[[#This Row],[Units]]</f>
        <v>8775.35</v>
      </c>
      <c r="F501" s="11" t="str" cm="1">
        <f t="array" ref="F501">_xlfn.XLOOKUP(fsales[[#This Row],[ProductID]],dProduct[[#All],[ProductID]],dProduct[[#All],[Product]])</f>
        <v>Carlota</v>
      </c>
      <c r="G501" s="11" t="str" cm="1">
        <f t="array" ref="G501">_xlfn.XLOOKUP(fsales[[#This Row],[ProductID]],dProduct[[#All],[ProductID]],dProduct[[#All],[Supplier]])</f>
        <v>Gel Booms</v>
      </c>
      <c r="H501" s="11" t="str" cm="1">
        <f t="array" ref="H501">_xlfn.XLOOKUP(fsales[[#This Row],[SalesRepID]],dSalesRep[[#All],[SalesRepID]],dSalesRep[[#All],[Region]])</f>
        <v>WA</v>
      </c>
    </row>
    <row r="502" spans="1:8" x14ac:dyDescent="0.3">
      <c r="A502" s="1">
        <v>45033</v>
      </c>
      <c r="B502">
        <v>2</v>
      </c>
      <c r="C502">
        <v>4</v>
      </c>
      <c r="D502">
        <v>105</v>
      </c>
      <c r="E502" s="11" cm="1">
        <f t="array" ref="E502">_xlfn.XLOOKUP(fsales[[#This Row],[ProductID]],dProduct[[#All],[ProductID]],dProduct[[#All],[Price]])*fsales[[#This Row],[Units]]</f>
        <v>3144.75</v>
      </c>
      <c r="F502" s="11" t="str" cm="1">
        <f t="array" ref="F502">_xlfn.XLOOKUP(fsales[[#This Row],[ProductID]],dProduct[[#All],[ProductID]],dProduct[[#All],[Product]])</f>
        <v>Carlota</v>
      </c>
      <c r="G502" s="11" t="str" cm="1">
        <f t="array" ref="G502">_xlfn.XLOOKUP(fsales[[#This Row],[ProductID]],dProduct[[#All],[ProductID]],dProduct[[#All],[Supplier]])</f>
        <v>Gel Booms</v>
      </c>
      <c r="H502" s="11" t="str" cm="1">
        <f t="array" ref="H502">_xlfn.XLOOKUP(fsales[[#This Row],[SalesRepID]],dSalesRep[[#All],[SalesRepID]],dSalesRep[[#All],[Region]])</f>
        <v>WA</v>
      </c>
    </row>
    <row r="503" spans="1:8" x14ac:dyDescent="0.3">
      <c r="A503" s="1">
        <v>45203</v>
      </c>
      <c r="B503">
        <v>2</v>
      </c>
      <c r="C503">
        <v>4</v>
      </c>
      <c r="D503">
        <v>57</v>
      </c>
      <c r="E503" s="11" cm="1">
        <f t="array" ref="E503">_xlfn.XLOOKUP(fsales[[#This Row],[ProductID]],dProduct[[#All],[ProductID]],dProduct[[#All],[Price]])*fsales[[#This Row],[Units]]</f>
        <v>1707.1499999999999</v>
      </c>
      <c r="F503" s="11" t="str" cm="1">
        <f t="array" ref="F503">_xlfn.XLOOKUP(fsales[[#This Row],[ProductID]],dProduct[[#All],[ProductID]],dProduct[[#All],[Product]])</f>
        <v>Carlota</v>
      </c>
      <c r="G503" s="11" t="str" cm="1">
        <f t="array" ref="G503">_xlfn.XLOOKUP(fsales[[#This Row],[ProductID]],dProduct[[#All],[ProductID]],dProduct[[#All],[Supplier]])</f>
        <v>Gel Booms</v>
      </c>
      <c r="H503" s="11" t="str" cm="1">
        <f t="array" ref="H503">_xlfn.XLOOKUP(fsales[[#This Row],[SalesRepID]],dSalesRep[[#All],[SalesRepID]],dSalesRep[[#All],[Region]])</f>
        <v>WA</v>
      </c>
    </row>
    <row r="504" spans="1:8" x14ac:dyDescent="0.3">
      <c r="A504" s="1">
        <v>44491</v>
      </c>
      <c r="B504">
        <v>2</v>
      </c>
      <c r="C504">
        <v>2</v>
      </c>
      <c r="D504">
        <v>2</v>
      </c>
      <c r="E504" s="11" cm="1">
        <f t="array" ref="E504">_xlfn.XLOOKUP(fsales[[#This Row],[ProductID]],dProduct[[#All],[ProductID]],dProduct[[#All],[Price]])*fsales[[#This Row],[Units]]</f>
        <v>59.9</v>
      </c>
      <c r="F504" s="11" t="str" cm="1">
        <f t="array" ref="F504">_xlfn.XLOOKUP(fsales[[#This Row],[ProductID]],dProduct[[#All],[ProductID]],dProduct[[#All],[Product]])</f>
        <v>Carlota</v>
      </c>
      <c r="G504" s="11" t="str" cm="1">
        <f t="array" ref="G504">_xlfn.XLOOKUP(fsales[[#This Row],[ProductID]],dProduct[[#All],[ProductID]],dProduct[[#All],[Supplier]])</f>
        <v>Gel Booms</v>
      </c>
      <c r="H504" s="11" t="str" cm="1">
        <f t="array" ref="H504">_xlfn.XLOOKUP(fsales[[#This Row],[SalesRepID]],dSalesRep[[#All],[SalesRepID]],dSalesRep[[#All],[Region]])</f>
        <v>CA</v>
      </c>
    </row>
    <row r="505" spans="1:8" x14ac:dyDescent="0.3">
      <c r="A505" s="1">
        <v>45142</v>
      </c>
      <c r="B505">
        <v>2</v>
      </c>
      <c r="C505">
        <v>2</v>
      </c>
      <c r="D505">
        <v>82</v>
      </c>
      <c r="E505" s="11" cm="1">
        <f t="array" ref="E505">_xlfn.XLOOKUP(fsales[[#This Row],[ProductID]],dProduct[[#All],[ProductID]],dProduct[[#All],[Price]])*fsales[[#This Row],[Units]]</f>
        <v>2455.9</v>
      </c>
      <c r="F505" s="11" t="str" cm="1">
        <f t="array" ref="F505">_xlfn.XLOOKUP(fsales[[#This Row],[ProductID]],dProduct[[#All],[ProductID]],dProduct[[#All],[Product]])</f>
        <v>Carlota</v>
      </c>
      <c r="G505" s="11" t="str" cm="1">
        <f t="array" ref="G505">_xlfn.XLOOKUP(fsales[[#This Row],[ProductID]],dProduct[[#All],[ProductID]],dProduct[[#All],[Supplier]])</f>
        <v>Gel Booms</v>
      </c>
      <c r="H505" s="11" t="str" cm="1">
        <f t="array" ref="H505">_xlfn.XLOOKUP(fsales[[#This Row],[SalesRepID]],dSalesRep[[#All],[SalesRepID]],dSalesRep[[#All],[Region]])</f>
        <v>CA</v>
      </c>
    </row>
    <row r="506" spans="1:8" x14ac:dyDescent="0.3">
      <c r="A506" s="1">
        <v>44328</v>
      </c>
      <c r="B506">
        <v>2</v>
      </c>
      <c r="C506">
        <v>4</v>
      </c>
      <c r="D506">
        <v>5</v>
      </c>
      <c r="E506" s="11" cm="1">
        <f t="array" ref="E506">_xlfn.XLOOKUP(fsales[[#This Row],[ProductID]],dProduct[[#All],[ProductID]],dProduct[[#All],[Price]])*fsales[[#This Row],[Units]]</f>
        <v>149.75</v>
      </c>
      <c r="F506" s="11" t="str" cm="1">
        <f t="array" ref="F506">_xlfn.XLOOKUP(fsales[[#This Row],[ProductID]],dProduct[[#All],[ProductID]],dProduct[[#All],[Product]])</f>
        <v>Carlota</v>
      </c>
      <c r="G506" s="11" t="str" cm="1">
        <f t="array" ref="G506">_xlfn.XLOOKUP(fsales[[#This Row],[ProductID]],dProduct[[#All],[ProductID]],dProduct[[#All],[Supplier]])</f>
        <v>Gel Booms</v>
      </c>
      <c r="H506" s="11" t="str" cm="1">
        <f t="array" ref="H506">_xlfn.XLOOKUP(fsales[[#This Row],[SalesRepID]],dSalesRep[[#All],[SalesRepID]],dSalesRep[[#All],[Region]])</f>
        <v>WA</v>
      </c>
    </row>
    <row r="507" spans="1:8" x14ac:dyDescent="0.3">
      <c r="A507" s="1">
        <v>44442</v>
      </c>
      <c r="B507">
        <v>3</v>
      </c>
      <c r="C507">
        <v>2</v>
      </c>
      <c r="D507">
        <v>58</v>
      </c>
      <c r="E507" s="11" cm="1">
        <f t="array" ref="E507">_xlfn.XLOOKUP(fsales[[#This Row],[ProductID]],dProduct[[#All],[ProductID]],dProduct[[#All],[Price]])*fsales[[#This Row],[Units]]</f>
        <v>1505.1</v>
      </c>
      <c r="F507" s="11" t="str" cm="1">
        <f t="array" ref="F507">_xlfn.XLOOKUP(fsales[[#This Row],[ProductID]],dProduct[[#All],[ProductID]],dProduct[[#All],[Product]])</f>
        <v>Aspen</v>
      </c>
      <c r="G507" s="11" t="str" cm="1">
        <f t="array" ref="G507">_xlfn.XLOOKUP(fsales[[#This Row],[ProductID]],dProduct[[#All],[ProductID]],dProduct[[#All],[Supplier]])</f>
        <v>Colorado Booms</v>
      </c>
      <c r="H507" s="11" t="str" cm="1">
        <f t="array" ref="H507">_xlfn.XLOOKUP(fsales[[#This Row],[SalesRepID]],dSalesRep[[#All],[SalesRepID]],dSalesRep[[#All],[Region]])</f>
        <v>CA</v>
      </c>
    </row>
    <row r="508" spans="1:8" x14ac:dyDescent="0.3">
      <c r="A508" s="1">
        <v>44321</v>
      </c>
      <c r="B508">
        <v>3</v>
      </c>
      <c r="C508">
        <v>2</v>
      </c>
      <c r="D508">
        <v>4</v>
      </c>
      <c r="E508" s="11" cm="1">
        <f t="array" ref="E508">_xlfn.XLOOKUP(fsales[[#This Row],[ProductID]],dProduct[[#All],[ProductID]],dProduct[[#All],[Price]])*fsales[[#This Row],[Units]]</f>
        <v>103.8</v>
      </c>
      <c r="F508" s="11" t="str" cm="1">
        <f t="array" ref="F508">_xlfn.XLOOKUP(fsales[[#This Row],[ProductID]],dProduct[[#All],[ProductID]],dProduct[[#All],[Product]])</f>
        <v>Aspen</v>
      </c>
      <c r="G508" s="11" t="str" cm="1">
        <f t="array" ref="G508">_xlfn.XLOOKUP(fsales[[#This Row],[ProductID]],dProduct[[#All],[ProductID]],dProduct[[#All],[Supplier]])</f>
        <v>Colorado Booms</v>
      </c>
      <c r="H508" s="11" t="str" cm="1">
        <f t="array" ref="H508">_xlfn.XLOOKUP(fsales[[#This Row],[SalesRepID]],dSalesRep[[#All],[SalesRepID]],dSalesRep[[#All],[Region]])</f>
        <v>CA</v>
      </c>
    </row>
    <row r="509" spans="1:8" x14ac:dyDescent="0.3">
      <c r="A509" s="1">
        <v>44732</v>
      </c>
      <c r="B509">
        <v>3</v>
      </c>
      <c r="C509">
        <v>4</v>
      </c>
      <c r="D509">
        <v>12</v>
      </c>
      <c r="E509" s="11" cm="1">
        <f t="array" ref="E509">_xlfn.XLOOKUP(fsales[[#This Row],[ProductID]],dProduct[[#All],[ProductID]],dProduct[[#All],[Price]])*fsales[[#This Row],[Units]]</f>
        <v>311.39999999999998</v>
      </c>
      <c r="F509" s="11" t="str" cm="1">
        <f t="array" ref="F509">_xlfn.XLOOKUP(fsales[[#This Row],[ProductID]],dProduct[[#All],[ProductID]],dProduct[[#All],[Product]])</f>
        <v>Aspen</v>
      </c>
      <c r="G509" s="11" t="str" cm="1">
        <f t="array" ref="G509">_xlfn.XLOOKUP(fsales[[#This Row],[ProductID]],dProduct[[#All],[ProductID]],dProduct[[#All],[Supplier]])</f>
        <v>Colorado Booms</v>
      </c>
      <c r="H509" s="11" t="str" cm="1">
        <f t="array" ref="H509">_xlfn.XLOOKUP(fsales[[#This Row],[SalesRepID]],dSalesRep[[#All],[SalesRepID]],dSalesRep[[#All],[Region]])</f>
        <v>WA</v>
      </c>
    </row>
    <row r="510" spans="1:8" x14ac:dyDescent="0.3">
      <c r="A510" s="1">
        <v>45280</v>
      </c>
      <c r="B510">
        <v>3</v>
      </c>
      <c r="C510">
        <v>4</v>
      </c>
      <c r="D510">
        <v>107</v>
      </c>
      <c r="E510" s="11" cm="1">
        <f t="array" ref="E510">_xlfn.XLOOKUP(fsales[[#This Row],[ProductID]],dProduct[[#All],[ProductID]],dProduct[[#All],[Price]])*fsales[[#This Row],[Units]]</f>
        <v>2776.65</v>
      </c>
      <c r="F510" s="11" t="str" cm="1">
        <f t="array" ref="F510">_xlfn.XLOOKUP(fsales[[#This Row],[ProductID]],dProduct[[#All],[ProductID]],dProduct[[#All],[Product]])</f>
        <v>Aspen</v>
      </c>
      <c r="G510" s="11" t="str" cm="1">
        <f t="array" ref="G510">_xlfn.XLOOKUP(fsales[[#This Row],[ProductID]],dProduct[[#All],[ProductID]],dProduct[[#All],[Supplier]])</f>
        <v>Colorado Booms</v>
      </c>
      <c r="H510" s="11" t="str" cm="1">
        <f t="array" ref="H510">_xlfn.XLOOKUP(fsales[[#This Row],[SalesRepID]],dSalesRep[[#All],[SalesRepID]],dSalesRep[[#All],[Region]])</f>
        <v>WA</v>
      </c>
    </row>
    <row r="511" spans="1:8" x14ac:dyDescent="0.3">
      <c r="A511" s="1">
        <v>44425</v>
      </c>
      <c r="B511">
        <v>2</v>
      </c>
      <c r="C511">
        <v>2</v>
      </c>
      <c r="D511">
        <v>84</v>
      </c>
      <c r="E511" s="11" cm="1">
        <f t="array" ref="E511">_xlfn.XLOOKUP(fsales[[#This Row],[ProductID]],dProduct[[#All],[ProductID]],dProduct[[#All],[Price]])*fsales[[#This Row],[Units]]</f>
        <v>2515.7999999999997</v>
      </c>
      <c r="F511" s="11" t="str" cm="1">
        <f t="array" ref="F511">_xlfn.XLOOKUP(fsales[[#This Row],[ProductID]],dProduct[[#All],[ProductID]],dProduct[[#All],[Product]])</f>
        <v>Carlota</v>
      </c>
      <c r="G511" s="11" t="str" cm="1">
        <f t="array" ref="G511">_xlfn.XLOOKUP(fsales[[#This Row],[ProductID]],dProduct[[#All],[ProductID]],dProduct[[#All],[Supplier]])</f>
        <v>Gel Booms</v>
      </c>
      <c r="H511" s="11" t="str" cm="1">
        <f t="array" ref="H511">_xlfn.XLOOKUP(fsales[[#This Row],[SalesRepID]],dSalesRep[[#All],[SalesRepID]],dSalesRep[[#All],[Region]])</f>
        <v>CA</v>
      </c>
    </row>
    <row r="512" spans="1:8" x14ac:dyDescent="0.3">
      <c r="A512" s="1">
        <v>44657</v>
      </c>
      <c r="B512">
        <v>2</v>
      </c>
      <c r="C512">
        <v>2</v>
      </c>
      <c r="D512">
        <v>49</v>
      </c>
      <c r="E512" s="11" cm="1">
        <f t="array" ref="E512">_xlfn.XLOOKUP(fsales[[#This Row],[ProductID]],dProduct[[#All],[ProductID]],dProduct[[#All],[Price]])*fsales[[#This Row],[Units]]</f>
        <v>1467.55</v>
      </c>
      <c r="F512" s="11" t="str" cm="1">
        <f t="array" ref="F512">_xlfn.XLOOKUP(fsales[[#This Row],[ProductID]],dProduct[[#All],[ProductID]],dProduct[[#All],[Product]])</f>
        <v>Carlota</v>
      </c>
      <c r="G512" s="11" t="str" cm="1">
        <f t="array" ref="G512">_xlfn.XLOOKUP(fsales[[#This Row],[ProductID]],dProduct[[#All],[ProductID]],dProduct[[#All],[Supplier]])</f>
        <v>Gel Booms</v>
      </c>
      <c r="H512" s="11" t="str" cm="1">
        <f t="array" ref="H512">_xlfn.XLOOKUP(fsales[[#This Row],[SalesRepID]],dSalesRep[[#All],[SalesRepID]],dSalesRep[[#All],[Region]])</f>
        <v>CA</v>
      </c>
    </row>
    <row r="513" spans="1:8" x14ac:dyDescent="0.3">
      <c r="A513" s="1">
        <v>44801</v>
      </c>
      <c r="B513">
        <v>2</v>
      </c>
      <c r="C513">
        <v>2</v>
      </c>
      <c r="D513">
        <v>3</v>
      </c>
      <c r="E513" s="11" cm="1">
        <f t="array" ref="E513">_xlfn.XLOOKUP(fsales[[#This Row],[ProductID]],dProduct[[#All],[ProductID]],dProduct[[#All],[Price]])*fsales[[#This Row],[Units]]</f>
        <v>89.85</v>
      </c>
      <c r="F513" s="11" t="str" cm="1">
        <f t="array" ref="F513">_xlfn.XLOOKUP(fsales[[#This Row],[ProductID]],dProduct[[#All],[ProductID]],dProduct[[#All],[Product]])</f>
        <v>Carlota</v>
      </c>
      <c r="G513" s="11" t="str" cm="1">
        <f t="array" ref="G513">_xlfn.XLOOKUP(fsales[[#This Row],[ProductID]],dProduct[[#All],[ProductID]],dProduct[[#All],[Supplier]])</f>
        <v>Gel Booms</v>
      </c>
      <c r="H513" s="11" t="str" cm="1">
        <f t="array" ref="H513">_xlfn.XLOOKUP(fsales[[#This Row],[SalesRepID]],dSalesRep[[#All],[SalesRepID]],dSalesRep[[#All],[Region]])</f>
        <v>CA</v>
      </c>
    </row>
    <row r="514" spans="1:8" x14ac:dyDescent="0.3">
      <c r="A514" s="1">
        <v>44554</v>
      </c>
      <c r="B514">
        <v>2</v>
      </c>
      <c r="C514">
        <v>4</v>
      </c>
      <c r="D514">
        <v>284</v>
      </c>
      <c r="E514" s="11" cm="1">
        <f t="array" ref="E514">_xlfn.XLOOKUP(fsales[[#This Row],[ProductID]],dProduct[[#All],[ProductID]],dProduct[[#All],[Price]])*fsales[[#This Row],[Units]]</f>
        <v>8505.7999999999993</v>
      </c>
      <c r="F514" s="11" t="str" cm="1">
        <f t="array" ref="F514">_xlfn.XLOOKUP(fsales[[#This Row],[ProductID]],dProduct[[#All],[ProductID]],dProduct[[#All],[Product]])</f>
        <v>Carlota</v>
      </c>
      <c r="G514" s="11" t="str" cm="1">
        <f t="array" ref="G514">_xlfn.XLOOKUP(fsales[[#This Row],[ProductID]],dProduct[[#All],[ProductID]],dProduct[[#All],[Supplier]])</f>
        <v>Gel Booms</v>
      </c>
      <c r="H514" s="11" t="str" cm="1">
        <f t="array" ref="H514">_xlfn.XLOOKUP(fsales[[#This Row],[SalesRepID]],dSalesRep[[#All],[SalesRepID]],dSalesRep[[#All],[Region]])</f>
        <v>WA</v>
      </c>
    </row>
    <row r="515" spans="1:8" x14ac:dyDescent="0.3">
      <c r="A515" s="1">
        <v>44926</v>
      </c>
      <c r="B515">
        <v>2</v>
      </c>
      <c r="C515">
        <v>4</v>
      </c>
      <c r="D515">
        <v>5</v>
      </c>
      <c r="E515" s="11" cm="1">
        <f t="array" ref="E515">_xlfn.XLOOKUP(fsales[[#This Row],[ProductID]],dProduct[[#All],[ProductID]],dProduct[[#All],[Price]])*fsales[[#This Row],[Units]]</f>
        <v>149.75</v>
      </c>
      <c r="F515" s="11" t="str" cm="1">
        <f t="array" ref="F515">_xlfn.XLOOKUP(fsales[[#This Row],[ProductID]],dProduct[[#All],[ProductID]],dProduct[[#All],[Product]])</f>
        <v>Carlota</v>
      </c>
      <c r="G515" s="11" t="str" cm="1">
        <f t="array" ref="G515">_xlfn.XLOOKUP(fsales[[#This Row],[ProductID]],dProduct[[#All],[ProductID]],dProduct[[#All],[Supplier]])</f>
        <v>Gel Booms</v>
      </c>
      <c r="H515" s="11" t="str" cm="1">
        <f t="array" ref="H515">_xlfn.XLOOKUP(fsales[[#This Row],[SalesRepID]],dSalesRep[[#All],[SalesRepID]],dSalesRep[[#All],[Region]])</f>
        <v>WA</v>
      </c>
    </row>
    <row r="516" spans="1:8" x14ac:dyDescent="0.3">
      <c r="A516" s="1">
        <v>44802</v>
      </c>
      <c r="B516">
        <v>2</v>
      </c>
      <c r="C516">
        <v>4</v>
      </c>
      <c r="D516">
        <v>4</v>
      </c>
      <c r="E516" s="11" cm="1">
        <f t="array" ref="E516">_xlfn.XLOOKUP(fsales[[#This Row],[ProductID]],dProduct[[#All],[ProductID]],dProduct[[#All],[Price]])*fsales[[#This Row],[Units]]</f>
        <v>119.8</v>
      </c>
      <c r="F516" s="11" t="str" cm="1">
        <f t="array" ref="F516">_xlfn.XLOOKUP(fsales[[#This Row],[ProductID]],dProduct[[#All],[ProductID]],dProduct[[#All],[Product]])</f>
        <v>Carlota</v>
      </c>
      <c r="G516" s="11" t="str" cm="1">
        <f t="array" ref="G516">_xlfn.XLOOKUP(fsales[[#This Row],[ProductID]],dProduct[[#All],[ProductID]],dProduct[[#All],[Supplier]])</f>
        <v>Gel Booms</v>
      </c>
      <c r="H516" s="11" t="str" cm="1">
        <f t="array" ref="H516">_xlfn.XLOOKUP(fsales[[#This Row],[SalesRepID]],dSalesRep[[#All],[SalesRepID]],dSalesRep[[#All],[Region]])</f>
        <v>WA</v>
      </c>
    </row>
    <row r="517" spans="1:8" x14ac:dyDescent="0.3">
      <c r="A517" s="1">
        <v>44924</v>
      </c>
      <c r="B517">
        <v>2</v>
      </c>
      <c r="C517">
        <v>4</v>
      </c>
      <c r="D517">
        <v>4</v>
      </c>
      <c r="E517" s="11" cm="1">
        <f t="array" ref="E517">_xlfn.XLOOKUP(fsales[[#This Row],[ProductID]],dProduct[[#All],[ProductID]],dProduct[[#All],[Price]])*fsales[[#This Row],[Units]]</f>
        <v>119.8</v>
      </c>
      <c r="F517" s="11" t="str" cm="1">
        <f t="array" ref="F517">_xlfn.XLOOKUP(fsales[[#This Row],[ProductID]],dProduct[[#All],[ProductID]],dProduct[[#All],[Product]])</f>
        <v>Carlota</v>
      </c>
      <c r="G517" s="11" t="str" cm="1">
        <f t="array" ref="G517">_xlfn.XLOOKUP(fsales[[#This Row],[ProductID]],dProduct[[#All],[ProductID]],dProduct[[#All],[Supplier]])</f>
        <v>Gel Booms</v>
      </c>
      <c r="H517" s="11" t="str" cm="1">
        <f t="array" ref="H517">_xlfn.XLOOKUP(fsales[[#This Row],[SalesRepID]],dSalesRep[[#All],[SalesRepID]],dSalesRep[[#All],[Region]])</f>
        <v>WA</v>
      </c>
    </row>
    <row r="518" spans="1:8" x14ac:dyDescent="0.3">
      <c r="A518" s="1">
        <v>45251</v>
      </c>
      <c r="B518">
        <v>4</v>
      </c>
      <c r="C518">
        <v>4</v>
      </c>
      <c r="D518">
        <v>93</v>
      </c>
      <c r="E518" s="11" cm="1">
        <f t="array" ref="E518">_xlfn.XLOOKUP(fsales[[#This Row],[ProductID]],dProduct[[#All],[ProductID]],dProduct[[#All],[Price]])*fsales[[#This Row],[Units]]</f>
        <v>2227.35</v>
      </c>
      <c r="F518" s="11" t="str" cm="1">
        <f t="array" ref="F518">_xlfn.XLOOKUP(fsales[[#This Row],[ProductID]],dProduct[[#All],[ProductID]],dProduct[[#All],[Product]])</f>
        <v>Yanaki</v>
      </c>
      <c r="G518" s="11" t="str" cm="1">
        <f t="array" ref="G518">_xlfn.XLOOKUP(fsales[[#This Row],[ProductID]],dProduct[[#All],[ProductID]],dProduct[[#All],[Supplier]])</f>
        <v>Colorado Booms</v>
      </c>
      <c r="H518" s="11" t="str" cm="1">
        <f t="array" ref="H518">_xlfn.XLOOKUP(fsales[[#This Row],[SalesRepID]],dSalesRep[[#All],[SalesRepID]],dSalesRep[[#All],[Region]])</f>
        <v>WA</v>
      </c>
    </row>
    <row r="519" spans="1:8" x14ac:dyDescent="0.3">
      <c r="A519" s="1">
        <v>44550</v>
      </c>
      <c r="B519">
        <v>2</v>
      </c>
      <c r="C519">
        <v>2</v>
      </c>
      <c r="D519">
        <v>82</v>
      </c>
      <c r="E519" s="11" cm="1">
        <f t="array" ref="E519">_xlfn.XLOOKUP(fsales[[#This Row],[ProductID]],dProduct[[#All],[ProductID]],dProduct[[#All],[Price]])*fsales[[#This Row],[Units]]</f>
        <v>2455.9</v>
      </c>
      <c r="F519" s="11" t="str" cm="1">
        <f t="array" ref="F519">_xlfn.XLOOKUP(fsales[[#This Row],[ProductID]],dProduct[[#All],[ProductID]],dProduct[[#All],[Product]])</f>
        <v>Carlota</v>
      </c>
      <c r="G519" s="11" t="str" cm="1">
        <f t="array" ref="G519">_xlfn.XLOOKUP(fsales[[#This Row],[ProductID]],dProduct[[#All],[ProductID]],dProduct[[#All],[Supplier]])</f>
        <v>Gel Booms</v>
      </c>
      <c r="H519" s="11" t="str" cm="1">
        <f t="array" ref="H519">_xlfn.XLOOKUP(fsales[[#This Row],[SalesRepID]],dSalesRep[[#All],[SalesRepID]],dSalesRep[[#All],[Region]])</f>
        <v>CA</v>
      </c>
    </row>
    <row r="520" spans="1:8" x14ac:dyDescent="0.3">
      <c r="A520" s="1">
        <v>44911</v>
      </c>
      <c r="B520">
        <v>1</v>
      </c>
      <c r="C520">
        <v>2</v>
      </c>
      <c r="D520">
        <v>4</v>
      </c>
      <c r="E520" s="11" cm="1">
        <f t="array" ref="E520">_xlfn.XLOOKUP(fsales[[#This Row],[ProductID]],dProduct[[#All],[ProductID]],dProduct[[#All],[Price]])*fsales[[#This Row],[Units]]</f>
        <v>175.8</v>
      </c>
      <c r="F520" s="11" t="str" cm="1">
        <f t="array" ref="F520">_xlfn.XLOOKUP(fsales[[#This Row],[ProductID]],dProduct[[#All],[ProductID]],dProduct[[#All],[Product]])</f>
        <v>Quad</v>
      </c>
      <c r="G520" s="11" t="str" cm="1">
        <f t="array" ref="G520">_xlfn.XLOOKUP(fsales[[#This Row],[ProductID]],dProduct[[#All],[ProductID]],dProduct[[#All],[Supplier]])</f>
        <v>Gel Booms</v>
      </c>
      <c r="H520" s="11" t="str" cm="1">
        <f t="array" ref="H520">_xlfn.XLOOKUP(fsales[[#This Row],[SalesRepID]],dSalesRep[[#All],[SalesRepID]],dSalesRep[[#All],[Region]])</f>
        <v>CA</v>
      </c>
    </row>
    <row r="521" spans="1:8" x14ac:dyDescent="0.3">
      <c r="A521" s="1">
        <v>44285</v>
      </c>
      <c r="B521">
        <v>3</v>
      </c>
      <c r="C521">
        <v>4</v>
      </c>
      <c r="D521">
        <v>130</v>
      </c>
      <c r="E521" s="11" cm="1">
        <f t="array" ref="E521">_xlfn.XLOOKUP(fsales[[#This Row],[ProductID]],dProduct[[#All],[ProductID]],dProduct[[#All],[Price]])*fsales[[#This Row],[Units]]</f>
        <v>3373.5</v>
      </c>
      <c r="F521" s="11" t="str" cm="1">
        <f t="array" ref="F521">_xlfn.XLOOKUP(fsales[[#This Row],[ProductID]],dProduct[[#All],[ProductID]],dProduct[[#All],[Product]])</f>
        <v>Aspen</v>
      </c>
      <c r="G521" s="11" t="str" cm="1">
        <f t="array" ref="G521">_xlfn.XLOOKUP(fsales[[#This Row],[ProductID]],dProduct[[#All],[ProductID]],dProduct[[#All],[Supplier]])</f>
        <v>Colorado Booms</v>
      </c>
      <c r="H521" s="11" t="str" cm="1">
        <f t="array" ref="H521">_xlfn.XLOOKUP(fsales[[#This Row],[SalesRepID]],dSalesRep[[#All],[SalesRepID]],dSalesRep[[#All],[Region]])</f>
        <v>WA</v>
      </c>
    </row>
    <row r="522" spans="1:8" x14ac:dyDescent="0.3">
      <c r="A522" s="1">
        <v>45036</v>
      </c>
      <c r="B522">
        <v>1</v>
      </c>
      <c r="C522">
        <v>3</v>
      </c>
      <c r="D522">
        <v>4</v>
      </c>
      <c r="E522" s="11" cm="1">
        <f t="array" ref="E522">_xlfn.XLOOKUP(fsales[[#This Row],[ProductID]],dProduct[[#All],[ProductID]],dProduct[[#All],[Price]])*fsales[[#This Row],[Units]]</f>
        <v>175.8</v>
      </c>
      <c r="F522" s="11" t="str" cm="1">
        <f t="array" ref="F522">_xlfn.XLOOKUP(fsales[[#This Row],[ProductID]],dProduct[[#All],[ProductID]],dProduct[[#All],[Product]])</f>
        <v>Quad</v>
      </c>
      <c r="G522" s="11" t="str" cm="1">
        <f t="array" ref="G522">_xlfn.XLOOKUP(fsales[[#This Row],[ProductID]],dProduct[[#All],[ProductID]],dProduct[[#All],[Supplier]])</f>
        <v>Gel Booms</v>
      </c>
      <c r="H522" s="11" t="str" cm="1">
        <f t="array" ref="H522">_xlfn.XLOOKUP(fsales[[#This Row],[SalesRepID]],dSalesRep[[#All],[SalesRepID]],dSalesRep[[#All],[Region]])</f>
        <v>WA</v>
      </c>
    </row>
    <row r="523" spans="1:8" x14ac:dyDescent="0.3">
      <c r="A523" s="1">
        <v>44921</v>
      </c>
      <c r="B523">
        <v>4</v>
      </c>
      <c r="C523">
        <v>2</v>
      </c>
      <c r="D523">
        <v>91</v>
      </c>
      <c r="E523" s="11" cm="1">
        <f t="array" ref="E523">_xlfn.XLOOKUP(fsales[[#This Row],[ProductID]],dProduct[[#All],[ProductID]],dProduct[[#All],[Price]])*fsales[[#This Row],[Units]]</f>
        <v>2179.4499999999998</v>
      </c>
      <c r="F523" s="11" t="str" cm="1">
        <f t="array" ref="F523">_xlfn.XLOOKUP(fsales[[#This Row],[ProductID]],dProduct[[#All],[ProductID]],dProduct[[#All],[Product]])</f>
        <v>Yanaki</v>
      </c>
      <c r="G523" s="11" t="str" cm="1">
        <f t="array" ref="G523">_xlfn.XLOOKUP(fsales[[#This Row],[ProductID]],dProduct[[#All],[ProductID]],dProduct[[#All],[Supplier]])</f>
        <v>Colorado Booms</v>
      </c>
      <c r="H523" s="11" t="str" cm="1">
        <f t="array" ref="H523">_xlfn.XLOOKUP(fsales[[#This Row],[SalesRepID]],dSalesRep[[#All],[SalesRepID]],dSalesRep[[#All],[Region]])</f>
        <v>CA</v>
      </c>
    </row>
    <row r="524" spans="1:8" x14ac:dyDescent="0.3">
      <c r="A524" s="1">
        <v>44556</v>
      </c>
      <c r="B524">
        <v>4</v>
      </c>
      <c r="C524">
        <v>4</v>
      </c>
      <c r="D524">
        <v>98</v>
      </c>
      <c r="E524" s="11" cm="1">
        <f t="array" ref="E524">_xlfn.XLOOKUP(fsales[[#This Row],[ProductID]],dProduct[[#All],[ProductID]],dProduct[[#All],[Price]])*fsales[[#This Row],[Units]]</f>
        <v>2347.1</v>
      </c>
      <c r="F524" s="11" t="str" cm="1">
        <f t="array" ref="F524">_xlfn.XLOOKUP(fsales[[#This Row],[ProductID]],dProduct[[#All],[ProductID]],dProduct[[#All],[Product]])</f>
        <v>Yanaki</v>
      </c>
      <c r="G524" s="11" t="str" cm="1">
        <f t="array" ref="G524">_xlfn.XLOOKUP(fsales[[#This Row],[ProductID]],dProduct[[#All],[ProductID]],dProduct[[#All],[Supplier]])</f>
        <v>Colorado Booms</v>
      </c>
      <c r="H524" s="11" t="str" cm="1">
        <f t="array" ref="H524">_xlfn.XLOOKUP(fsales[[#This Row],[SalesRepID]],dSalesRep[[#All],[SalesRepID]],dSalesRep[[#All],[Region]])</f>
        <v>WA</v>
      </c>
    </row>
    <row r="525" spans="1:8" x14ac:dyDescent="0.3">
      <c r="A525" s="1">
        <v>44986</v>
      </c>
      <c r="B525">
        <v>2</v>
      </c>
      <c r="C525">
        <v>4</v>
      </c>
      <c r="D525">
        <v>242</v>
      </c>
      <c r="E525" s="11" cm="1">
        <f t="array" ref="E525">_xlfn.XLOOKUP(fsales[[#This Row],[ProductID]],dProduct[[#All],[ProductID]],dProduct[[#All],[Price]])*fsales[[#This Row],[Units]]</f>
        <v>7247.9</v>
      </c>
      <c r="F525" s="11" t="str" cm="1">
        <f t="array" ref="F525">_xlfn.XLOOKUP(fsales[[#This Row],[ProductID]],dProduct[[#All],[ProductID]],dProduct[[#All],[Product]])</f>
        <v>Carlota</v>
      </c>
      <c r="G525" s="11" t="str" cm="1">
        <f t="array" ref="G525">_xlfn.XLOOKUP(fsales[[#This Row],[ProductID]],dProduct[[#All],[ProductID]],dProduct[[#All],[Supplier]])</f>
        <v>Gel Booms</v>
      </c>
      <c r="H525" s="11" t="str" cm="1">
        <f t="array" ref="H525">_xlfn.XLOOKUP(fsales[[#This Row],[SalesRepID]],dSalesRep[[#All],[SalesRepID]],dSalesRep[[#All],[Region]])</f>
        <v>WA</v>
      </c>
    </row>
    <row r="526" spans="1:8" x14ac:dyDescent="0.3">
      <c r="A526" s="1">
        <v>44900</v>
      </c>
      <c r="B526">
        <v>2</v>
      </c>
      <c r="C526">
        <v>4</v>
      </c>
      <c r="D526">
        <v>169</v>
      </c>
      <c r="E526" s="11" cm="1">
        <f t="array" ref="E526">_xlfn.XLOOKUP(fsales[[#This Row],[ProductID]],dProduct[[#All],[ProductID]],dProduct[[#All],[Price]])*fsales[[#This Row],[Units]]</f>
        <v>5061.55</v>
      </c>
      <c r="F526" s="11" t="str" cm="1">
        <f t="array" ref="F526">_xlfn.XLOOKUP(fsales[[#This Row],[ProductID]],dProduct[[#All],[ProductID]],dProduct[[#All],[Product]])</f>
        <v>Carlota</v>
      </c>
      <c r="G526" s="11" t="str" cm="1">
        <f t="array" ref="G526">_xlfn.XLOOKUP(fsales[[#This Row],[ProductID]],dProduct[[#All],[ProductID]],dProduct[[#All],[Supplier]])</f>
        <v>Gel Booms</v>
      </c>
      <c r="H526" s="11" t="str" cm="1">
        <f t="array" ref="H526">_xlfn.XLOOKUP(fsales[[#This Row],[SalesRepID]],dSalesRep[[#All],[SalesRepID]],dSalesRep[[#All],[Region]])</f>
        <v>WA</v>
      </c>
    </row>
    <row r="527" spans="1:8" x14ac:dyDescent="0.3">
      <c r="A527" s="1">
        <v>44434</v>
      </c>
      <c r="B527">
        <v>3</v>
      </c>
      <c r="C527">
        <v>2</v>
      </c>
      <c r="D527">
        <v>5</v>
      </c>
      <c r="E527" s="11" cm="1">
        <f t="array" ref="E527">_xlfn.XLOOKUP(fsales[[#This Row],[ProductID]],dProduct[[#All],[ProductID]],dProduct[[#All],[Price]])*fsales[[#This Row],[Units]]</f>
        <v>129.75</v>
      </c>
      <c r="F527" s="11" t="str" cm="1">
        <f t="array" ref="F527">_xlfn.XLOOKUP(fsales[[#This Row],[ProductID]],dProduct[[#All],[ProductID]],dProduct[[#All],[Product]])</f>
        <v>Aspen</v>
      </c>
      <c r="G527" s="11" t="str" cm="1">
        <f t="array" ref="G527">_xlfn.XLOOKUP(fsales[[#This Row],[ProductID]],dProduct[[#All],[ProductID]],dProduct[[#All],[Supplier]])</f>
        <v>Colorado Booms</v>
      </c>
      <c r="H527" s="11" t="str" cm="1">
        <f t="array" ref="H527">_xlfn.XLOOKUP(fsales[[#This Row],[SalesRepID]],dSalesRep[[#All],[SalesRepID]],dSalesRep[[#All],[Region]])</f>
        <v>CA</v>
      </c>
    </row>
    <row r="528" spans="1:8" x14ac:dyDescent="0.3">
      <c r="A528" s="1">
        <v>44343</v>
      </c>
      <c r="B528">
        <v>2</v>
      </c>
      <c r="C528">
        <v>2</v>
      </c>
      <c r="D528">
        <v>77</v>
      </c>
      <c r="E528" s="11" cm="1">
        <f t="array" ref="E528">_xlfn.XLOOKUP(fsales[[#This Row],[ProductID]],dProduct[[#All],[ProductID]],dProduct[[#All],[Price]])*fsales[[#This Row],[Units]]</f>
        <v>2306.15</v>
      </c>
      <c r="F528" s="11" t="str" cm="1">
        <f t="array" ref="F528">_xlfn.XLOOKUP(fsales[[#This Row],[ProductID]],dProduct[[#All],[ProductID]],dProduct[[#All],[Product]])</f>
        <v>Carlota</v>
      </c>
      <c r="G528" s="11" t="str" cm="1">
        <f t="array" ref="G528">_xlfn.XLOOKUP(fsales[[#This Row],[ProductID]],dProduct[[#All],[ProductID]],dProduct[[#All],[Supplier]])</f>
        <v>Gel Booms</v>
      </c>
      <c r="H528" s="11" t="str" cm="1">
        <f t="array" ref="H528">_xlfn.XLOOKUP(fsales[[#This Row],[SalesRepID]],dSalesRep[[#All],[SalesRepID]],dSalesRep[[#All],[Region]])</f>
        <v>CA</v>
      </c>
    </row>
    <row r="529" spans="1:8" x14ac:dyDescent="0.3">
      <c r="A529" s="1">
        <v>44552</v>
      </c>
      <c r="B529">
        <v>4</v>
      </c>
      <c r="C529">
        <v>2</v>
      </c>
      <c r="D529">
        <v>279</v>
      </c>
      <c r="E529" s="11" cm="1">
        <f t="array" ref="E529">_xlfn.XLOOKUP(fsales[[#This Row],[ProductID]],dProduct[[#All],[ProductID]],dProduct[[#All],[Price]])*fsales[[#This Row],[Units]]</f>
        <v>6682.05</v>
      </c>
      <c r="F529" s="11" t="str" cm="1">
        <f t="array" ref="F529">_xlfn.XLOOKUP(fsales[[#This Row],[ProductID]],dProduct[[#All],[ProductID]],dProduct[[#All],[Product]])</f>
        <v>Yanaki</v>
      </c>
      <c r="G529" s="11" t="str" cm="1">
        <f t="array" ref="G529">_xlfn.XLOOKUP(fsales[[#This Row],[ProductID]],dProduct[[#All],[ProductID]],dProduct[[#All],[Supplier]])</f>
        <v>Colorado Booms</v>
      </c>
      <c r="H529" s="11" t="str" cm="1">
        <f t="array" ref="H529">_xlfn.XLOOKUP(fsales[[#This Row],[SalesRepID]],dSalesRep[[#All],[SalesRepID]],dSalesRep[[#All],[Region]])</f>
        <v>CA</v>
      </c>
    </row>
    <row r="530" spans="1:8" x14ac:dyDescent="0.3">
      <c r="A530" s="1">
        <v>44478</v>
      </c>
      <c r="B530">
        <v>2</v>
      </c>
      <c r="C530">
        <v>2</v>
      </c>
      <c r="D530">
        <v>5</v>
      </c>
      <c r="E530" s="11" cm="1">
        <f t="array" ref="E530">_xlfn.XLOOKUP(fsales[[#This Row],[ProductID]],dProduct[[#All],[ProductID]],dProduct[[#All],[Price]])*fsales[[#This Row],[Units]]</f>
        <v>149.75</v>
      </c>
      <c r="F530" s="11" t="str" cm="1">
        <f t="array" ref="F530">_xlfn.XLOOKUP(fsales[[#This Row],[ProductID]],dProduct[[#All],[ProductID]],dProduct[[#All],[Product]])</f>
        <v>Carlota</v>
      </c>
      <c r="G530" s="11" t="str" cm="1">
        <f t="array" ref="G530">_xlfn.XLOOKUP(fsales[[#This Row],[ProductID]],dProduct[[#All],[ProductID]],dProduct[[#All],[Supplier]])</f>
        <v>Gel Booms</v>
      </c>
      <c r="H530" s="11" t="str" cm="1">
        <f t="array" ref="H530">_xlfn.XLOOKUP(fsales[[#This Row],[SalesRepID]],dSalesRep[[#All],[SalesRepID]],dSalesRep[[#All],[Region]])</f>
        <v>CA</v>
      </c>
    </row>
    <row r="531" spans="1:8" x14ac:dyDescent="0.3">
      <c r="A531" s="1">
        <v>44572</v>
      </c>
      <c r="B531">
        <v>2</v>
      </c>
      <c r="C531">
        <v>4</v>
      </c>
      <c r="D531">
        <v>113</v>
      </c>
      <c r="E531" s="11" cm="1">
        <f t="array" ref="E531">_xlfn.XLOOKUP(fsales[[#This Row],[ProductID]],dProduct[[#All],[ProductID]],dProduct[[#All],[Price]])*fsales[[#This Row],[Units]]</f>
        <v>3384.35</v>
      </c>
      <c r="F531" s="11" t="str" cm="1">
        <f t="array" ref="F531">_xlfn.XLOOKUP(fsales[[#This Row],[ProductID]],dProduct[[#All],[ProductID]],dProduct[[#All],[Product]])</f>
        <v>Carlota</v>
      </c>
      <c r="G531" s="11" t="str" cm="1">
        <f t="array" ref="G531">_xlfn.XLOOKUP(fsales[[#This Row],[ProductID]],dProduct[[#All],[ProductID]],dProduct[[#All],[Supplier]])</f>
        <v>Gel Booms</v>
      </c>
      <c r="H531" s="11" t="str" cm="1">
        <f t="array" ref="H531">_xlfn.XLOOKUP(fsales[[#This Row],[SalesRepID]],dSalesRep[[#All],[SalesRepID]],dSalesRep[[#All],[Region]])</f>
        <v>WA</v>
      </c>
    </row>
    <row r="532" spans="1:8" x14ac:dyDescent="0.3">
      <c r="A532" s="1">
        <v>45290</v>
      </c>
      <c r="B532">
        <v>3</v>
      </c>
      <c r="C532">
        <v>4</v>
      </c>
      <c r="D532">
        <v>94</v>
      </c>
      <c r="E532" s="11" cm="1">
        <f t="array" ref="E532">_xlfn.XLOOKUP(fsales[[#This Row],[ProductID]],dProduct[[#All],[ProductID]],dProduct[[#All],[Price]])*fsales[[#This Row],[Units]]</f>
        <v>2439.2999999999997</v>
      </c>
      <c r="F532" s="11" t="str" cm="1">
        <f t="array" ref="F532">_xlfn.XLOOKUP(fsales[[#This Row],[ProductID]],dProduct[[#All],[ProductID]],dProduct[[#All],[Product]])</f>
        <v>Aspen</v>
      </c>
      <c r="G532" s="11" t="str" cm="1">
        <f t="array" ref="G532">_xlfn.XLOOKUP(fsales[[#This Row],[ProductID]],dProduct[[#All],[ProductID]],dProduct[[#All],[Supplier]])</f>
        <v>Colorado Booms</v>
      </c>
      <c r="H532" s="11" t="str" cm="1">
        <f t="array" ref="H532">_xlfn.XLOOKUP(fsales[[#This Row],[SalesRepID]],dSalesRep[[#All],[SalesRepID]],dSalesRep[[#All],[Region]])</f>
        <v>WA</v>
      </c>
    </row>
    <row r="533" spans="1:8" x14ac:dyDescent="0.3">
      <c r="A533" s="1">
        <v>44557</v>
      </c>
      <c r="B533">
        <v>1</v>
      </c>
      <c r="C533">
        <v>4</v>
      </c>
      <c r="D533">
        <v>6</v>
      </c>
      <c r="E533" s="11" cm="1">
        <f t="array" ref="E533">_xlfn.XLOOKUP(fsales[[#This Row],[ProductID]],dProduct[[#All],[ProductID]],dProduct[[#All],[Price]])*fsales[[#This Row],[Units]]</f>
        <v>263.70000000000005</v>
      </c>
      <c r="F533" s="11" t="str" cm="1">
        <f t="array" ref="F533">_xlfn.XLOOKUP(fsales[[#This Row],[ProductID]],dProduct[[#All],[ProductID]],dProduct[[#All],[Product]])</f>
        <v>Quad</v>
      </c>
      <c r="G533" s="11" t="str" cm="1">
        <f t="array" ref="G533">_xlfn.XLOOKUP(fsales[[#This Row],[ProductID]],dProduct[[#All],[ProductID]],dProduct[[#All],[Supplier]])</f>
        <v>Gel Booms</v>
      </c>
      <c r="H533" s="11" t="str" cm="1">
        <f t="array" ref="H533">_xlfn.XLOOKUP(fsales[[#This Row],[SalesRepID]],dSalesRep[[#All],[SalesRepID]],dSalesRep[[#All],[Region]])</f>
        <v>WA</v>
      </c>
    </row>
    <row r="534" spans="1:8" x14ac:dyDescent="0.3">
      <c r="A534" s="1">
        <v>45218</v>
      </c>
      <c r="B534">
        <v>2</v>
      </c>
      <c r="C534">
        <v>2</v>
      </c>
      <c r="D534">
        <v>109</v>
      </c>
      <c r="E534" s="11" cm="1">
        <f t="array" ref="E534">_xlfn.XLOOKUP(fsales[[#This Row],[ProductID]],dProduct[[#All],[ProductID]],dProduct[[#All],[Price]])*fsales[[#This Row],[Units]]</f>
        <v>3264.5499999999997</v>
      </c>
      <c r="F534" s="11" t="str" cm="1">
        <f t="array" ref="F534">_xlfn.XLOOKUP(fsales[[#This Row],[ProductID]],dProduct[[#All],[ProductID]],dProduct[[#All],[Product]])</f>
        <v>Carlota</v>
      </c>
      <c r="G534" s="11" t="str" cm="1">
        <f t="array" ref="G534">_xlfn.XLOOKUP(fsales[[#This Row],[ProductID]],dProduct[[#All],[ProductID]],dProduct[[#All],[Supplier]])</f>
        <v>Gel Booms</v>
      </c>
      <c r="H534" s="11" t="str" cm="1">
        <f t="array" ref="H534">_xlfn.XLOOKUP(fsales[[#This Row],[SalesRepID]],dSalesRep[[#All],[SalesRepID]],dSalesRep[[#All],[Region]])</f>
        <v>CA</v>
      </c>
    </row>
    <row r="535" spans="1:8" x14ac:dyDescent="0.3">
      <c r="A535" s="1">
        <v>44870</v>
      </c>
      <c r="B535">
        <v>1</v>
      </c>
      <c r="C535">
        <v>2</v>
      </c>
      <c r="D535">
        <v>1</v>
      </c>
      <c r="E535" s="11" cm="1">
        <f t="array" ref="E535">_xlfn.XLOOKUP(fsales[[#This Row],[ProductID]],dProduct[[#All],[ProductID]],dProduct[[#All],[Price]])*fsales[[#This Row],[Units]]</f>
        <v>43.95</v>
      </c>
      <c r="F535" s="11" t="str" cm="1">
        <f t="array" ref="F535">_xlfn.XLOOKUP(fsales[[#This Row],[ProductID]],dProduct[[#All],[ProductID]],dProduct[[#All],[Product]])</f>
        <v>Quad</v>
      </c>
      <c r="G535" s="11" t="str" cm="1">
        <f t="array" ref="G535">_xlfn.XLOOKUP(fsales[[#This Row],[ProductID]],dProduct[[#All],[ProductID]],dProduct[[#All],[Supplier]])</f>
        <v>Gel Booms</v>
      </c>
      <c r="H535" s="11" t="str" cm="1">
        <f t="array" ref="H535">_xlfn.XLOOKUP(fsales[[#This Row],[SalesRepID]],dSalesRep[[#All],[SalesRepID]],dSalesRep[[#All],[Region]])</f>
        <v>CA</v>
      </c>
    </row>
    <row r="536" spans="1:8" x14ac:dyDescent="0.3">
      <c r="A536" s="1">
        <v>44213</v>
      </c>
      <c r="B536">
        <v>2</v>
      </c>
      <c r="C536">
        <v>2</v>
      </c>
      <c r="D536">
        <v>200</v>
      </c>
      <c r="E536" s="11" cm="1">
        <f t="array" ref="E536">_xlfn.XLOOKUP(fsales[[#This Row],[ProductID]],dProduct[[#All],[ProductID]],dProduct[[#All],[Price]])*fsales[[#This Row],[Units]]</f>
        <v>5990</v>
      </c>
      <c r="F536" s="11" t="str" cm="1">
        <f t="array" ref="F536">_xlfn.XLOOKUP(fsales[[#This Row],[ProductID]],dProduct[[#All],[ProductID]],dProduct[[#All],[Product]])</f>
        <v>Carlota</v>
      </c>
      <c r="G536" s="11" t="str" cm="1">
        <f t="array" ref="G536">_xlfn.XLOOKUP(fsales[[#This Row],[ProductID]],dProduct[[#All],[ProductID]],dProduct[[#All],[Supplier]])</f>
        <v>Gel Booms</v>
      </c>
      <c r="H536" s="11" t="str" cm="1">
        <f t="array" ref="H536">_xlfn.XLOOKUP(fsales[[#This Row],[SalesRepID]],dSalesRep[[#All],[SalesRepID]],dSalesRep[[#All],[Region]])</f>
        <v>CA</v>
      </c>
    </row>
    <row r="537" spans="1:8" x14ac:dyDescent="0.3">
      <c r="A537" s="1">
        <v>45273</v>
      </c>
      <c r="B537">
        <v>3</v>
      </c>
      <c r="C537">
        <v>4</v>
      </c>
      <c r="D537">
        <v>2</v>
      </c>
      <c r="E537" s="11" cm="1">
        <f t="array" ref="E537">_xlfn.XLOOKUP(fsales[[#This Row],[ProductID]],dProduct[[#All],[ProductID]],dProduct[[#All],[Price]])*fsales[[#This Row],[Units]]</f>
        <v>51.9</v>
      </c>
      <c r="F537" s="11" t="str" cm="1">
        <f t="array" ref="F537">_xlfn.XLOOKUP(fsales[[#This Row],[ProductID]],dProduct[[#All],[ProductID]],dProduct[[#All],[Product]])</f>
        <v>Aspen</v>
      </c>
      <c r="G537" s="11" t="str" cm="1">
        <f t="array" ref="G537">_xlfn.XLOOKUP(fsales[[#This Row],[ProductID]],dProduct[[#All],[ProductID]],dProduct[[#All],[Supplier]])</f>
        <v>Colorado Booms</v>
      </c>
      <c r="H537" s="11" t="str" cm="1">
        <f t="array" ref="H537">_xlfn.XLOOKUP(fsales[[#This Row],[SalesRepID]],dSalesRep[[#All],[SalesRepID]],dSalesRep[[#All],[Region]])</f>
        <v>WA</v>
      </c>
    </row>
    <row r="538" spans="1:8" x14ac:dyDescent="0.3">
      <c r="A538" s="1">
        <v>44994</v>
      </c>
      <c r="B538">
        <v>1</v>
      </c>
      <c r="C538">
        <v>2</v>
      </c>
      <c r="D538">
        <v>69</v>
      </c>
      <c r="E538" s="11" cm="1">
        <f t="array" ref="E538">_xlfn.XLOOKUP(fsales[[#This Row],[ProductID]],dProduct[[#All],[ProductID]],dProduct[[#All],[Price]])*fsales[[#This Row],[Units]]</f>
        <v>3032.55</v>
      </c>
      <c r="F538" s="11" t="str" cm="1">
        <f t="array" ref="F538">_xlfn.XLOOKUP(fsales[[#This Row],[ProductID]],dProduct[[#All],[ProductID]],dProduct[[#All],[Product]])</f>
        <v>Quad</v>
      </c>
      <c r="G538" s="11" t="str" cm="1">
        <f t="array" ref="G538">_xlfn.XLOOKUP(fsales[[#This Row],[ProductID]],dProduct[[#All],[ProductID]],dProduct[[#All],[Supplier]])</f>
        <v>Gel Booms</v>
      </c>
      <c r="H538" s="11" t="str" cm="1">
        <f t="array" ref="H538">_xlfn.XLOOKUP(fsales[[#This Row],[SalesRepID]],dSalesRep[[#All],[SalesRepID]],dSalesRep[[#All],[Region]])</f>
        <v>CA</v>
      </c>
    </row>
    <row r="539" spans="1:8" x14ac:dyDescent="0.3">
      <c r="A539" s="1">
        <v>44897</v>
      </c>
      <c r="B539">
        <v>3</v>
      </c>
      <c r="C539">
        <v>2</v>
      </c>
      <c r="D539">
        <v>198</v>
      </c>
      <c r="E539" s="11" cm="1">
        <f t="array" ref="E539">_xlfn.XLOOKUP(fsales[[#This Row],[ProductID]],dProduct[[#All],[ProductID]],dProduct[[#All],[Price]])*fsales[[#This Row],[Units]]</f>
        <v>5138.0999999999995</v>
      </c>
      <c r="F539" s="11" t="str" cm="1">
        <f t="array" ref="F539">_xlfn.XLOOKUP(fsales[[#This Row],[ProductID]],dProduct[[#All],[ProductID]],dProduct[[#All],[Product]])</f>
        <v>Aspen</v>
      </c>
      <c r="G539" s="11" t="str" cm="1">
        <f t="array" ref="G539">_xlfn.XLOOKUP(fsales[[#This Row],[ProductID]],dProduct[[#All],[ProductID]],dProduct[[#All],[Supplier]])</f>
        <v>Colorado Booms</v>
      </c>
      <c r="H539" s="11" t="str" cm="1">
        <f t="array" ref="H539">_xlfn.XLOOKUP(fsales[[#This Row],[SalesRepID]],dSalesRep[[#All],[SalesRepID]],dSalesRep[[#All],[Region]])</f>
        <v>CA</v>
      </c>
    </row>
    <row r="540" spans="1:8" x14ac:dyDescent="0.3">
      <c r="A540" s="1">
        <v>44308</v>
      </c>
      <c r="B540">
        <v>2</v>
      </c>
      <c r="C540">
        <v>4</v>
      </c>
      <c r="D540">
        <v>6</v>
      </c>
      <c r="E540" s="11" cm="1">
        <f t="array" ref="E540">_xlfn.XLOOKUP(fsales[[#This Row],[ProductID]],dProduct[[#All],[ProductID]],dProduct[[#All],[Price]])*fsales[[#This Row],[Units]]</f>
        <v>179.7</v>
      </c>
      <c r="F540" s="11" t="str" cm="1">
        <f t="array" ref="F540">_xlfn.XLOOKUP(fsales[[#This Row],[ProductID]],dProduct[[#All],[ProductID]],dProduct[[#All],[Product]])</f>
        <v>Carlota</v>
      </c>
      <c r="G540" s="11" t="str" cm="1">
        <f t="array" ref="G540">_xlfn.XLOOKUP(fsales[[#This Row],[ProductID]],dProduct[[#All],[ProductID]],dProduct[[#All],[Supplier]])</f>
        <v>Gel Booms</v>
      </c>
      <c r="H540" s="11" t="str" cm="1">
        <f t="array" ref="H540">_xlfn.XLOOKUP(fsales[[#This Row],[SalesRepID]],dSalesRep[[#All],[SalesRepID]],dSalesRep[[#All],[Region]])</f>
        <v>WA</v>
      </c>
    </row>
    <row r="541" spans="1:8" x14ac:dyDescent="0.3">
      <c r="A541" s="1">
        <v>45130</v>
      </c>
      <c r="B541">
        <v>2</v>
      </c>
      <c r="C541">
        <v>4</v>
      </c>
      <c r="D541">
        <v>27</v>
      </c>
      <c r="E541" s="11" cm="1">
        <f t="array" ref="E541">_xlfn.XLOOKUP(fsales[[#This Row],[ProductID]],dProduct[[#All],[ProductID]],dProduct[[#All],[Price]])*fsales[[#This Row],[Units]]</f>
        <v>808.65</v>
      </c>
      <c r="F541" s="11" t="str" cm="1">
        <f t="array" ref="F541">_xlfn.XLOOKUP(fsales[[#This Row],[ProductID]],dProduct[[#All],[ProductID]],dProduct[[#All],[Product]])</f>
        <v>Carlota</v>
      </c>
      <c r="G541" s="11" t="str" cm="1">
        <f t="array" ref="G541">_xlfn.XLOOKUP(fsales[[#This Row],[ProductID]],dProduct[[#All],[ProductID]],dProduct[[#All],[Supplier]])</f>
        <v>Gel Booms</v>
      </c>
      <c r="H541" s="11" t="str" cm="1">
        <f t="array" ref="H541">_xlfn.XLOOKUP(fsales[[#This Row],[SalesRepID]],dSalesRep[[#All],[SalesRepID]],dSalesRep[[#All],[Region]])</f>
        <v>WA</v>
      </c>
    </row>
    <row r="542" spans="1:8" x14ac:dyDescent="0.3">
      <c r="A542" s="1">
        <v>45239</v>
      </c>
      <c r="B542">
        <v>1</v>
      </c>
      <c r="C542">
        <v>4</v>
      </c>
      <c r="D542">
        <v>286</v>
      </c>
      <c r="E542" s="11" cm="1">
        <f t="array" ref="E542">_xlfn.XLOOKUP(fsales[[#This Row],[ProductID]],dProduct[[#All],[ProductID]],dProduct[[#All],[Price]])*fsales[[#This Row],[Units]]</f>
        <v>12569.7</v>
      </c>
      <c r="F542" s="11" t="str" cm="1">
        <f t="array" ref="F542">_xlfn.XLOOKUP(fsales[[#This Row],[ProductID]],dProduct[[#All],[ProductID]],dProduct[[#All],[Product]])</f>
        <v>Quad</v>
      </c>
      <c r="G542" s="11" t="str" cm="1">
        <f t="array" ref="G542">_xlfn.XLOOKUP(fsales[[#This Row],[ProductID]],dProduct[[#All],[ProductID]],dProduct[[#All],[Supplier]])</f>
        <v>Gel Booms</v>
      </c>
      <c r="H542" s="11" t="str" cm="1">
        <f t="array" ref="H542">_xlfn.XLOOKUP(fsales[[#This Row],[SalesRepID]],dSalesRep[[#All],[SalesRepID]],dSalesRep[[#All],[Region]])</f>
        <v>WA</v>
      </c>
    </row>
    <row r="543" spans="1:8" x14ac:dyDescent="0.3">
      <c r="A543" s="1">
        <v>44926</v>
      </c>
      <c r="B543">
        <v>4</v>
      </c>
      <c r="C543">
        <v>4</v>
      </c>
      <c r="D543">
        <v>4</v>
      </c>
      <c r="E543" s="11" cm="1">
        <f t="array" ref="E543">_xlfn.XLOOKUP(fsales[[#This Row],[ProductID]],dProduct[[#All],[ProductID]],dProduct[[#All],[Price]])*fsales[[#This Row],[Units]]</f>
        <v>95.8</v>
      </c>
      <c r="F543" s="11" t="str" cm="1">
        <f t="array" ref="F543">_xlfn.XLOOKUP(fsales[[#This Row],[ProductID]],dProduct[[#All],[ProductID]],dProduct[[#All],[Product]])</f>
        <v>Yanaki</v>
      </c>
      <c r="G543" s="11" t="str" cm="1">
        <f t="array" ref="G543">_xlfn.XLOOKUP(fsales[[#This Row],[ProductID]],dProduct[[#All],[ProductID]],dProduct[[#All],[Supplier]])</f>
        <v>Colorado Booms</v>
      </c>
      <c r="H543" s="11" t="str" cm="1">
        <f t="array" ref="H543">_xlfn.XLOOKUP(fsales[[#This Row],[SalesRepID]],dSalesRep[[#All],[SalesRepID]],dSalesRep[[#All],[Region]])</f>
        <v>WA</v>
      </c>
    </row>
    <row r="544" spans="1:8" x14ac:dyDescent="0.3">
      <c r="A544" s="1">
        <v>44712</v>
      </c>
      <c r="B544">
        <v>2</v>
      </c>
      <c r="C544">
        <v>4</v>
      </c>
      <c r="D544">
        <v>44</v>
      </c>
      <c r="E544" s="11" cm="1">
        <f t="array" ref="E544">_xlfn.XLOOKUP(fsales[[#This Row],[ProductID]],dProduct[[#All],[ProductID]],dProduct[[#All],[Price]])*fsales[[#This Row],[Units]]</f>
        <v>1317.8</v>
      </c>
      <c r="F544" s="11" t="str" cm="1">
        <f t="array" ref="F544">_xlfn.XLOOKUP(fsales[[#This Row],[ProductID]],dProduct[[#All],[ProductID]],dProduct[[#All],[Product]])</f>
        <v>Carlota</v>
      </c>
      <c r="G544" s="11" t="str" cm="1">
        <f t="array" ref="G544">_xlfn.XLOOKUP(fsales[[#This Row],[ProductID]],dProduct[[#All],[ProductID]],dProduct[[#All],[Supplier]])</f>
        <v>Gel Booms</v>
      </c>
      <c r="H544" s="11" t="str" cm="1">
        <f t="array" ref="H544">_xlfn.XLOOKUP(fsales[[#This Row],[SalesRepID]],dSalesRep[[#All],[SalesRepID]],dSalesRep[[#All],[Region]])</f>
        <v>WA</v>
      </c>
    </row>
    <row r="545" spans="1:8" x14ac:dyDescent="0.3">
      <c r="A545" s="1">
        <v>44889</v>
      </c>
      <c r="B545">
        <v>1</v>
      </c>
      <c r="C545">
        <v>2</v>
      </c>
      <c r="D545">
        <v>4</v>
      </c>
      <c r="E545" s="11" cm="1">
        <f t="array" ref="E545">_xlfn.XLOOKUP(fsales[[#This Row],[ProductID]],dProduct[[#All],[ProductID]],dProduct[[#All],[Price]])*fsales[[#This Row],[Units]]</f>
        <v>175.8</v>
      </c>
      <c r="F545" s="11" t="str" cm="1">
        <f t="array" ref="F545">_xlfn.XLOOKUP(fsales[[#This Row],[ProductID]],dProduct[[#All],[ProductID]],dProduct[[#All],[Product]])</f>
        <v>Quad</v>
      </c>
      <c r="G545" s="11" t="str" cm="1">
        <f t="array" ref="G545">_xlfn.XLOOKUP(fsales[[#This Row],[ProductID]],dProduct[[#All],[ProductID]],dProduct[[#All],[Supplier]])</f>
        <v>Gel Booms</v>
      </c>
      <c r="H545" s="11" t="str" cm="1">
        <f t="array" ref="H545">_xlfn.XLOOKUP(fsales[[#This Row],[SalesRepID]],dSalesRep[[#All],[SalesRepID]],dSalesRep[[#All],[Region]])</f>
        <v>CA</v>
      </c>
    </row>
    <row r="546" spans="1:8" x14ac:dyDescent="0.3">
      <c r="A546" s="1">
        <v>44968</v>
      </c>
      <c r="B546">
        <v>3</v>
      </c>
      <c r="C546">
        <v>4</v>
      </c>
      <c r="D546">
        <v>225</v>
      </c>
      <c r="E546" s="11" cm="1">
        <f t="array" ref="E546">_xlfn.XLOOKUP(fsales[[#This Row],[ProductID]],dProduct[[#All],[ProductID]],dProduct[[#All],[Price]])*fsales[[#This Row],[Units]]</f>
        <v>5838.75</v>
      </c>
      <c r="F546" s="11" t="str" cm="1">
        <f t="array" ref="F546">_xlfn.XLOOKUP(fsales[[#This Row],[ProductID]],dProduct[[#All],[ProductID]],dProduct[[#All],[Product]])</f>
        <v>Aspen</v>
      </c>
      <c r="G546" s="11" t="str" cm="1">
        <f t="array" ref="G546">_xlfn.XLOOKUP(fsales[[#This Row],[ProductID]],dProduct[[#All],[ProductID]],dProduct[[#All],[Supplier]])</f>
        <v>Colorado Booms</v>
      </c>
      <c r="H546" s="11" t="str" cm="1">
        <f t="array" ref="H546">_xlfn.XLOOKUP(fsales[[#This Row],[SalesRepID]],dSalesRep[[#All],[SalesRepID]],dSalesRep[[#All],[Region]])</f>
        <v>WA</v>
      </c>
    </row>
    <row r="547" spans="1:8" x14ac:dyDescent="0.3">
      <c r="A547" s="1">
        <v>44577</v>
      </c>
      <c r="B547">
        <v>2</v>
      </c>
      <c r="C547">
        <v>4</v>
      </c>
      <c r="D547">
        <v>231</v>
      </c>
      <c r="E547" s="11" cm="1">
        <f t="array" ref="E547">_xlfn.XLOOKUP(fsales[[#This Row],[ProductID]],dProduct[[#All],[ProductID]],dProduct[[#All],[Price]])*fsales[[#This Row],[Units]]</f>
        <v>6918.45</v>
      </c>
      <c r="F547" s="11" t="str" cm="1">
        <f t="array" ref="F547">_xlfn.XLOOKUP(fsales[[#This Row],[ProductID]],dProduct[[#All],[ProductID]],dProduct[[#All],[Product]])</f>
        <v>Carlota</v>
      </c>
      <c r="G547" s="11" t="str" cm="1">
        <f t="array" ref="G547">_xlfn.XLOOKUP(fsales[[#This Row],[ProductID]],dProduct[[#All],[ProductID]],dProduct[[#All],[Supplier]])</f>
        <v>Gel Booms</v>
      </c>
      <c r="H547" s="11" t="str" cm="1">
        <f t="array" ref="H547">_xlfn.XLOOKUP(fsales[[#This Row],[SalesRepID]],dSalesRep[[#All],[SalesRepID]],dSalesRep[[#All],[Region]])</f>
        <v>WA</v>
      </c>
    </row>
    <row r="548" spans="1:8" x14ac:dyDescent="0.3">
      <c r="A548" s="1">
        <v>44719</v>
      </c>
      <c r="B548">
        <v>3</v>
      </c>
      <c r="C548">
        <v>4</v>
      </c>
      <c r="D548">
        <v>249</v>
      </c>
      <c r="E548" s="11" cm="1">
        <f t="array" ref="E548">_xlfn.XLOOKUP(fsales[[#This Row],[ProductID]],dProduct[[#All],[ProductID]],dProduct[[#All],[Price]])*fsales[[#This Row],[Units]]</f>
        <v>6461.55</v>
      </c>
      <c r="F548" s="11" t="str" cm="1">
        <f t="array" ref="F548">_xlfn.XLOOKUP(fsales[[#This Row],[ProductID]],dProduct[[#All],[ProductID]],dProduct[[#All],[Product]])</f>
        <v>Aspen</v>
      </c>
      <c r="G548" s="11" t="str" cm="1">
        <f t="array" ref="G548">_xlfn.XLOOKUP(fsales[[#This Row],[ProductID]],dProduct[[#All],[ProductID]],dProduct[[#All],[Supplier]])</f>
        <v>Colorado Booms</v>
      </c>
      <c r="H548" s="11" t="str" cm="1">
        <f t="array" ref="H548">_xlfn.XLOOKUP(fsales[[#This Row],[SalesRepID]],dSalesRep[[#All],[SalesRepID]],dSalesRep[[#All],[Region]])</f>
        <v>WA</v>
      </c>
    </row>
    <row r="549" spans="1:8" x14ac:dyDescent="0.3">
      <c r="A549" s="1">
        <v>44227</v>
      </c>
      <c r="B549">
        <v>4</v>
      </c>
      <c r="C549">
        <v>4</v>
      </c>
      <c r="D549">
        <v>63</v>
      </c>
      <c r="E549" s="11" cm="1">
        <f t="array" ref="E549">_xlfn.XLOOKUP(fsales[[#This Row],[ProductID]],dProduct[[#All],[ProductID]],dProduct[[#All],[Price]])*fsales[[#This Row],[Units]]</f>
        <v>1508.85</v>
      </c>
      <c r="F549" s="11" t="str" cm="1">
        <f t="array" ref="F549">_xlfn.XLOOKUP(fsales[[#This Row],[ProductID]],dProduct[[#All],[ProductID]],dProduct[[#All],[Product]])</f>
        <v>Yanaki</v>
      </c>
      <c r="G549" s="11" t="str" cm="1">
        <f t="array" ref="G549">_xlfn.XLOOKUP(fsales[[#This Row],[ProductID]],dProduct[[#All],[ProductID]],dProduct[[#All],[Supplier]])</f>
        <v>Colorado Booms</v>
      </c>
      <c r="H549" s="11" t="str" cm="1">
        <f t="array" ref="H549">_xlfn.XLOOKUP(fsales[[#This Row],[SalesRepID]],dSalesRep[[#All],[SalesRepID]],dSalesRep[[#All],[Region]])</f>
        <v>WA</v>
      </c>
    </row>
    <row r="550" spans="1:8" x14ac:dyDescent="0.3">
      <c r="A550" s="1">
        <v>45233</v>
      </c>
      <c r="B550">
        <v>1</v>
      </c>
      <c r="C550">
        <v>2</v>
      </c>
      <c r="D550">
        <v>74</v>
      </c>
      <c r="E550" s="11" cm="1">
        <f t="array" ref="E550">_xlfn.XLOOKUP(fsales[[#This Row],[ProductID]],dProduct[[#All],[ProductID]],dProduct[[#All],[Price]])*fsales[[#This Row],[Units]]</f>
        <v>3252.3</v>
      </c>
      <c r="F550" s="11" t="str" cm="1">
        <f t="array" ref="F550">_xlfn.XLOOKUP(fsales[[#This Row],[ProductID]],dProduct[[#All],[ProductID]],dProduct[[#All],[Product]])</f>
        <v>Quad</v>
      </c>
      <c r="G550" s="11" t="str" cm="1">
        <f t="array" ref="G550">_xlfn.XLOOKUP(fsales[[#This Row],[ProductID]],dProduct[[#All],[ProductID]],dProduct[[#All],[Supplier]])</f>
        <v>Gel Booms</v>
      </c>
      <c r="H550" s="11" t="str" cm="1">
        <f t="array" ref="H550">_xlfn.XLOOKUP(fsales[[#This Row],[SalesRepID]],dSalesRep[[#All],[SalesRepID]],dSalesRep[[#All],[Region]])</f>
        <v>CA</v>
      </c>
    </row>
    <row r="551" spans="1:8" x14ac:dyDescent="0.3">
      <c r="A551" s="1">
        <v>44977</v>
      </c>
      <c r="B551">
        <v>2</v>
      </c>
      <c r="C551">
        <v>2</v>
      </c>
      <c r="D551">
        <v>158</v>
      </c>
      <c r="E551" s="11" cm="1">
        <f t="array" ref="E551">_xlfn.XLOOKUP(fsales[[#This Row],[ProductID]],dProduct[[#All],[ProductID]],dProduct[[#All],[Price]])*fsales[[#This Row],[Units]]</f>
        <v>4732.0999999999995</v>
      </c>
      <c r="F551" s="11" t="str" cm="1">
        <f t="array" ref="F551">_xlfn.XLOOKUP(fsales[[#This Row],[ProductID]],dProduct[[#All],[ProductID]],dProduct[[#All],[Product]])</f>
        <v>Carlota</v>
      </c>
      <c r="G551" s="11" t="str" cm="1">
        <f t="array" ref="G551">_xlfn.XLOOKUP(fsales[[#This Row],[ProductID]],dProduct[[#All],[ProductID]],dProduct[[#All],[Supplier]])</f>
        <v>Gel Booms</v>
      </c>
      <c r="H551" s="11" t="str" cm="1">
        <f t="array" ref="H551">_xlfn.XLOOKUP(fsales[[#This Row],[SalesRepID]],dSalesRep[[#All],[SalesRepID]],dSalesRep[[#All],[Region]])</f>
        <v>CA</v>
      </c>
    </row>
    <row r="552" spans="1:8" x14ac:dyDescent="0.3">
      <c r="A552" s="1">
        <v>44528</v>
      </c>
      <c r="B552">
        <v>3</v>
      </c>
      <c r="C552">
        <v>4</v>
      </c>
      <c r="D552">
        <v>4</v>
      </c>
      <c r="E552" s="11" cm="1">
        <f t="array" ref="E552">_xlfn.XLOOKUP(fsales[[#This Row],[ProductID]],dProduct[[#All],[ProductID]],dProduct[[#All],[Price]])*fsales[[#This Row],[Units]]</f>
        <v>103.8</v>
      </c>
      <c r="F552" s="11" t="str" cm="1">
        <f t="array" ref="F552">_xlfn.XLOOKUP(fsales[[#This Row],[ProductID]],dProduct[[#All],[ProductID]],dProduct[[#All],[Product]])</f>
        <v>Aspen</v>
      </c>
      <c r="G552" s="11" t="str" cm="1">
        <f t="array" ref="G552">_xlfn.XLOOKUP(fsales[[#This Row],[ProductID]],dProduct[[#All],[ProductID]],dProduct[[#All],[Supplier]])</f>
        <v>Colorado Booms</v>
      </c>
      <c r="H552" s="11" t="str" cm="1">
        <f t="array" ref="H552">_xlfn.XLOOKUP(fsales[[#This Row],[SalesRepID]],dSalesRep[[#All],[SalesRepID]],dSalesRep[[#All],[Region]])</f>
        <v>WA</v>
      </c>
    </row>
    <row r="553" spans="1:8" x14ac:dyDescent="0.3">
      <c r="A553" s="1">
        <v>44316</v>
      </c>
      <c r="B553">
        <v>2</v>
      </c>
      <c r="C553">
        <v>2</v>
      </c>
      <c r="D553">
        <v>3</v>
      </c>
      <c r="E553" s="11" cm="1">
        <f t="array" ref="E553">_xlfn.XLOOKUP(fsales[[#This Row],[ProductID]],dProduct[[#All],[ProductID]],dProduct[[#All],[Price]])*fsales[[#This Row],[Units]]</f>
        <v>89.85</v>
      </c>
      <c r="F553" s="11" t="str" cm="1">
        <f t="array" ref="F553">_xlfn.XLOOKUP(fsales[[#This Row],[ProductID]],dProduct[[#All],[ProductID]],dProduct[[#All],[Product]])</f>
        <v>Carlota</v>
      </c>
      <c r="G553" s="11" t="str" cm="1">
        <f t="array" ref="G553">_xlfn.XLOOKUP(fsales[[#This Row],[ProductID]],dProduct[[#All],[ProductID]],dProduct[[#All],[Supplier]])</f>
        <v>Gel Booms</v>
      </c>
      <c r="H553" s="11" t="str" cm="1">
        <f t="array" ref="H553">_xlfn.XLOOKUP(fsales[[#This Row],[SalesRepID]],dSalesRep[[#All],[SalesRepID]],dSalesRep[[#All],[Region]])</f>
        <v>CA</v>
      </c>
    </row>
    <row r="554" spans="1:8" x14ac:dyDescent="0.3">
      <c r="A554" s="1">
        <v>45045</v>
      </c>
      <c r="B554">
        <v>4</v>
      </c>
      <c r="C554">
        <v>4</v>
      </c>
      <c r="D554">
        <v>73</v>
      </c>
      <c r="E554" s="11" cm="1">
        <f t="array" ref="E554">_xlfn.XLOOKUP(fsales[[#This Row],[ProductID]],dProduct[[#All],[ProductID]],dProduct[[#All],[Price]])*fsales[[#This Row],[Units]]</f>
        <v>1748.35</v>
      </c>
      <c r="F554" s="11" t="str" cm="1">
        <f t="array" ref="F554">_xlfn.XLOOKUP(fsales[[#This Row],[ProductID]],dProduct[[#All],[ProductID]],dProduct[[#All],[Product]])</f>
        <v>Yanaki</v>
      </c>
      <c r="G554" s="11" t="str" cm="1">
        <f t="array" ref="G554">_xlfn.XLOOKUP(fsales[[#This Row],[ProductID]],dProduct[[#All],[ProductID]],dProduct[[#All],[Supplier]])</f>
        <v>Colorado Booms</v>
      </c>
      <c r="H554" s="11" t="str" cm="1">
        <f t="array" ref="H554">_xlfn.XLOOKUP(fsales[[#This Row],[SalesRepID]],dSalesRep[[#All],[SalesRepID]],dSalesRep[[#All],[Region]])</f>
        <v>WA</v>
      </c>
    </row>
    <row r="555" spans="1:8" x14ac:dyDescent="0.3">
      <c r="A555" s="1">
        <v>44561</v>
      </c>
      <c r="B555">
        <v>2</v>
      </c>
      <c r="C555">
        <v>1</v>
      </c>
      <c r="D555">
        <v>5</v>
      </c>
      <c r="E555" s="11" cm="1">
        <f t="array" ref="E555">_xlfn.XLOOKUP(fsales[[#This Row],[ProductID]],dProduct[[#All],[ProductID]],dProduct[[#All],[Price]])*fsales[[#This Row],[Units]]</f>
        <v>149.75</v>
      </c>
      <c r="F555" s="11" t="str" cm="1">
        <f t="array" ref="F555">_xlfn.XLOOKUP(fsales[[#This Row],[ProductID]],dProduct[[#All],[ProductID]],dProduct[[#All],[Product]])</f>
        <v>Carlota</v>
      </c>
      <c r="G555" s="11" t="str" cm="1">
        <f t="array" ref="G555">_xlfn.XLOOKUP(fsales[[#This Row],[ProductID]],dProduct[[#All],[ProductID]],dProduct[[#All],[Supplier]])</f>
        <v>Gel Booms</v>
      </c>
      <c r="H555" s="11" t="str" cm="1">
        <f t="array" ref="H555">_xlfn.XLOOKUP(fsales[[#This Row],[SalesRepID]],dSalesRep[[#All],[SalesRepID]],dSalesRep[[#All],[Region]])</f>
        <v>CA</v>
      </c>
    </row>
    <row r="556" spans="1:8" x14ac:dyDescent="0.3">
      <c r="A556" s="1">
        <v>45234</v>
      </c>
      <c r="B556">
        <v>2</v>
      </c>
      <c r="C556">
        <v>4</v>
      </c>
      <c r="D556">
        <v>141</v>
      </c>
      <c r="E556" s="11" cm="1">
        <f t="array" ref="E556">_xlfn.XLOOKUP(fsales[[#This Row],[ProductID]],dProduct[[#All],[ProductID]],dProduct[[#All],[Price]])*fsales[[#This Row],[Units]]</f>
        <v>4222.95</v>
      </c>
      <c r="F556" s="11" t="str" cm="1">
        <f t="array" ref="F556">_xlfn.XLOOKUP(fsales[[#This Row],[ProductID]],dProduct[[#All],[ProductID]],dProduct[[#All],[Product]])</f>
        <v>Carlota</v>
      </c>
      <c r="G556" s="11" t="str" cm="1">
        <f t="array" ref="G556">_xlfn.XLOOKUP(fsales[[#This Row],[ProductID]],dProduct[[#All],[ProductID]],dProduct[[#All],[Supplier]])</f>
        <v>Gel Booms</v>
      </c>
      <c r="H556" s="11" t="str" cm="1">
        <f t="array" ref="H556">_xlfn.XLOOKUP(fsales[[#This Row],[SalesRepID]],dSalesRep[[#All],[SalesRepID]],dSalesRep[[#All],[Region]])</f>
        <v>WA</v>
      </c>
    </row>
    <row r="557" spans="1:8" x14ac:dyDescent="0.3">
      <c r="A557" s="1">
        <v>45240</v>
      </c>
      <c r="B557">
        <v>4</v>
      </c>
      <c r="C557">
        <v>3</v>
      </c>
      <c r="D557">
        <v>134</v>
      </c>
      <c r="E557" s="11" cm="1">
        <f t="array" ref="E557">_xlfn.XLOOKUP(fsales[[#This Row],[ProductID]],dProduct[[#All],[ProductID]],dProduct[[#All],[Price]])*fsales[[#This Row],[Units]]</f>
        <v>3209.2999999999997</v>
      </c>
      <c r="F557" s="11" t="str" cm="1">
        <f t="array" ref="F557">_xlfn.XLOOKUP(fsales[[#This Row],[ProductID]],dProduct[[#All],[ProductID]],dProduct[[#All],[Product]])</f>
        <v>Yanaki</v>
      </c>
      <c r="G557" s="11" t="str" cm="1">
        <f t="array" ref="G557">_xlfn.XLOOKUP(fsales[[#This Row],[ProductID]],dProduct[[#All],[ProductID]],dProduct[[#All],[Supplier]])</f>
        <v>Colorado Booms</v>
      </c>
      <c r="H557" s="11" t="str" cm="1">
        <f t="array" ref="H557">_xlfn.XLOOKUP(fsales[[#This Row],[SalesRepID]],dSalesRep[[#All],[SalesRepID]],dSalesRep[[#All],[Region]])</f>
        <v>WA</v>
      </c>
    </row>
    <row r="558" spans="1:8" x14ac:dyDescent="0.3">
      <c r="A558" s="1">
        <v>44529</v>
      </c>
      <c r="B558">
        <v>1</v>
      </c>
      <c r="C558">
        <v>1</v>
      </c>
      <c r="D558">
        <v>74</v>
      </c>
      <c r="E558" s="11" cm="1">
        <f t="array" ref="E558">_xlfn.XLOOKUP(fsales[[#This Row],[ProductID]],dProduct[[#All],[ProductID]],dProduct[[#All],[Price]])*fsales[[#This Row],[Units]]</f>
        <v>3252.3</v>
      </c>
      <c r="F558" s="11" t="str" cm="1">
        <f t="array" ref="F558">_xlfn.XLOOKUP(fsales[[#This Row],[ProductID]],dProduct[[#All],[ProductID]],dProduct[[#All],[Product]])</f>
        <v>Quad</v>
      </c>
      <c r="G558" s="11" t="str" cm="1">
        <f t="array" ref="G558">_xlfn.XLOOKUP(fsales[[#This Row],[ProductID]],dProduct[[#All],[ProductID]],dProduct[[#All],[Supplier]])</f>
        <v>Gel Booms</v>
      </c>
      <c r="H558" s="11" t="str" cm="1">
        <f t="array" ref="H558">_xlfn.XLOOKUP(fsales[[#This Row],[SalesRepID]],dSalesRep[[#All],[SalesRepID]],dSalesRep[[#All],[Region]])</f>
        <v>CA</v>
      </c>
    </row>
    <row r="559" spans="1:8" x14ac:dyDescent="0.3">
      <c r="A559" s="1">
        <v>45277</v>
      </c>
      <c r="B559">
        <v>3</v>
      </c>
      <c r="C559">
        <v>4</v>
      </c>
      <c r="D559">
        <v>47</v>
      </c>
      <c r="E559" s="11" cm="1">
        <f t="array" ref="E559">_xlfn.XLOOKUP(fsales[[#This Row],[ProductID]],dProduct[[#All],[ProductID]],dProduct[[#All],[Price]])*fsales[[#This Row],[Units]]</f>
        <v>1219.6499999999999</v>
      </c>
      <c r="F559" s="11" t="str" cm="1">
        <f t="array" ref="F559">_xlfn.XLOOKUP(fsales[[#This Row],[ProductID]],dProduct[[#All],[ProductID]],dProduct[[#All],[Product]])</f>
        <v>Aspen</v>
      </c>
      <c r="G559" s="11" t="str" cm="1">
        <f t="array" ref="G559">_xlfn.XLOOKUP(fsales[[#This Row],[ProductID]],dProduct[[#All],[ProductID]],dProduct[[#All],[Supplier]])</f>
        <v>Colorado Booms</v>
      </c>
      <c r="H559" s="11" t="str" cm="1">
        <f t="array" ref="H559">_xlfn.XLOOKUP(fsales[[#This Row],[SalesRepID]],dSalesRep[[#All],[SalesRepID]],dSalesRep[[#All],[Region]])</f>
        <v>WA</v>
      </c>
    </row>
    <row r="560" spans="1:8" x14ac:dyDescent="0.3">
      <c r="A560" s="1">
        <v>44901</v>
      </c>
      <c r="B560">
        <v>2</v>
      </c>
      <c r="C560">
        <v>2</v>
      </c>
      <c r="D560">
        <v>161</v>
      </c>
      <c r="E560" s="11" cm="1">
        <f t="array" ref="E560">_xlfn.XLOOKUP(fsales[[#This Row],[ProductID]],dProduct[[#All],[ProductID]],dProduct[[#All],[Price]])*fsales[[#This Row],[Units]]</f>
        <v>4821.95</v>
      </c>
      <c r="F560" s="11" t="str" cm="1">
        <f t="array" ref="F560">_xlfn.XLOOKUP(fsales[[#This Row],[ProductID]],dProduct[[#All],[ProductID]],dProduct[[#All],[Product]])</f>
        <v>Carlota</v>
      </c>
      <c r="G560" s="11" t="str" cm="1">
        <f t="array" ref="G560">_xlfn.XLOOKUP(fsales[[#This Row],[ProductID]],dProduct[[#All],[ProductID]],dProduct[[#All],[Supplier]])</f>
        <v>Gel Booms</v>
      </c>
      <c r="H560" s="11" t="str" cm="1">
        <f t="array" ref="H560">_xlfn.XLOOKUP(fsales[[#This Row],[SalesRepID]],dSalesRep[[#All],[SalesRepID]],dSalesRep[[#All],[Region]])</f>
        <v>CA</v>
      </c>
    </row>
    <row r="561" spans="1:8" x14ac:dyDescent="0.3">
      <c r="A561" s="1">
        <v>44302</v>
      </c>
      <c r="B561">
        <v>3</v>
      </c>
      <c r="C561">
        <v>4</v>
      </c>
      <c r="D561">
        <v>1</v>
      </c>
      <c r="E561" s="11" cm="1">
        <f t="array" ref="E561">_xlfn.XLOOKUP(fsales[[#This Row],[ProductID]],dProduct[[#All],[ProductID]],dProduct[[#All],[Price]])*fsales[[#This Row],[Units]]</f>
        <v>25.95</v>
      </c>
      <c r="F561" s="11" t="str" cm="1">
        <f t="array" ref="F561">_xlfn.XLOOKUP(fsales[[#This Row],[ProductID]],dProduct[[#All],[ProductID]],dProduct[[#All],[Product]])</f>
        <v>Aspen</v>
      </c>
      <c r="G561" s="11" t="str" cm="1">
        <f t="array" ref="G561">_xlfn.XLOOKUP(fsales[[#This Row],[ProductID]],dProduct[[#All],[ProductID]],dProduct[[#All],[Supplier]])</f>
        <v>Colorado Booms</v>
      </c>
      <c r="H561" s="11" t="str" cm="1">
        <f t="array" ref="H561">_xlfn.XLOOKUP(fsales[[#This Row],[SalesRepID]],dSalesRep[[#All],[SalesRepID]],dSalesRep[[#All],[Region]])</f>
        <v>WA</v>
      </c>
    </row>
    <row r="562" spans="1:8" x14ac:dyDescent="0.3">
      <c r="A562" s="1">
        <v>44719</v>
      </c>
      <c r="B562">
        <v>2</v>
      </c>
      <c r="C562">
        <v>4</v>
      </c>
      <c r="D562">
        <v>4</v>
      </c>
      <c r="E562" s="11" cm="1">
        <f t="array" ref="E562">_xlfn.XLOOKUP(fsales[[#This Row],[ProductID]],dProduct[[#All],[ProductID]],dProduct[[#All],[Price]])*fsales[[#This Row],[Units]]</f>
        <v>119.8</v>
      </c>
      <c r="F562" s="11" t="str" cm="1">
        <f t="array" ref="F562">_xlfn.XLOOKUP(fsales[[#This Row],[ProductID]],dProduct[[#All],[ProductID]],dProduct[[#All],[Product]])</f>
        <v>Carlota</v>
      </c>
      <c r="G562" s="11" t="str" cm="1">
        <f t="array" ref="G562">_xlfn.XLOOKUP(fsales[[#This Row],[ProductID]],dProduct[[#All],[ProductID]],dProduct[[#All],[Supplier]])</f>
        <v>Gel Booms</v>
      </c>
      <c r="H562" s="11" t="str" cm="1">
        <f t="array" ref="H562">_xlfn.XLOOKUP(fsales[[#This Row],[SalesRepID]],dSalesRep[[#All],[SalesRepID]],dSalesRep[[#All],[Region]])</f>
        <v>WA</v>
      </c>
    </row>
    <row r="563" spans="1:8" x14ac:dyDescent="0.3">
      <c r="A563" s="1">
        <v>44536</v>
      </c>
      <c r="B563">
        <v>2</v>
      </c>
      <c r="C563">
        <v>4</v>
      </c>
      <c r="D563">
        <v>71</v>
      </c>
      <c r="E563" s="11" cm="1">
        <f t="array" ref="E563">_xlfn.XLOOKUP(fsales[[#This Row],[ProductID]],dProduct[[#All],[ProductID]],dProduct[[#All],[Price]])*fsales[[#This Row],[Units]]</f>
        <v>2126.4499999999998</v>
      </c>
      <c r="F563" s="11" t="str" cm="1">
        <f t="array" ref="F563">_xlfn.XLOOKUP(fsales[[#This Row],[ProductID]],dProduct[[#All],[ProductID]],dProduct[[#All],[Product]])</f>
        <v>Carlota</v>
      </c>
      <c r="G563" s="11" t="str" cm="1">
        <f t="array" ref="G563">_xlfn.XLOOKUP(fsales[[#This Row],[ProductID]],dProduct[[#All],[ProductID]],dProduct[[#All],[Supplier]])</f>
        <v>Gel Booms</v>
      </c>
      <c r="H563" s="11" t="str" cm="1">
        <f t="array" ref="H563">_xlfn.XLOOKUP(fsales[[#This Row],[SalesRepID]],dSalesRep[[#All],[SalesRepID]],dSalesRep[[#All],[Region]])</f>
        <v>WA</v>
      </c>
    </row>
    <row r="564" spans="1:8" x14ac:dyDescent="0.3">
      <c r="A564" s="1">
        <v>44510</v>
      </c>
      <c r="B564">
        <v>1</v>
      </c>
      <c r="C564">
        <v>2</v>
      </c>
      <c r="D564">
        <v>3</v>
      </c>
      <c r="E564" s="11" cm="1">
        <f t="array" ref="E564">_xlfn.XLOOKUP(fsales[[#This Row],[ProductID]],dProduct[[#All],[ProductID]],dProduct[[#All],[Price]])*fsales[[#This Row],[Units]]</f>
        <v>131.85000000000002</v>
      </c>
      <c r="F564" s="11" t="str" cm="1">
        <f t="array" ref="F564">_xlfn.XLOOKUP(fsales[[#This Row],[ProductID]],dProduct[[#All],[ProductID]],dProduct[[#All],[Product]])</f>
        <v>Quad</v>
      </c>
      <c r="G564" s="11" t="str" cm="1">
        <f t="array" ref="G564">_xlfn.XLOOKUP(fsales[[#This Row],[ProductID]],dProduct[[#All],[ProductID]],dProduct[[#All],[Supplier]])</f>
        <v>Gel Booms</v>
      </c>
      <c r="H564" s="11" t="str" cm="1">
        <f t="array" ref="H564">_xlfn.XLOOKUP(fsales[[#This Row],[SalesRepID]],dSalesRep[[#All],[SalesRepID]],dSalesRep[[#All],[Region]])</f>
        <v>CA</v>
      </c>
    </row>
    <row r="565" spans="1:8" x14ac:dyDescent="0.3">
      <c r="A565" s="1">
        <v>45279</v>
      </c>
      <c r="B565">
        <v>2</v>
      </c>
      <c r="C565">
        <v>4</v>
      </c>
      <c r="D565">
        <v>5</v>
      </c>
      <c r="E565" s="11" cm="1">
        <f t="array" ref="E565">_xlfn.XLOOKUP(fsales[[#This Row],[ProductID]],dProduct[[#All],[ProductID]],dProduct[[#All],[Price]])*fsales[[#This Row],[Units]]</f>
        <v>149.75</v>
      </c>
      <c r="F565" s="11" t="str" cm="1">
        <f t="array" ref="F565">_xlfn.XLOOKUP(fsales[[#This Row],[ProductID]],dProduct[[#All],[ProductID]],dProduct[[#All],[Product]])</f>
        <v>Carlota</v>
      </c>
      <c r="G565" s="11" t="str" cm="1">
        <f t="array" ref="G565">_xlfn.XLOOKUP(fsales[[#This Row],[ProductID]],dProduct[[#All],[ProductID]],dProduct[[#All],[Supplier]])</f>
        <v>Gel Booms</v>
      </c>
      <c r="H565" s="11" t="str" cm="1">
        <f t="array" ref="H565">_xlfn.XLOOKUP(fsales[[#This Row],[SalesRepID]],dSalesRep[[#All],[SalesRepID]],dSalesRep[[#All],[Region]])</f>
        <v>WA</v>
      </c>
    </row>
    <row r="566" spans="1:8" x14ac:dyDescent="0.3">
      <c r="A566" s="1">
        <v>44883</v>
      </c>
      <c r="B566">
        <v>2</v>
      </c>
      <c r="C566">
        <v>1</v>
      </c>
      <c r="D566">
        <v>82</v>
      </c>
      <c r="E566" s="11" cm="1">
        <f t="array" ref="E566">_xlfn.XLOOKUP(fsales[[#This Row],[ProductID]],dProduct[[#All],[ProductID]],dProduct[[#All],[Price]])*fsales[[#This Row],[Units]]</f>
        <v>2455.9</v>
      </c>
      <c r="F566" s="11" t="str" cm="1">
        <f t="array" ref="F566">_xlfn.XLOOKUP(fsales[[#This Row],[ProductID]],dProduct[[#All],[ProductID]],dProduct[[#All],[Product]])</f>
        <v>Carlota</v>
      </c>
      <c r="G566" s="11" t="str" cm="1">
        <f t="array" ref="G566">_xlfn.XLOOKUP(fsales[[#This Row],[ProductID]],dProduct[[#All],[ProductID]],dProduct[[#All],[Supplier]])</f>
        <v>Gel Booms</v>
      </c>
      <c r="H566" s="11" t="str" cm="1">
        <f t="array" ref="H566">_xlfn.XLOOKUP(fsales[[#This Row],[SalesRepID]],dSalesRep[[#All],[SalesRepID]],dSalesRep[[#All],[Region]])</f>
        <v>CA</v>
      </c>
    </row>
    <row r="567" spans="1:8" x14ac:dyDescent="0.3">
      <c r="A567" s="1">
        <v>45251</v>
      </c>
      <c r="B567">
        <v>2</v>
      </c>
      <c r="C567">
        <v>2</v>
      </c>
      <c r="D567">
        <v>6</v>
      </c>
      <c r="E567" s="11" cm="1">
        <f t="array" ref="E567">_xlfn.XLOOKUP(fsales[[#This Row],[ProductID]],dProduct[[#All],[ProductID]],dProduct[[#All],[Price]])*fsales[[#This Row],[Units]]</f>
        <v>179.7</v>
      </c>
      <c r="F567" s="11" t="str" cm="1">
        <f t="array" ref="F567">_xlfn.XLOOKUP(fsales[[#This Row],[ProductID]],dProduct[[#All],[ProductID]],dProduct[[#All],[Product]])</f>
        <v>Carlota</v>
      </c>
      <c r="G567" s="11" t="str" cm="1">
        <f t="array" ref="G567">_xlfn.XLOOKUP(fsales[[#This Row],[ProductID]],dProduct[[#All],[ProductID]],dProduct[[#All],[Supplier]])</f>
        <v>Gel Booms</v>
      </c>
      <c r="H567" s="11" t="str" cm="1">
        <f t="array" ref="H567">_xlfn.XLOOKUP(fsales[[#This Row],[SalesRepID]],dSalesRep[[#All],[SalesRepID]],dSalesRep[[#All],[Region]])</f>
        <v>CA</v>
      </c>
    </row>
    <row r="568" spans="1:8" x14ac:dyDescent="0.3">
      <c r="A568" s="1">
        <v>45131</v>
      </c>
      <c r="B568">
        <v>2</v>
      </c>
      <c r="C568">
        <v>4</v>
      </c>
      <c r="D568">
        <v>3</v>
      </c>
      <c r="E568" s="11" cm="1">
        <f t="array" ref="E568">_xlfn.XLOOKUP(fsales[[#This Row],[ProductID]],dProduct[[#All],[ProductID]],dProduct[[#All],[Price]])*fsales[[#This Row],[Units]]</f>
        <v>89.85</v>
      </c>
      <c r="F568" s="11" t="str" cm="1">
        <f t="array" ref="F568">_xlfn.XLOOKUP(fsales[[#This Row],[ProductID]],dProduct[[#All],[ProductID]],dProduct[[#All],[Product]])</f>
        <v>Carlota</v>
      </c>
      <c r="G568" s="11" t="str" cm="1">
        <f t="array" ref="G568">_xlfn.XLOOKUP(fsales[[#This Row],[ProductID]],dProduct[[#All],[ProductID]],dProduct[[#All],[Supplier]])</f>
        <v>Gel Booms</v>
      </c>
      <c r="H568" s="11" t="str" cm="1">
        <f t="array" ref="H568">_xlfn.XLOOKUP(fsales[[#This Row],[SalesRepID]],dSalesRep[[#All],[SalesRepID]],dSalesRep[[#All],[Region]])</f>
        <v>WA</v>
      </c>
    </row>
    <row r="569" spans="1:8" x14ac:dyDescent="0.3">
      <c r="A569" s="1">
        <v>44921</v>
      </c>
      <c r="B569">
        <v>1</v>
      </c>
      <c r="C569">
        <v>2</v>
      </c>
      <c r="D569">
        <v>21</v>
      </c>
      <c r="E569" s="11" cm="1">
        <f t="array" ref="E569">_xlfn.XLOOKUP(fsales[[#This Row],[ProductID]],dProduct[[#All],[ProductID]],dProduct[[#All],[Price]])*fsales[[#This Row],[Units]]</f>
        <v>922.95</v>
      </c>
      <c r="F569" s="11" t="str" cm="1">
        <f t="array" ref="F569">_xlfn.XLOOKUP(fsales[[#This Row],[ProductID]],dProduct[[#All],[ProductID]],dProduct[[#All],[Product]])</f>
        <v>Quad</v>
      </c>
      <c r="G569" s="11" t="str" cm="1">
        <f t="array" ref="G569">_xlfn.XLOOKUP(fsales[[#This Row],[ProductID]],dProduct[[#All],[ProductID]],dProduct[[#All],[Supplier]])</f>
        <v>Gel Booms</v>
      </c>
      <c r="H569" s="11" t="str" cm="1">
        <f t="array" ref="H569">_xlfn.XLOOKUP(fsales[[#This Row],[SalesRepID]],dSalesRep[[#All],[SalesRepID]],dSalesRep[[#All],[Region]])</f>
        <v>CA</v>
      </c>
    </row>
    <row r="570" spans="1:8" x14ac:dyDescent="0.3">
      <c r="A570" s="1">
        <v>44476</v>
      </c>
      <c r="B570">
        <v>2</v>
      </c>
      <c r="C570">
        <v>4</v>
      </c>
      <c r="D570">
        <v>90</v>
      </c>
      <c r="E570" s="11" cm="1">
        <f t="array" ref="E570">_xlfn.XLOOKUP(fsales[[#This Row],[ProductID]],dProduct[[#All],[ProductID]],dProduct[[#All],[Price]])*fsales[[#This Row],[Units]]</f>
        <v>2695.5</v>
      </c>
      <c r="F570" s="11" t="str" cm="1">
        <f t="array" ref="F570">_xlfn.XLOOKUP(fsales[[#This Row],[ProductID]],dProduct[[#All],[ProductID]],dProduct[[#All],[Product]])</f>
        <v>Carlota</v>
      </c>
      <c r="G570" s="11" t="str" cm="1">
        <f t="array" ref="G570">_xlfn.XLOOKUP(fsales[[#This Row],[ProductID]],dProduct[[#All],[ProductID]],dProduct[[#All],[Supplier]])</f>
        <v>Gel Booms</v>
      </c>
      <c r="H570" s="11" t="str" cm="1">
        <f t="array" ref="H570">_xlfn.XLOOKUP(fsales[[#This Row],[SalesRepID]],dSalesRep[[#All],[SalesRepID]],dSalesRep[[#All],[Region]])</f>
        <v>WA</v>
      </c>
    </row>
    <row r="571" spans="1:8" x14ac:dyDescent="0.3">
      <c r="A571" s="1">
        <v>44414</v>
      </c>
      <c r="B571">
        <v>2</v>
      </c>
      <c r="C571">
        <v>2</v>
      </c>
      <c r="D571">
        <v>93</v>
      </c>
      <c r="E571" s="11" cm="1">
        <f t="array" ref="E571">_xlfn.XLOOKUP(fsales[[#This Row],[ProductID]],dProduct[[#All],[ProductID]],dProduct[[#All],[Price]])*fsales[[#This Row],[Units]]</f>
        <v>2785.35</v>
      </c>
      <c r="F571" s="11" t="str" cm="1">
        <f t="array" ref="F571">_xlfn.XLOOKUP(fsales[[#This Row],[ProductID]],dProduct[[#All],[ProductID]],dProduct[[#All],[Product]])</f>
        <v>Carlota</v>
      </c>
      <c r="G571" s="11" t="str" cm="1">
        <f t="array" ref="G571">_xlfn.XLOOKUP(fsales[[#This Row],[ProductID]],dProduct[[#All],[ProductID]],dProduct[[#All],[Supplier]])</f>
        <v>Gel Booms</v>
      </c>
      <c r="H571" s="11" t="str" cm="1">
        <f t="array" ref="H571">_xlfn.XLOOKUP(fsales[[#This Row],[SalesRepID]],dSalesRep[[#All],[SalesRepID]],dSalesRep[[#All],[Region]])</f>
        <v>CA</v>
      </c>
    </row>
    <row r="572" spans="1:8" x14ac:dyDescent="0.3">
      <c r="A572" s="1">
        <v>45134</v>
      </c>
      <c r="B572">
        <v>2</v>
      </c>
      <c r="C572">
        <v>4</v>
      </c>
      <c r="D572">
        <v>2</v>
      </c>
      <c r="E572" s="11" cm="1">
        <f t="array" ref="E572">_xlfn.XLOOKUP(fsales[[#This Row],[ProductID]],dProduct[[#All],[ProductID]],dProduct[[#All],[Price]])*fsales[[#This Row],[Units]]</f>
        <v>59.9</v>
      </c>
      <c r="F572" s="11" t="str" cm="1">
        <f t="array" ref="F572">_xlfn.XLOOKUP(fsales[[#This Row],[ProductID]],dProduct[[#All],[ProductID]],dProduct[[#All],[Product]])</f>
        <v>Carlota</v>
      </c>
      <c r="G572" s="11" t="str" cm="1">
        <f t="array" ref="G572">_xlfn.XLOOKUP(fsales[[#This Row],[ProductID]],dProduct[[#All],[ProductID]],dProduct[[#All],[Supplier]])</f>
        <v>Gel Booms</v>
      </c>
      <c r="H572" s="11" t="str" cm="1">
        <f t="array" ref="H572">_xlfn.XLOOKUP(fsales[[#This Row],[SalesRepID]],dSalesRep[[#All],[SalesRepID]],dSalesRep[[#All],[Region]])</f>
        <v>WA</v>
      </c>
    </row>
    <row r="573" spans="1:8" x14ac:dyDescent="0.3">
      <c r="A573" s="1">
        <v>44301</v>
      </c>
      <c r="B573">
        <v>2</v>
      </c>
      <c r="C573">
        <v>2</v>
      </c>
      <c r="D573">
        <v>286</v>
      </c>
      <c r="E573" s="11" cm="1">
        <f t="array" ref="E573">_xlfn.XLOOKUP(fsales[[#This Row],[ProductID]],dProduct[[#All],[ProductID]],dProduct[[#All],[Price]])*fsales[[#This Row],[Units]]</f>
        <v>8565.6999999999989</v>
      </c>
      <c r="F573" s="11" t="str" cm="1">
        <f t="array" ref="F573">_xlfn.XLOOKUP(fsales[[#This Row],[ProductID]],dProduct[[#All],[ProductID]],dProduct[[#All],[Product]])</f>
        <v>Carlota</v>
      </c>
      <c r="G573" s="11" t="str" cm="1">
        <f t="array" ref="G573">_xlfn.XLOOKUP(fsales[[#This Row],[ProductID]],dProduct[[#All],[ProductID]],dProduct[[#All],[Supplier]])</f>
        <v>Gel Booms</v>
      </c>
      <c r="H573" s="11" t="str" cm="1">
        <f t="array" ref="H573">_xlfn.XLOOKUP(fsales[[#This Row],[SalesRepID]],dSalesRep[[#All],[SalesRepID]],dSalesRep[[#All],[Region]])</f>
        <v>CA</v>
      </c>
    </row>
    <row r="574" spans="1:8" x14ac:dyDescent="0.3">
      <c r="A574" s="1">
        <v>44855</v>
      </c>
      <c r="B574">
        <v>2</v>
      </c>
      <c r="C574">
        <v>2</v>
      </c>
      <c r="D574">
        <v>6</v>
      </c>
      <c r="E574" s="11" cm="1">
        <f t="array" ref="E574">_xlfn.XLOOKUP(fsales[[#This Row],[ProductID]],dProduct[[#All],[ProductID]],dProduct[[#All],[Price]])*fsales[[#This Row],[Units]]</f>
        <v>179.7</v>
      </c>
      <c r="F574" s="11" t="str" cm="1">
        <f t="array" ref="F574">_xlfn.XLOOKUP(fsales[[#This Row],[ProductID]],dProduct[[#All],[ProductID]],dProduct[[#All],[Product]])</f>
        <v>Carlota</v>
      </c>
      <c r="G574" s="11" t="str" cm="1">
        <f t="array" ref="G574">_xlfn.XLOOKUP(fsales[[#This Row],[ProductID]],dProduct[[#All],[ProductID]],dProduct[[#All],[Supplier]])</f>
        <v>Gel Booms</v>
      </c>
      <c r="H574" s="11" t="str" cm="1">
        <f t="array" ref="H574">_xlfn.XLOOKUP(fsales[[#This Row],[SalesRepID]],dSalesRep[[#All],[SalesRepID]],dSalesRep[[#All],[Region]])</f>
        <v>CA</v>
      </c>
    </row>
    <row r="575" spans="1:8" x14ac:dyDescent="0.3">
      <c r="A575" s="1">
        <v>45220</v>
      </c>
      <c r="B575">
        <v>2</v>
      </c>
      <c r="C575">
        <v>4</v>
      </c>
      <c r="D575">
        <v>11</v>
      </c>
      <c r="E575" s="11" cm="1">
        <f t="array" ref="E575">_xlfn.XLOOKUP(fsales[[#This Row],[ProductID]],dProduct[[#All],[ProductID]],dProduct[[#All],[Price]])*fsales[[#This Row],[Units]]</f>
        <v>329.45</v>
      </c>
      <c r="F575" s="11" t="str" cm="1">
        <f t="array" ref="F575">_xlfn.XLOOKUP(fsales[[#This Row],[ProductID]],dProduct[[#All],[ProductID]],dProduct[[#All],[Product]])</f>
        <v>Carlota</v>
      </c>
      <c r="G575" s="11" t="str" cm="1">
        <f t="array" ref="G575">_xlfn.XLOOKUP(fsales[[#This Row],[ProductID]],dProduct[[#All],[ProductID]],dProduct[[#All],[Supplier]])</f>
        <v>Gel Booms</v>
      </c>
      <c r="H575" s="11" t="str" cm="1">
        <f t="array" ref="H575">_xlfn.XLOOKUP(fsales[[#This Row],[SalesRepID]],dSalesRep[[#All],[SalesRepID]],dSalesRep[[#All],[Region]])</f>
        <v>WA</v>
      </c>
    </row>
    <row r="576" spans="1:8" x14ac:dyDescent="0.3">
      <c r="A576" s="1">
        <v>44560</v>
      </c>
      <c r="B576">
        <v>2</v>
      </c>
      <c r="C576">
        <v>4</v>
      </c>
      <c r="D576">
        <v>252</v>
      </c>
      <c r="E576" s="11" cm="1">
        <f t="array" ref="E576">_xlfn.XLOOKUP(fsales[[#This Row],[ProductID]],dProduct[[#All],[ProductID]],dProduct[[#All],[Price]])*fsales[[#This Row],[Units]]</f>
        <v>7547.4</v>
      </c>
      <c r="F576" s="11" t="str" cm="1">
        <f t="array" ref="F576">_xlfn.XLOOKUP(fsales[[#This Row],[ProductID]],dProduct[[#All],[ProductID]],dProduct[[#All],[Product]])</f>
        <v>Carlota</v>
      </c>
      <c r="G576" s="11" t="str" cm="1">
        <f t="array" ref="G576">_xlfn.XLOOKUP(fsales[[#This Row],[ProductID]],dProduct[[#All],[ProductID]],dProduct[[#All],[Supplier]])</f>
        <v>Gel Booms</v>
      </c>
      <c r="H576" s="11" t="str" cm="1">
        <f t="array" ref="H576">_xlfn.XLOOKUP(fsales[[#This Row],[SalesRepID]],dSalesRep[[#All],[SalesRepID]],dSalesRep[[#All],[Region]])</f>
        <v>WA</v>
      </c>
    </row>
    <row r="577" spans="1:8" x14ac:dyDescent="0.3">
      <c r="A577" s="1">
        <v>44916</v>
      </c>
      <c r="B577">
        <v>1</v>
      </c>
      <c r="C577">
        <v>2</v>
      </c>
      <c r="D577">
        <v>63</v>
      </c>
      <c r="E577" s="11" cm="1">
        <f t="array" ref="E577">_xlfn.XLOOKUP(fsales[[#This Row],[ProductID]],dProduct[[#All],[ProductID]],dProduct[[#All],[Price]])*fsales[[#This Row],[Units]]</f>
        <v>2768.8500000000004</v>
      </c>
      <c r="F577" s="11" t="str" cm="1">
        <f t="array" ref="F577">_xlfn.XLOOKUP(fsales[[#This Row],[ProductID]],dProduct[[#All],[ProductID]],dProduct[[#All],[Product]])</f>
        <v>Quad</v>
      </c>
      <c r="G577" s="11" t="str" cm="1">
        <f t="array" ref="G577">_xlfn.XLOOKUP(fsales[[#This Row],[ProductID]],dProduct[[#All],[ProductID]],dProduct[[#All],[Supplier]])</f>
        <v>Gel Booms</v>
      </c>
      <c r="H577" s="11" t="str" cm="1">
        <f t="array" ref="H577">_xlfn.XLOOKUP(fsales[[#This Row],[SalesRepID]],dSalesRep[[#All],[SalesRepID]],dSalesRep[[#All],[Region]])</f>
        <v>CA</v>
      </c>
    </row>
    <row r="578" spans="1:8" x14ac:dyDescent="0.3">
      <c r="A578" s="1">
        <v>44369</v>
      </c>
      <c r="B578">
        <v>2</v>
      </c>
      <c r="C578">
        <v>2</v>
      </c>
      <c r="D578">
        <v>90</v>
      </c>
      <c r="E578" s="11" cm="1">
        <f t="array" ref="E578">_xlfn.XLOOKUP(fsales[[#This Row],[ProductID]],dProduct[[#All],[ProductID]],dProduct[[#All],[Price]])*fsales[[#This Row],[Units]]</f>
        <v>2695.5</v>
      </c>
      <c r="F578" s="11" t="str" cm="1">
        <f t="array" ref="F578">_xlfn.XLOOKUP(fsales[[#This Row],[ProductID]],dProduct[[#All],[ProductID]],dProduct[[#All],[Product]])</f>
        <v>Carlota</v>
      </c>
      <c r="G578" s="11" t="str" cm="1">
        <f t="array" ref="G578">_xlfn.XLOOKUP(fsales[[#This Row],[ProductID]],dProduct[[#All],[ProductID]],dProduct[[#All],[Supplier]])</f>
        <v>Gel Booms</v>
      </c>
      <c r="H578" s="11" t="str" cm="1">
        <f t="array" ref="H578">_xlfn.XLOOKUP(fsales[[#This Row],[SalesRepID]],dSalesRep[[#All],[SalesRepID]],dSalesRep[[#All],[Region]])</f>
        <v>CA</v>
      </c>
    </row>
    <row r="579" spans="1:8" x14ac:dyDescent="0.3">
      <c r="A579" s="1">
        <v>45184</v>
      </c>
      <c r="B579">
        <v>4</v>
      </c>
      <c r="C579">
        <v>2</v>
      </c>
      <c r="D579">
        <v>43</v>
      </c>
      <c r="E579" s="11" cm="1">
        <f t="array" ref="E579">_xlfn.XLOOKUP(fsales[[#This Row],[ProductID]],dProduct[[#All],[ProductID]],dProduct[[#All],[Price]])*fsales[[#This Row],[Units]]</f>
        <v>1029.8499999999999</v>
      </c>
      <c r="F579" s="11" t="str" cm="1">
        <f t="array" ref="F579">_xlfn.XLOOKUP(fsales[[#This Row],[ProductID]],dProduct[[#All],[ProductID]],dProduct[[#All],[Product]])</f>
        <v>Yanaki</v>
      </c>
      <c r="G579" s="11" t="str" cm="1">
        <f t="array" ref="G579">_xlfn.XLOOKUP(fsales[[#This Row],[ProductID]],dProduct[[#All],[ProductID]],dProduct[[#All],[Supplier]])</f>
        <v>Colorado Booms</v>
      </c>
      <c r="H579" s="11" t="str" cm="1">
        <f t="array" ref="H579">_xlfn.XLOOKUP(fsales[[#This Row],[SalesRepID]],dSalesRep[[#All],[SalesRepID]],dSalesRep[[#All],[Region]])</f>
        <v>CA</v>
      </c>
    </row>
    <row r="580" spans="1:8" x14ac:dyDescent="0.3">
      <c r="A580" s="1">
        <v>45258</v>
      </c>
      <c r="B580">
        <v>2</v>
      </c>
      <c r="C580">
        <v>2</v>
      </c>
      <c r="D580">
        <v>59</v>
      </c>
      <c r="E580" s="11" cm="1">
        <f t="array" ref="E580">_xlfn.XLOOKUP(fsales[[#This Row],[ProductID]],dProduct[[#All],[ProductID]],dProduct[[#All],[Price]])*fsales[[#This Row],[Units]]</f>
        <v>1767.05</v>
      </c>
      <c r="F580" s="11" t="str" cm="1">
        <f t="array" ref="F580">_xlfn.XLOOKUP(fsales[[#This Row],[ProductID]],dProduct[[#All],[ProductID]],dProduct[[#All],[Product]])</f>
        <v>Carlota</v>
      </c>
      <c r="G580" s="11" t="str" cm="1">
        <f t="array" ref="G580">_xlfn.XLOOKUP(fsales[[#This Row],[ProductID]],dProduct[[#All],[ProductID]],dProduct[[#All],[Supplier]])</f>
        <v>Gel Booms</v>
      </c>
      <c r="H580" s="11" t="str" cm="1">
        <f t="array" ref="H580">_xlfn.XLOOKUP(fsales[[#This Row],[SalesRepID]],dSalesRep[[#All],[SalesRepID]],dSalesRep[[#All],[Region]])</f>
        <v>CA</v>
      </c>
    </row>
    <row r="581" spans="1:8" x14ac:dyDescent="0.3">
      <c r="A581" s="1">
        <v>44768</v>
      </c>
      <c r="B581">
        <v>2</v>
      </c>
      <c r="C581">
        <v>2</v>
      </c>
      <c r="D581">
        <v>274</v>
      </c>
      <c r="E581" s="11" cm="1">
        <f t="array" ref="E581">_xlfn.XLOOKUP(fsales[[#This Row],[ProductID]],dProduct[[#All],[ProductID]],dProduct[[#All],[Price]])*fsales[[#This Row],[Units]]</f>
        <v>8206.2999999999993</v>
      </c>
      <c r="F581" s="11" t="str" cm="1">
        <f t="array" ref="F581">_xlfn.XLOOKUP(fsales[[#This Row],[ProductID]],dProduct[[#All],[ProductID]],dProduct[[#All],[Product]])</f>
        <v>Carlota</v>
      </c>
      <c r="G581" s="11" t="str" cm="1">
        <f t="array" ref="G581">_xlfn.XLOOKUP(fsales[[#This Row],[ProductID]],dProduct[[#All],[ProductID]],dProduct[[#All],[Supplier]])</f>
        <v>Gel Booms</v>
      </c>
      <c r="H581" s="11" t="str" cm="1">
        <f t="array" ref="H581">_xlfn.XLOOKUP(fsales[[#This Row],[SalesRepID]],dSalesRep[[#All],[SalesRepID]],dSalesRep[[#All],[Region]])</f>
        <v>CA</v>
      </c>
    </row>
    <row r="582" spans="1:8" x14ac:dyDescent="0.3">
      <c r="A582" s="1">
        <v>44914</v>
      </c>
      <c r="B582">
        <v>4</v>
      </c>
      <c r="C582">
        <v>2</v>
      </c>
      <c r="D582">
        <v>57</v>
      </c>
      <c r="E582" s="11" cm="1">
        <f t="array" ref="E582">_xlfn.XLOOKUP(fsales[[#This Row],[ProductID]],dProduct[[#All],[ProductID]],dProduct[[#All],[Price]])*fsales[[#This Row],[Units]]</f>
        <v>1365.1499999999999</v>
      </c>
      <c r="F582" s="11" t="str" cm="1">
        <f t="array" ref="F582">_xlfn.XLOOKUP(fsales[[#This Row],[ProductID]],dProduct[[#All],[ProductID]],dProduct[[#All],[Product]])</f>
        <v>Yanaki</v>
      </c>
      <c r="G582" s="11" t="str" cm="1">
        <f t="array" ref="G582">_xlfn.XLOOKUP(fsales[[#This Row],[ProductID]],dProduct[[#All],[ProductID]],dProduct[[#All],[Supplier]])</f>
        <v>Colorado Booms</v>
      </c>
      <c r="H582" s="11" t="str" cm="1">
        <f t="array" ref="H582">_xlfn.XLOOKUP(fsales[[#This Row],[SalesRepID]],dSalesRep[[#All],[SalesRepID]],dSalesRep[[#All],[Region]])</f>
        <v>CA</v>
      </c>
    </row>
    <row r="583" spans="1:8" x14ac:dyDescent="0.3">
      <c r="A583" s="1">
        <v>44876</v>
      </c>
      <c r="B583">
        <v>2</v>
      </c>
      <c r="C583">
        <v>1</v>
      </c>
      <c r="D583">
        <v>3</v>
      </c>
      <c r="E583" s="11" cm="1">
        <f t="array" ref="E583">_xlfn.XLOOKUP(fsales[[#This Row],[ProductID]],dProduct[[#All],[ProductID]],dProduct[[#All],[Price]])*fsales[[#This Row],[Units]]</f>
        <v>89.85</v>
      </c>
      <c r="F583" s="11" t="str" cm="1">
        <f t="array" ref="F583">_xlfn.XLOOKUP(fsales[[#This Row],[ProductID]],dProduct[[#All],[ProductID]],dProduct[[#All],[Product]])</f>
        <v>Carlota</v>
      </c>
      <c r="G583" s="11" t="str" cm="1">
        <f t="array" ref="G583">_xlfn.XLOOKUP(fsales[[#This Row],[ProductID]],dProduct[[#All],[ProductID]],dProduct[[#All],[Supplier]])</f>
        <v>Gel Booms</v>
      </c>
      <c r="H583" s="11" t="str" cm="1">
        <f t="array" ref="H583">_xlfn.XLOOKUP(fsales[[#This Row],[SalesRepID]],dSalesRep[[#All],[SalesRepID]],dSalesRep[[#All],[Region]])</f>
        <v>CA</v>
      </c>
    </row>
    <row r="584" spans="1:8" x14ac:dyDescent="0.3">
      <c r="A584" s="1">
        <v>44515</v>
      </c>
      <c r="B584">
        <v>4</v>
      </c>
      <c r="C584">
        <v>2</v>
      </c>
      <c r="D584">
        <v>6</v>
      </c>
      <c r="E584" s="11" cm="1">
        <f t="array" ref="E584">_xlfn.XLOOKUP(fsales[[#This Row],[ProductID]],dProduct[[#All],[ProductID]],dProduct[[#All],[Price]])*fsales[[#This Row],[Units]]</f>
        <v>143.69999999999999</v>
      </c>
      <c r="F584" s="11" t="str" cm="1">
        <f t="array" ref="F584">_xlfn.XLOOKUP(fsales[[#This Row],[ProductID]],dProduct[[#All],[ProductID]],dProduct[[#All],[Product]])</f>
        <v>Yanaki</v>
      </c>
      <c r="G584" s="11" t="str" cm="1">
        <f t="array" ref="G584">_xlfn.XLOOKUP(fsales[[#This Row],[ProductID]],dProduct[[#All],[ProductID]],dProduct[[#All],[Supplier]])</f>
        <v>Colorado Booms</v>
      </c>
      <c r="H584" s="11" t="str" cm="1">
        <f t="array" ref="H584">_xlfn.XLOOKUP(fsales[[#This Row],[SalesRepID]],dSalesRep[[#All],[SalesRepID]],dSalesRep[[#All],[Region]])</f>
        <v>CA</v>
      </c>
    </row>
    <row r="585" spans="1:8" x14ac:dyDescent="0.3">
      <c r="A585" s="1">
        <v>44918</v>
      </c>
      <c r="B585">
        <v>2</v>
      </c>
      <c r="C585">
        <v>2</v>
      </c>
      <c r="D585">
        <v>2</v>
      </c>
      <c r="E585" s="11" cm="1">
        <f t="array" ref="E585">_xlfn.XLOOKUP(fsales[[#This Row],[ProductID]],dProduct[[#All],[ProductID]],dProduct[[#All],[Price]])*fsales[[#This Row],[Units]]</f>
        <v>59.9</v>
      </c>
      <c r="F585" s="11" t="str" cm="1">
        <f t="array" ref="F585">_xlfn.XLOOKUP(fsales[[#This Row],[ProductID]],dProduct[[#All],[ProductID]],dProduct[[#All],[Product]])</f>
        <v>Carlota</v>
      </c>
      <c r="G585" s="11" t="str" cm="1">
        <f t="array" ref="G585">_xlfn.XLOOKUP(fsales[[#This Row],[ProductID]],dProduct[[#All],[ProductID]],dProduct[[#All],[Supplier]])</f>
        <v>Gel Booms</v>
      </c>
      <c r="H585" s="11" t="str" cm="1">
        <f t="array" ref="H585">_xlfn.XLOOKUP(fsales[[#This Row],[SalesRepID]],dSalesRep[[#All],[SalesRepID]],dSalesRep[[#All],[Region]])</f>
        <v>CA</v>
      </c>
    </row>
    <row r="586" spans="1:8" x14ac:dyDescent="0.3">
      <c r="A586" s="1">
        <v>45282</v>
      </c>
      <c r="B586">
        <v>4</v>
      </c>
      <c r="C586">
        <v>4</v>
      </c>
      <c r="D586">
        <v>37</v>
      </c>
      <c r="E586" s="11" cm="1">
        <f t="array" ref="E586">_xlfn.XLOOKUP(fsales[[#This Row],[ProductID]],dProduct[[#All],[ProductID]],dProduct[[#All],[Price]])*fsales[[#This Row],[Units]]</f>
        <v>886.15</v>
      </c>
      <c r="F586" s="11" t="str" cm="1">
        <f t="array" ref="F586">_xlfn.XLOOKUP(fsales[[#This Row],[ProductID]],dProduct[[#All],[ProductID]],dProduct[[#All],[Product]])</f>
        <v>Yanaki</v>
      </c>
      <c r="G586" s="11" t="str" cm="1">
        <f t="array" ref="G586">_xlfn.XLOOKUP(fsales[[#This Row],[ProductID]],dProduct[[#All],[ProductID]],dProduct[[#All],[Supplier]])</f>
        <v>Colorado Booms</v>
      </c>
      <c r="H586" s="11" t="str" cm="1">
        <f t="array" ref="H586">_xlfn.XLOOKUP(fsales[[#This Row],[SalesRepID]],dSalesRep[[#All],[SalesRepID]],dSalesRep[[#All],[Region]])</f>
        <v>WA</v>
      </c>
    </row>
    <row r="587" spans="1:8" x14ac:dyDescent="0.3">
      <c r="A587" s="1">
        <v>45221</v>
      </c>
      <c r="B587">
        <v>2</v>
      </c>
      <c r="C587">
        <v>4</v>
      </c>
      <c r="D587">
        <v>248</v>
      </c>
      <c r="E587" s="11" cm="1">
        <f t="array" ref="E587">_xlfn.XLOOKUP(fsales[[#This Row],[ProductID]],dProduct[[#All],[ProductID]],dProduct[[#All],[Price]])*fsales[[#This Row],[Units]]</f>
        <v>7427.5999999999995</v>
      </c>
      <c r="F587" s="11" t="str" cm="1">
        <f t="array" ref="F587">_xlfn.XLOOKUP(fsales[[#This Row],[ProductID]],dProduct[[#All],[ProductID]],dProduct[[#All],[Product]])</f>
        <v>Carlota</v>
      </c>
      <c r="G587" s="11" t="str" cm="1">
        <f t="array" ref="G587">_xlfn.XLOOKUP(fsales[[#This Row],[ProductID]],dProduct[[#All],[ProductID]],dProduct[[#All],[Supplier]])</f>
        <v>Gel Booms</v>
      </c>
      <c r="H587" s="11" t="str" cm="1">
        <f t="array" ref="H587">_xlfn.XLOOKUP(fsales[[#This Row],[SalesRepID]],dSalesRep[[#All],[SalesRepID]],dSalesRep[[#All],[Region]])</f>
        <v>WA</v>
      </c>
    </row>
    <row r="588" spans="1:8" x14ac:dyDescent="0.3">
      <c r="A588" s="1">
        <v>45232</v>
      </c>
      <c r="B588">
        <v>2</v>
      </c>
      <c r="C588">
        <v>1</v>
      </c>
      <c r="D588">
        <v>116</v>
      </c>
      <c r="E588" s="11" cm="1">
        <f t="array" ref="E588">_xlfn.XLOOKUP(fsales[[#This Row],[ProductID]],dProduct[[#All],[ProductID]],dProduct[[#All],[Price]])*fsales[[#This Row],[Units]]</f>
        <v>3474.2</v>
      </c>
      <c r="F588" s="11" t="str" cm="1">
        <f t="array" ref="F588">_xlfn.XLOOKUP(fsales[[#This Row],[ProductID]],dProduct[[#All],[ProductID]],dProduct[[#All],[Product]])</f>
        <v>Carlota</v>
      </c>
      <c r="G588" s="11" t="str" cm="1">
        <f t="array" ref="G588">_xlfn.XLOOKUP(fsales[[#This Row],[ProductID]],dProduct[[#All],[ProductID]],dProduct[[#All],[Supplier]])</f>
        <v>Gel Booms</v>
      </c>
      <c r="H588" s="11" t="str" cm="1">
        <f t="array" ref="H588">_xlfn.XLOOKUP(fsales[[#This Row],[SalesRepID]],dSalesRep[[#All],[SalesRepID]],dSalesRep[[#All],[Region]])</f>
        <v>CA</v>
      </c>
    </row>
    <row r="589" spans="1:8" x14ac:dyDescent="0.3">
      <c r="A589" s="1">
        <v>44743</v>
      </c>
      <c r="B589">
        <v>2</v>
      </c>
      <c r="C589">
        <v>4</v>
      </c>
      <c r="D589">
        <v>66</v>
      </c>
      <c r="E589" s="11" cm="1">
        <f t="array" ref="E589">_xlfn.XLOOKUP(fsales[[#This Row],[ProductID]],dProduct[[#All],[ProductID]],dProduct[[#All],[Price]])*fsales[[#This Row],[Units]]</f>
        <v>1976.7</v>
      </c>
      <c r="F589" s="11" t="str" cm="1">
        <f t="array" ref="F589">_xlfn.XLOOKUP(fsales[[#This Row],[ProductID]],dProduct[[#All],[ProductID]],dProduct[[#All],[Product]])</f>
        <v>Carlota</v>
      </c>
      <c r="G589" s="11" t="str" cm="1">
        <f t="array" ref="G589">_xlfn.XLOOKUP(fsales[[#This Row],[ProductID]],dProduct[[#All],[ProductID]],dProduct[[#All],[Supplier]])</f>
        <v>Gel Booms</v>
      </c>
      <c r="H589" s="11" t="str" cm="1">
        <f t="array" ref="H589">_xlfn.XLOOKUP(fsales[[#This Row],[SalesRepID]],dSalesRep[[#All],[SalesRepID]],dSalesRep[[#All],[Region]])</f>
        <v>WA</v>
      </c>
    </row>
    <row r="590" spans="1:8" x14ac:dyDescent="0.3">
      <c r="A590" s="1">
        <v>45024</v>
      </c>
      <c r="B590">
        <v>4</v>
      </c>
      <c r="C590">
        <v>3</v>
      </c>
      <c r="D590">
        <v>5</v>
      </c>
      <c r="E590" s="11" cm="1">
        <f t="array" ref="E590">_xlfn.XLOOKUP(fsales[[#This Row],[ProductID]],dProduct[[#All],[ProductID]],dProduct[[#All],[Price]])*fsales[[#This Row],[Units]]</f>
        <v>119.75</v>
      </c>
      <c r="F590" s="11" t="str" cm="1">
        <f t="array" ref="F590">_xlfn.XLOOKUP(fsales[[#This Row],[ProductID]],dProduct[[#All],[ProductID]],dProduct[[#All],[Product]])</f>
        <v>Yanaki</v>
      </c>
      <c r="G590" s="11" t="str" cm="1">
        <f t="array" ref="G590">_xlfn.XLOOKUP(fsales[[#This Row],[ProductID]],dProduct[[#All],[ProductID]],dProduct[[#All],[Supplier]])</f>
        <v>Colorado Booms</v>
      </c>
      <c r="H590" s="11" t="str" cm="1">
        <f t="array" ref="H590">_xlfn.XLOOKUP(fsales[[#This Row],[SalesRepID]],dSalesRep[[#All],[SalesRepID]],dSalesRep[[#All],[Region]])</f>
        <v>WA</v>
      </c>
    </row>
    <row r="591" spans="1:8" x14ac:dyDescent="0.3">
      <c r="A591" s="1">
        <v>44772</v>
      </c>
      <c r="B591">
        <v>2</v>
      </c>
      <c r="C591">
        <v>4</v>
      </c>
      <c r="D591">
        <v>126</v>
      </c>
      <c r="E591" s="11" cm="1">
        <f t="array" ref="E591">_xlfn.XLOOKUP(fsales[[#This Row],[ProductID]],dProduct[[#All],[ProductID]],dProduct[[#All],[Price]])*fsales[[#This Row],[Units]]</f>
        <v>3773.7</v>
      </c>
      <c r="F591" s="11" t="str" cm="1">
        <f t="array" ref="F591">_xlfn.XLOOKUP(fsales[[#This Row],[ProductID]],dProduct[[#All],[ProductID]],dProduct[[#All],[Product]])</f>
        <v>Carlota</v>
      </c>
      <c r="G591" s="11" t="str" cm="1">
        <f t="array" ref="G591">_xlfn.XLOOKUP(fsales[[#This Row],[ProductID]],dProduct[[#All],[ProductID]],dProduct[[#All],[Supplier]])</f>
        <v>Gel Booms</v>
      </c>
      <c r="H591" s="11" t="str" cm="1">
        <f t="array" ref="H591">_xlfn.XLOOKUP(fsales[[#This Row],[SalesRepID]],dSalesRep[[#All],[SalesRepID]],dSalesRep[[#All],[Region]])</f>
        <v>WA</v>
      </c>
    </row>
    <row r="592" spans="1:8" x14ac:dyDescent="0.3">
      <c r="A592" s="1">
        <v>44835</v>
      </c>
      <c r="B592">
        <v>2</v>
      </c>
      <c r="C592">
        <v>4</v>
      </c>
      <c r="D592">
        <v>121</v>
      </c>
      <c r="E592" s="11" cm="1">
        <f t="array" ref="E592">_xlfn.XLOOKUP(fsales[[#This Row],[ProductID]],dProduct[[#All],[ProductID]],dProduct[[#All],[Price]])*fsales[[#This Row],[Units]]</f>
        <v>3623.95</v>
      </c>
      <c r="F592" s="11" t="str" cm="1">
        <f t="array" ref="F592">_xlfn.XLOOKUP(fsales[[#This Row],[ProductID]],dProduct[[#All],[ProductID]],dProduct[[#All],[Product]])</f>
        <v>Carlota</v>
      </c>
      <c r="G592" s="11" t="str" cm="1">
        <f t="array" ref="G592">_xlfn.XLOOKUP(fsales[[#This Row],[ProductID]],dProduct[[#All],[ProductID]],dProduct[[#All],[Supplier]])</f>
        <v>Gel Booms</v>
      </c>
      <c r="H592" s="11" t="str" cm="1">
        <f t="array" ref="H592">_xlfn.XLOOKUP(fsales[[#This Row],[SalesRepID]],dSalesRep[[#All],[SalesRepID]],dSalesRep[[#All],[Region]])</f>
        <v>WA</v>
      </c>
    </row>
    <row r="593" spans="1:8" x14ac:dyDescent="0.3">
      <c r="A593" s="1">
        <v>45241</v>
      </c>
      <c r="B593">
        <v>2</v>
      </c>
      <c r="C593">
        <v>4</v>
      </c>
      <c r="D593">
        <v>126</v>
      </c>
      <c r="E593" s="11" cm="1">
        <f t="array" ref="E593">_xlfn.XLOOKUP(fsales[[#This Row],[ProductID]],dProduct[[#All],[ProductID]],dProduct[[#All],[Price]])*fsales[[#This Row],[Units]]</f>
        <v>3773.7</v>
      </c>
      <c r="F593" s="11" t="str" cm="1">
        <f t="array" ref="F593">_xlfn.XLOOKUP(fsales[[#This Row],[ProductID]],dProduct[[#All],[ProductID]],dProduct[[#All],[Product]])</f>
        <v>Carlota</v>
      </c>
      <c r="G593" s="11" t="str" cm="1">
        <f t="array" ref="G593">_xlfn.XLOOKUP(fsales[[#This Row],[ProductID]],dProduct[[#All],[ProductID]],dProduct[[#All],[Supplier]])</f>
        <v>Gel Booms</v>
      </c>
      <c r="H593" s="11" t="str" cm="1">
        <f t="array" ref="H593">_xlfn.XLOOKUP(fsales[[#This Row],[SalesRepID]],dSalesRep[[#All],[SalesRepID]],dSalesRep[[#All],[Region]])</f>
        <v>WA</v>
      </c>
    </row>
    <row r="594" spans="1:8" x14ac:dyDescent="0.3">
      <c r="A594" s="1">
        <v>44560</v>
      </c>
      <c r="B594">
        <v>2</v>
      </c>
      <c r="C594">
        <v>2</v>
      </c>
      <c r="D594">
        <v>4</v>
      </c>
      <c r="E594" s="11" cm="1">
        <f t="array" ref="E594">_xlfn.XLOOKUP(fsales[[#This Row],[ProductID]],dProduct[[#All],[ProductID]],dProduct[[#All],[Price]])*fsales[[#This Row],[Units]]</f>
        <v>119.8</v>
      </c>
      <c r="F594" s="11" t="str" cm="1">
        <f t="array" ref="F594">_xlfn.XLOOKUP(fsales[[#This Row],[ProductID]],dProduct[[#All],[ProductID]],dProduct[[#All],[Product]])</f>
        <v>Carlota</v>
      </c>
      <c r="G594" s="11" t="str" cm="1">
        <f t="array" ref="G594">_xlfn.XLOOKUP(fsales[[#This Row],[ProductID]],dProduct[[#All],[ProductID]],dProduct[[#All],[Supplier]])</f>
        <v>Gel Booms</v>
      </c>
      <c r="H594" s="11" t="str" cm="1">
        <f t="array" ref="H594">_xlfn.XLOOKUP(fsales[[#This Row],[SalesRepID]],dSalesRep[[#All],[SalesRepID]],dSalesRep[[#All],[Region]])</f>
        <v>CA</v>
      </c>
    </row>
    <row r="595" spans="1:8" x14ac:dyDescent="0.3">
      <c r="A595" s="1">
        <v>44466</v>
      </c>
      <c r="B595">
        <v>3</v>
      </c>
      <c r="C595">
        <v>4</v>
      </c>
      <c r="D595">
        <v>2</v>
      </c>
      <c r="E595" s="11" cm="1">
        <f t="array" ref="E595">_xlfn.XLOOKUP(fsales[[#This Row],[ProductID]],dProduct[[#All],[ProductID]],dProduct[[#All],[Price]])*fsales[[#This Row],[Units]]</f>
        <v>51.9</v>
      </c>
      <c r="F595" s="11" t="str" cm="1">
        <f t="array" ref="F595">_xlfn.XLOOKUP(fsales[[#This Row],[ProductID]],dProduct[[#All],[ProductID]],dProduct[[#All],[Product]])</f>
        <v>Aspen</v>
      </c>
      <c r="G595" s="11" t="str" cm="1">
        <f t="array" ref="G595">_xlfn.XLOOKUP(fsales[[#This Row],[ProductID]],dProduct[[#All],[ProductID]],dProduct[[#All],[Supplier]])</f>
        <v>Colorado Booms</v>
      </c>
      <c r="H595" s="11" t="str" cm="1">
        <f t="array" ref="H595">_xlfn.XLOOKUP(fsales[[#This Row],[SalesRepID]],dSalesRep[[#All],[SalesRepID]],dSalesRep[[#All],[Region]])</f>
        <v>WA</v>
      </c>
    </row>
    <row r="596" spans="1:8" x14ac:dyDescent="0.3">
      <c r="A596" s="1">
        <v>45244</v>
      </c>
      <c r="B596">
        <v>1</v>
      </c>
      <c r="C596">
        <v>3</v>
      </c>
      <c r="D596">
        <v>185</v>
      </c>
      <c r="E596" s="11" cm="1">
        <f t="array" ref="E596">_xlfn.XLOOKUP(fsales[[#This Row],[ProductID]],dProduct[[#All],[ProductID]],dProduct[[#All],[Price]])*fsales[[#This Row],[Units]]</f>
        <v>8130.7500000000009</v>
      </c>
      <c r="F596" s="11" t="str" cm="1">
        <f t="array" ref="F596">_xlfn.XLOOKUP(fsales[[#This Row],[ProductID]],dProduct[[#All],[ProductID]],dProduct[[#All],[Product]])</f>
        <v>Quad</v>
      </c>
      <c r="G596" s="11" t="str" cm="1">
        <f t="array" ref="G596">_xlfn.XLOOKUP(fsales[[#This Row],[ProductID]],dProduct[[#All],[ProductID]],dProduct[[#All],[Supplier]])</f>
        <v>Gel Booms</v>
      </c>
      <c r="H596" s="11" t="str" cm="1">
        <f t="array" ref="H596">_xlfn.XLOOKUP(fsales[[#This Row],[SalesRepID]],dSalesRep[[#All],[SalesRepID]],dSalesRep[[#All],[Region]])</f>
        <v>WA</v>
      </c>
    </row>
    <row r="597" spans="1:8" x14ac:dyDescent="0.3">
      <c r="A597" s="1">
        <v>45020</v>
      </c>
      <c r="B597">
        <v>2</v>
      </c>
      <c r="C597">
        <v>2</v>
      </c>
      <c r="D597">
        <v>6</v>
      </c>
      <c r="E597" s="11" cm="1">
        <f t="array" ref="E597">_xlfn.XLOOKUP(fsales[[#This Row],[ProductID]],dProduct[[#All],[ProductID]],dProduct[[#All],[Price]])*fsales[[#This Row],[Units]]</f>
        <v>179.7</v>
      </c>
      <c r="F597" s="11" t="str" cm="1">
        <f t="array" ref="F597">_xlfn.XLOOKUP(fsales[[#This Row],[ProductID]],dProduct[[#All],[ProductID]],dProduct[[#All],[Product]])</f>
        <v>Carlota</v>
      </c>
      <c r="G597" s="11" t="str" cm="1">
        <f t="array" ref="G597">_xlfn.XLOOKUP(fsales[[#This Row],[ProductID]],dProduct[[#All],[ProductID]],dProduct[[#All],[Supplier]])</f>
        <v>Gel Booms</v>
      </c>
      <c r="H597" s="11" t="str" cm="1">
        <f t="array" ref="H597">_xlfn.XLOOKUP(fsales[[#This Row],[SalesRepID]],dSalesRep[[#All],[SalesRepID]],dSalesRep[[#All],[Region]])</f>
        <v>CA</v>
      </c>
    </row>
    <row r="598" spans="1:8" x14ac:dyDescent="0.3">
      <c r="A598" s="1">
        <v>44491</v>
      </c>
      <c r="B598">
        <v>3</v>
      </c>
      <c r="C598">
        <v>4</v>
      </c>
      <c r="D598">
        <v>159</v>
      </c>
      <c r="E598" s="11" cm="1">
        <f t="array" ref="E598">_xlfn.XLOOKUP(fsales[[#This Row],[ProductID]],dProduct[[#All],[ProductID]],dProduct[[#All],[Price]])*fsales[[#This Row],[Units]]</f>
        <v>4126.05</v>
      </c>
      <c r="F598" s="11" t="str" cm="1">
        <f t="array" ref="F598">_xlfn.XLOOKUP(fsales[[#This Row],[ProductID]],dProduct[[#All],[ProductID]],dProduct[[#All],[Product]])</f>
        <v>Aspen</v>
      </c>
      <c r="G598" s="11" t="str" cm="1">
        <f t="array" ref="G598">_xlfn.XLOOKUP(fsales[[#This Row],[ProductID]],dProduct[[#All],[ProductID]],dProduct[[#All],[Supplier]])</f>
        <v>Colorado Booms</v>
      </c>
      <c r="H598" s="11" t="str" cm="1">
        <f t="array" ref="H598">_xlfn.XLOOKUP(fsales[[#This Row],[SalesRepID]],dSalesRep[[#All],[SalesRepID]],dSalesRep[[#All],[Region]])</f>
        <v>WA</v>
      </c>
    </row>
    <row r="599" spans="1:8" x14ac:dyDescent="0.3">
      <c r="A599" s="1">
        <v>44509</v>
      </c>
      <c r="B599">
        <v>3</v>
      </c>
      <c r="C599">
        <v>4</v>
      </c>
      <c r="D599">
        <v>1</v>
      </c>
      <c r="E599" s="11" cm="1">
        <f t="array" ref="E599">_xlfn.XLOOKUP(fsales[[#This Row],[ProductID]],dProduct[[#All],[ProductID]],dProduct[[#All],[Price]])*fsales[[#This Row],[Units]]</f>
        <v>25.95</v>
      </c>
      <c r="F599" s="11" t="str" cm="1">
        <f t="array" ref="F599">_xlfn.XLOOKUP(fsales[[#This Row],[ProductID]],dProduct[[#All],[ProductID]],dProduct[[#All],[Product]])</f>
        <v>Aspen</v>
      </c>
      <c r="G599" s="11" t="str" cm="1">
        <f t="array" ref="G599">_xlfn.XLOOKUP(fsales[[#This Row],[ProductID]],dProduct[[#All],[ProductID]],dProduct[[#All],[Supplier]])</f>
        <v>Colorado Booms</v>
      </c>
      <c r="H599" s="11" t="str" cm="1">
        <f t="array" ref="H599">_xlfn.XLOOKUP(fsales[[#This Row],[SalesRepID]],dSalesRep[[#All],[SalesRepID]],dSalesRep[[#All],[Region]])</f>
        <v>WA</v>
      </c>
    </row>
    <row r="600" spans="1:8" x14ac:dyDescent="0.3">
      <c r="A600" s="1">
        <v>44836</v>
      </c>
      <c r="B600">
        <v>2</v>
      </c>
      <c r="C600">
        <v>2</v>
      </c>
      <c r="D600">
        <v>4</v>
      </c>
      <c r="E600" s="11" cm="1">
        <f t="array" ref="E600">_xlfn.XLOOKUP(fsales[[#This Row],[ProductID]],dProduct[[#All],[ProductID]],dProduct[[#All],[Price]])*fsales[[#This Row],[Units]]</f>
        <v>119.8</v>
      </c>
      <c r="F600" s="11" t="str" cm="1">
        <f t="array" ref="F600">_xlfn.XLOOKUP(fsales[[#This Row],[ProductID]],dProduct[[#All],[ProductID]],dProduct[[#All],[Product]])</f>
        <v>Carlota</v>
      </c>
      <c r="G600" s="11" t="str" cm="1">
        <f t="array" ref="G600">_xlfn.XLOOKUP(fsales[[#This Row],[ProductID]],dProduct[[#All],[ProductID]],dProduct[[#All],[Supplier]])</f>
        <v>Gel Booms</v>
      </c>
      <c r="H600" s="11" t="str" cm="1">
        <f t="array" ref="H600">_xlfn.XLOOKUP(fsales[[#This Row],[SalesRepID]],dSalesRep[[#All],[SalesRepID]],dSalesRep[[#All],[Region]])</f>
        <v>CA</v>
      </c>
    </row>
    <row r="601" spans="1:8" x14ac:dyDescent="0.3">
      <c r="A601" s="1">
        <v>44419</v>
      </c>
      <c r="B601">
        <v>2</v>
      </c>
      <c r="C601">
        <v>2</v>
      </c>
      <c r="D601">
        <v>82</v>
      </c>
      <c r="E601" s="11" cm="1">
        <f t="array" ref="E601">_xlfn.XLOOKUP(fsales[[#This Row],[ProductID]],dProduct[[#All],[ProductID]],dProduct[[#All],[Price]])*fsales[[#This Row],[Units]]</f>
        <v>2455.9</v>
      </c>
      <c r="F601" s="11" t="str" cm="1">
        <f t="array" ref="F601">_xlfn.XLOOKUP(fsales[[#This Row],[ProductID]],dProduct[[#All],[ProductID]],dProduct[[#All],[Product]])</f>
        <v>Carlota</v>
      </c>
      <c r="G601" s="11" t="str" cm="1">
        <f t="array" ref="G601">_xlfn.XLOOKUP(fsales[[#This Row],[ProductID]],dProduct[[#All],[ProductID]],dProduct[[#All],[Supplier]])</f>
        <v>Gel Booms</v>
      </c>
      <c r="H601" s="11" t="str" cm="1">
        <f t="array" ref="H601">_xlfn.XLOOKUP(fsales[[#This Row],[SalesRepID]],dSalesRep[[#All],[SalesRepID]],dSalesRep[[#All],[Region]])</f>
        <v>CA</v>
      </c>
    </row>
    <row r="602" spans="1:8" x14ac:dyDescent="0.3">
      <c r="A602" s="1">
        <v>44395</v>
      </c>
      <c r="B602">
        <v>3</v>
      </c>
      <c r="C602">
        <v>2</v>
      </c>
      <c r="D602">
        <v>11</v>
      </c>
      <c r="E602" s="11" cm="1">
        <f t="array" ref="E602">_xlfn.XLOOKUP(fsales[[#This Row],[ProductID]],dProduct[[#All],[ProductID]],dProduct[[#All],[Price]])*fsales[[#This Row],[Units]]</f>
        <v>285.45</v>
      </c>
      <c r="F602" s="11" t="str" cm="1">
        <f t="array" ref="F602">_xlfn.XLOOKUP(fsales[[#This Row],[ProductID]],dProduct[[#All],[ProductID]],dProduct[[#All],[Product]])</f>
        <v>Aspen</v>
      </c>
      <c r="G602" s="11" t="str" cm="1">
        <f t="array" ref="G602">_xlfn.XLOOKUP(fsales[[#This Row],[ProductID]],dProduct[[#All],[ProductID]],dProduct[[#All],[Supplier]])</f>
        <v>Colorado Booms</v>
      </c>
      <c r="H602" s="11" t="str" cm="1">
        <f t="array" ref="H602">_xlfn.XLOOKUP(fsales[[#This Row],[SalesRepID]],dSalesRep[[#All],[SalesRepID]],dSalesRep[[#All],[Region]])</f>
        <v>CA</v>
      </c>
    </row>
    <row r="603" spans="1:8" x14ac:dyDescent="0.3">
      <c r="A603" s="1">
        <v>44550</v>
      </c>
      <c r="B603">
        <v>2</v>
      </c>
      <c r="C603">
        <v>3</v>
      </c>
      <c r="D603">
        <v>65</v>
      </c>
      <c r="E603" s="11" cm="1">
        <f t="array" ref="E603">_xlfn.XLOOKUP(fsales[[#This Row],[ProductID]],dProduct[[#All],[ProductID]],dProduct[[#All],[Price]])*fsales[[#This Row],[Units]]</f>
        <v>1946.75</v>
      </c>
      <c r="F603" s="11" t="str" cm="1">
        <f t="array" ref="F603">_xlfn.XLOOKUP(fsales[[#This Row],[ProductID]],dProduct[[#All],[ProductID]],dProduct[[#All],[Product]])</f>
        <v>Carlota</v>
      </c>
      <c r="G603" s="11" t="str" cm="1">
        <f t="array" ref="G603">_xlfn.XLOOKUP(fsales[[#This Row],[ProductID]],dProduct[[#All],[ProductID]],dProduct[[#All],[Supplier]])</f>
        <v>Gel Booms</v>
      </c>
      <c r="H603" s="11" t="str" cm="1">
        <f t="array" ref="H603">_xlfn.XLOOKUP(fsales[[#This Row],[SalesRepID]],dSalesRep[[#All],[SalesRepID]],dSalesRep[[#All],[Region]])</f>
        <v>WA</v>
      </c>
    </row>
    <row r="604" spans="1:8" x14ac:dyDescent="0.3">
      <c r="A604" s="1">
        <v>44487</v>
      </c>
      <c r="B604">
        <v>2</v>
      </c>
      <c r="C604">
        <v>2</v>
      </c>
      <c r="D604">
        <v>3</v>
      </c>
      <c r="E604" s="11" cm="1">
        <f t="array" ref="E604">_xlfn.XLOOKUP(fsales[[#This Row],[ProductID]],dProduct[[#All],[ProductID]],dProduct[[#All],[Price]])*fsales[[#This Row],[Units]]</f>
        <v>89.85</v>
      </c>
      <c r="F604" s="11" t="str" cm="1">
        <f t="array" ref="F604">_xlfn.XLOOKUP(fsales[[#This Row],[ProductID]],dProduct[[#All],[ProductID]],dProduct[[#All],[Product]])</f>
        <v>Carlota</v>
      </c>
      <c r="G604" s="11" t="str" cm="1">
        <f t="array" ref="G604">_xlfn.XLOOKUP(fsales[[#This Row],[ProductID]],dProduct[[#All],[ProductID]],dProduct[[#All],[Supplier]])</f>
        <v>Gel Booms</v>
      </c>
      <c r="H604" s="11" t="str" cm="1">
        <f t="array" ref="H604">_xlfn.XLOOKUP(fsales[[#This Row],[SalesRepID]],dSalesRep[[#All],[SalesRepID]],dSalesRep[[#All],[Region]])</f>
        <v>CA</v>
      </c>
    </row>
    <row r="605" spans="1:8" x14ac:dyDescent="0.3">
      <c r="A605" s="1">
        <v>44561</v>
      </c>
      <c r="B605">
        <v>1</v>
      </c>
      <c r="C605">
        <v>3</v>
      </c>
      <c r="D605">
        <v>69</v>
      </c>
      <c r="E605" s="11" cm="1">
        <f t="array" ref="E605">_xlfn.XLOOKUP(fsales[[#This Row],[ProductID]],dProduct[[#All],[ProductID]],dProduct[[#All],[Price]])*fsales[[#This Row],[Units]]</f>
        <v>3032.55</v>
      </c>
      <c r="F605" s="11" t="str" cm="1">
        <f t="array" ref="F605">_xlfn.XLOOKUP(fsales[[#This Row],[ProductID]],dProduct[[#All],[ProductID]],dProduct[[#All],[Product]])</f>
        <v>Quad</v>
      </c>
      <c r="G605" s="11" t="str" cm="1">
        <f t="array" ref="G605">_xlfn.XLOOKUP(fsales[[#This Row],[ProductID]],dProduct[[#All],[ProductID]],dProduct[[#All],[Supplier]])</f>
        <v>Gel Booms</v>
      </c>
      <c r="H605" s="11" t="str" cm="1">
        <f t="array" ref="H605">_xlfn.XLOOKUP(fsales[[#This Row],[SalesRepID]],dSalesRep[[#All],[SalesRepID]],dSalesRep[[#All],[Region]])</f>
        <v>WA</v>
      </c>
    </row>
    <row r="606" spans="1:8" x14ac:dyDescent="0.3">
      <c r="A606" s="1">
        <v>44805</v>
      </c>
      <c r="B606">
        <v>2</v>
      </c>
      <c r="C606">
        <v>1</v>
      </c>
      <c r="D606">
        <v>3</v>
      </c>
      <c r="E606" s="11" cm="1">
        <f t="array" ref="E606">_xlfn.XLOOKUP(fsales[[#This Row],[ProductID]],dProduct[[#All],[ProductID]],dProduct[[#All],[Price]])*fsales[[#This Row],[Units]]</f>
        <v>89.85</v>
      </c>
      <c r="F606" s="11" t="str" cm="1">
        <f t="array" ref="F606">_xlfn.XLOOKUP(fsales[[#This Row],[ProductID]],dProduct[[#All],[ProductID]],dProduct[[#All],[Product]])</f>
        <v>Carlota</v>
      </c>
      <c r="G606" s="11" t="str" cm="1">
        <f t="array" ref="G606">_xlfn.XLOOKUP(fsales[[#This Row],[ProductID]],dProduct[[#All],[ProductID]],dProduct[[#All],[Supplier]])</f>
        <v>Gel Booms</v>
      </c>
      <c r="H606" s="11" t="str" cm="1">
        <f t="array" ref="H606">_xlfn.XLOOKUP(fsales[[#This Row],[SalesRepID]],dSalesRep[[#All],[SalesRepID]],dSalesRep[[#All],[Region]])</f>
        <v>CA</v>
      </c>
    </row>
    <row r="607" spans="1:8" x14ac:dyDescent="0.3">
      <c r="A607" s="1">
        <v>44917</v>
      </c>
      <c r="B607">
        <v>1</v>
      </c>
      <c r="C607">
        <v>2</v>
      </c>
      <c r="D607">
        <v>72</v>
      </c>
      <c r="E607" s="11" cm="1">
        <f t="array" ref="E607">_xlfn.XLOOKUP(fsales[[#This Row],[ProductID]],dProduct[[#All],[ProductID]],dProduct[[#All],[Price]])*fsales[[#This Row],[Units]]</f>
        <v>3164.4</v>
      </c>
      <c r="F607" s="11" t="str" cm="1">
        <f t="array" ref="F607">_xlfn.XLOOKUP(fsales[[#This Row],[ProductID]],dProduct[[#All],[ProductID]],dProduct[[#All],[Product]])</f>
        <v>Quad</v>
      </c>
      <c r="G607" s="11" t="str" cm="1">
        <f t="array" ref="G607">_xlfn.XLOOKUP(fsales[[#This Row],[ProductID]],dProduct[[#All],[ProductID]],dProduct[[#All],[Supplier]])</f>
        <v>Gel Booms</v>
      </c>
      <c r="H607" s="11" t="str" cm="1">
        <f t="array" ref="H607">_xlfn.XLOOKUP(fsales[[#This Row],[SalesRepID]],dSalesRep[[#All],[SalesRepID]],dSalesRep[[#All],[Region]])</f>
        <v>CA</v>
      </c>
    </row>
    <row r="608" spans="1:8" x14ac:dyDescent="0.3">
      <c r="A608" s="1">
        <v>44711</v>
      </c>
      <c r="B608">
        <v>3</v>
      </c>
      <c r="C608">
        <v>2</v>
      </c>
      <c r="D608">
        <v>64</v>
      </c>
      <c r="E608" s="11" cm="1">
        <f t="array" ref="E608">_xlfn.XLOOKUP(fsales[[#This Row],[ProductID]],dProduct[[#All],[ProductID]],dProduct[[#All],[Price]])*fsales[[#This Row],[Units]]</f>
        <v>1660.8</v>
      </c>
      <c r="F608" s="11" t="str" cm="1">
        <f t="array" ref="F608">_xlfn.XLOOKUP(fsales[[#This Row],[ProductID]],dProduct[[#All],[ProductID]],dProduct[[#All],[Product]])</f>
        <v>Aspen</v>
      </c>
      <c r="G608" s="11" t="str" cm="1">
        <f t="array" ref="G608">_xlfn.XLOOKUP(fsales[[#This Row],[ProductID]],dProduct[[#All],[ProductID]],dProduct[[#All],[Supplier]])</f>
        <v>Colorado Booms</v>
      </c>
      <c r="H608" s="11" t="str" cm="1">
        <f t="array" ref="H608">_xlfn.XLOOKUP(fsales[[#This Row],[SalesRepID]],dSalesRep[[#All],[SalesRepID]],dSalesRep[[#All],[Region]])</f>
        <v>CA</v>
      </c>
    </row>
    <row r="609" spans="1:8" x14ac:dyDescent="0.3">
      <c r="A609" s="1">
        <v>45108</v>
      </c>
      <c r="B609">
        <v>4</v>
      </c>
      <c r="C609">
        <v>4</v>
      </c>
      <c r="D609">
        <v>80</v>
      </c>
      <c r="E609" s="11" cm="1">
        <f t="array" ref="E609">_xlfn.XLOOKUP(fsales[[#This Row],[ProductID]],dProduct[[#All],[ProductID]],dProduct[[#All],[Price]])*fsales[[#This Row],[Units]]</f>
        <v>1916</v>
      </c>
      <c r="F609" s="11" t="str" cm="1">
        <f t="array" ref="F609">_xlfn.XLOOKUP(fsales[[#This Row],[ProductID]],dProduct[[#All],[ProductID]],dProduct[[#All],[Product]])</f>
        <v>Yanaki</v>
      </c>
      <c r="G609" s="11" t="str" cm="1">
        <f t="array" ref="G609">_xlfn.XLOOKUP(fsales[[#This Row],[ProductID]],dProduct[[#All],[ProductID]],dProduct[[#All],[Supplier]])</f>
        <v>Colorado Booms</v>
      </c>
      <c r="H609" s="11" t="str" cm="1">
        <f t="array" ref="H609">_xlfn.XLOOKUP(fsales[[#This Row],[SalesRepID]],dSalesRep[[#All],[SalesRepID]],dSalesRep[[#All],[Region]])</f>
        <v>WA</v>
      </c>
    </row>
    <row r="610" spans="1:8" x14ac:dyDescent="0.3">
      <c r="A610" s="1">
        <v>44926</v>
      </c>
      <c r="B610">
        <v>3</v>
      </c>
      <c r="C610">
        <v>2</v>
      </c>
      <c r="D610">
        <v>2</v>
      </c>
      <c r="E610" s="11" cm="1">
        <f t="array" ref="E610">_xlfn.XLOOKUP(fsales[[#This Row],[ProductID]],dProduct[[#All],[ProductID]],dProduct[[#All],[Price]])*fsales[[#This Row],[Units]]</f>
        <v>51.9</v>
      </c>
      <c r="F610" s="11" t="str" cm="1">
        <f t="array" ref="F610">_xlfn.XLOOKUP(fsales[[#This Row],[ProductID]],dProduct[[#All],[ProductID]],dProduct[[#All],[Product]])</f>
        <v>Aspen</v>
      </c>
      <c r="G610" s="11" t="str" cm="1">
        <f t="array" ref="G610">_xlfn.XLOOKUP(fsales[[#This Row],[ProductID]],dProduct[[#All],[ProductID]],dProduct[[#All],[Supplier]])</f>
        <v>Colorado Booms</v>
      </c>
      <c r="H610" s="11" t="str" cm="1">
        <f t="array" ref="H610">_xlfn.XLOOKUP(fsales[[#This Row],[SalesRepID]],dSalesRep[[#All],[SalesRepID]],dSalesRep[[#All],[Region]])</f>
        <v>CA</v>
      </c>
    </row>
    <row r="611" spans="1:8" x14ac:dyDescent="0.3">
      <c r="A611" s="1">
        <v>44779</v>
      </c>
      <c r="B611">
        <v>2</v>
      </c>
      <c r="C611">
        <v>2</v>
      </c>
      <c r="D611">
        <v>176</v>
      </c>
      <c r="E611" s="11" cm="1">
        <f t="array" ref="E611">_xlfn.XLOOKUP(fsales[[#This Row],[ProductID]],dProduct[[#All],[ProductID]],dProduct[[#All],[Price]])*fsales[[#This Row],[Units]]</f>
        <v>5271.2</v>
      </c>
      <c r="F611" s="11" t="str" cm="1">
        <f t="array" ref="F611">_xlfn.XLOOKUP(fsales[[#This Row],[ProductID]],dProduct[[#All],[ProductID]],dProduct[[#All],[Product]])</f>
        <v>Carlota</v>
      </c>
      <c r="G611" s="11" t="str" cm="1">
        <f t="array" ref="G611">_xlfn.XLOOKUP(fsales[[#This Row],[ProductID]],dProduct[[#All],[ProductID]],dProduct[[#All],[Supplier]])</f>
        <v>Gel Booms</v>
      </c>
      <c r="H611" s="11" t="str" cm="1">
        <f t="array" ref="H611">_xlfn.XLOOKUP(fsales[[#This Row],[SalesRepID]],dSalesRep[[#All],[SalesRepID]],dSalesRep[[#All],[Region]])</f>
        <v>CA</v>
      </c>
    </row>
    <row r="612" spans="1:8" x14ac:dyDescent="0.3">
      <c r="A612" s="1">
        <v>45056</v>
      </c>
      <c r="B612">
        <v>4</v>
      </c>
      <c r="C612">
        <v>3</v>
      </c>
      <c r="D612">
        <v>110</v>
      </c>
      <c r="E612" s="11" cm="1">
        <f t="array" ref="E612">_xlfn.XLOOKUP(fsales[[#This Row],[ProductID]],dProduct[[#All],[ProductID]],dProduct[[#All],[Price]])*fsales[[#This Row],[Units]]</f>
        <v>2634.5</v>
      </c>
      <c r="F612" s="11" t="str" cm="1">
        <f t="array" ref="F612">_xlfn.XLOOKUP(fsales[[#This Row],[ProductID]],dProduct[[#All],[ProductID]],dProduct[[#All],[Product]])</f>
        <v>Yanaki</v>
      </c>
      <c r="G612" s="11" t="str" cm="1">
        <f t="array" ref="G612">_xlfn.XLOOKUP(fsales[[#This Row],[ProductID]],dProduct[[#All],[ProductID]],dProduct[[#All],[Supplier]])</f>
        <v>Colorado Booms</v>
      </c>
      <c r="H612" s="11" t="str" cm="1">
        <f t="array" ref="H612">_xlfn.XLOOKUP(fsales[[#This Row],[SalesRepID]],dSalesRep[[#All],[SalesRepID]],dSalesRep[[#All],[Region]])</f>
        <v>WA</v>
      </c>
    </row>
    <row r="613" spans="1:8" x14ac:dyDescent="0.3">
      <c r="A613" s="1">
        <v>44773</v>
      </c>
      <c r="B613">
        <v>4</v>
      </c>
      <c r="C613">
        <v>4</v>
      </c>
      <c r="D613">
        <v>1</v>
      </c>
      <c r="E613" s="11" cm="1">
        <f t="array" ref="E613">_xlfn.XLOOKUP(fsales[[#This Row],[ProductID]],dProduct[[#All],[ProductID]],dProduct[[#All],[Price]])*fsales[[#This Row],[Units]]</f>
        <v>23.95</v>
      </c>
      <c r="F613" s="11" t="str" cm="1">
        <f t="array" ref="F613">_xlfn.XLOOKUP(fsales[[#This Row],[ProductID]],dProduct[[#All],[ProductID]],dProduct[[#All],[Product]])</f>
        <v>Yanaki</v>
      </c>
      <c r="G613" s="11" t="str" cm="1">
        <f t="array" ref="G613">_xlfn.XLOOKUP(fsales[[#This Row],[ProductID]],dProduct[[#All],[ProductID]],dProduct[[#All],[Supplier]])</f>
        <v>Colorado Booms</v>
      </c>
      <c r="H613" s="11" t="str" cm="1">
        <f t="array" ref="H613">_xlfn.XLOOKUP(fsales[[#This Row],[SalesRepID]],dSalesRep[[#All],[SalesRepID]],dSalesRep[[#All],[Region]])</f>
        <v>WA</v>
      </c>
    </row>
    <row r="614" spans="1:8" x14ac:dyDescent="0.3">
      <c r="A614" s="1">
        <v>45230</v>
      </c>
      <c r="B614">
        <v>2</v>
      </c>
      <c r="C614">
        <v>4</v>
      </c>
      <c r="D614">
        <v>69</v>
      </c>
      <c r="E614" s="11" cm="1">
        <f t="array" ref="E614">_xlfn.XLOOKUP(fsales[[#This Row],[ProductID]],dProduct[[#All],[ProductID]],dProduct[[#All],[Price]])*fsales[[#This Row],[Units]]</f>
        <v>2066.5499999999997</v>
      </c>
      <c r="F614" s="11" t="str" cm="1">
        <f t="array" ref="F614">_xlfn.XLOOKUP(fsales[[#This Row],[ProductID]],dProduct[[#All],[ProductID]],dProduct[[#All],[Product]])</f>
        <v>Carlota</v>
      </c>
      <c r="G614" s="11" t="str" cm="1">
        <f t="array" ref="G614">_xlfn.XLOOKUP(fsales[[#This Row],[ProductID]],dProduct[[#All],[ProductID]],dProduct[[#All],[Supplier]])</f>
        <v>Gel Booms</v>
      </c>
      <c r="H614" s="11" t="str" cm="1">
        <f t="array" ref="H614">_xlfn.XLOOKUP(fsales[[#This Row],[SalesRepID]],dSalesRep[[#All],[SalesRepID]],dSalesRep[[#All],[Region]])</f>
        <v>WA</v>
      </c>
    </row>
    <row r="615" spans="1:8" x14ac:dyDescent="0.3">
      <c r="A615" s="1">
        <v>44890</v>
      </c>
      <c r="B615">
        <v>2</v>
      </c>
      <c r="C615">
        <v>4</v>
      </c>
      <c r="D615">
        <v>5</v>
      </c>
      <c r="E615" s="11" cm="1">
        <f t="array" ref="E615">_xlfn.XLOOKUP(fsales[[#This Row],[ProductID]],dProduct[[#All],[ProductID]],dProduct[[#All],[Price]])*fsales[[#This Row],[Units]]</f>
        <v>149.75</v>
      </c>
      <c r="F615" s="11" t="str" cm="1">
        <f t="array" ref="F615">_xlfn.XLOOKUP(fsales[[#This Row],[ProductID]],dProduct[[#All],[ProductID]],dProduct[[#All],[Product]])</f>
        <v>Carlota</v>
      </c>
      <c r="G615" s="11" t="str" cm="1">
        <f t="array" ref="G615">_xlfn.XLOOKUP(fsales[[#This Row],[ProductID]],dProduct[[#All],[ProductID]],dProduct[[#All],[Supplier]])</f>
        <v>Gel Booms</v>
      </c>
      <c r="H615" s="11" t="str" cm="1">
        <f t="array" ref="H615">_xlfn.XLOOKUP(fsales[[#This Row],[SalesRepID]],dSalesRep[[#All],[SalesRepID]],dSalesRep[[#All],[Region]])</f>
        <v>WA</v>
      </c>
    </row>
    <row r="616" spans="1:8" x14ac:dyDescent="0.3">
      <c r="A616" s="1">
        <v>44392</v>
      </c>
      <c r="B616">
        <v>2</v>
      </c>
      <c r="C616">
        <v>1</v>
      </c>
      <c r="D616">
        <v>1</v>
      </c>
      <c r="E616" s="11" cm="1">
        <f t="array" ref="E616">_xlfn.XLOOKUP(fsales[[#This Row],[ProductID]],dProduct[[#All],[ProductID]],dProduct[[#All],[Price]])*fsales[[#This Row],[Units]]</f>
        <v>29.95</v>
      </c>
      <c r="F616" s="11" t="str" cm="1">
        <f t="array" ref="F616">_xlfn.XLOOKUP(fsales[[#This Row],[ProductID]],dProduct[[#All],[ProductID]],dProduct[[#All],[Product]])</f>
        <v>Carlota</v>
      </c>
      <c r="G616" s="11" t="str" cm="1">
        <f t="array" ref="G616">_xlfn.XLOOKUP(fsales[[#This Row],[ProductID]],dProduct[[#All],[ProductID]],dProduct[[#All],[Supplier]])</f>
        <v>Gel Booms</v>
      </c>
      <c r="H616" s="11" t="str" cm="1">
        <f t="array" ref="H616">_xlfn.XLOOKUP(fsales[[#This Row],[SalesRepID]],dSalesRep[[#All],[SalesRepID]],dSalesRep[[#All],[Region]])</f>
        <v>CA</v>
      </c>
    </row>
    <row r="617" spans="1:8" x14ac:dyDescent="0.3">
      <c r="A617" s="1">
        <v>45128</v>
      </c>
      <c r="B617">
        <v>2</v>
      </c>
      <c r="C617">
        <v>2</v>
      </c>
      <c r="D617">
        <v>107</v>
      </c>
      <c r="E617" s="11" cm="1">
        <f t="array" ref="E617">_xlfn.XLOOKUP(fsales[[#This Row],[ProductID]],dProduct[[#All],[ProductID]],dProduct[[#All],[Price]])*fsales[[#This Row],[Units]]</f>
        <v>3204.65</v>
      </c>
      <c r="F617" s="11" t="str" cm="1">
        <f t="array" ref="F617">_xlfn.XLOOKUP(fsales[[#This Row],[ProductID]],dProduct[[#All],[ProductID]],dProduct[[#All],[Product]])</f>
        <v>Carlota</v>
      </c>
      <c r="G617" s="11" t="str" cm="1">
        <f t="array" ref="G617">_xlfn.XLOOKUP(fsales[[#This Row],[ProductID]],dProduct[[#All],[ProductID]],dProduct[[#All],[Supplier]])</f>
        <v>Gel Booms</v>
      </c>
      <c r="H617" s="11" t="str" cm="1">
        <f t="array" ref="H617">_xlfn.XLOOKUP(fsales[[#This Row],[SalesRepID]],dSalesRep[[#All],[SalesRepID]],dSalesRep[[#All],[Region]])</f>
        <v>CA</v>
      </c>
    </row>
    <row r="618" spans="1:8" x14ac:dyDescent="0.3">
      <c r="A618" s="1">
        <v>44894</v>
      </c>
      <c r="B618">
        <v>2</v>
      </c>
      <c r="C618">
        <v>4</v>
      </c>
      <c r="D618">
        <v>285</v>
      </c>
      <c r="E618" s="11" cm="1">
        <f t="array" ref="E618">_xlfn.XLOOKUP(fsales[[#This Row],[ProductID]],dProduct[[#All],[ProductID]],dProduct[[#All],[Price]])*fsales[[#This Row],[Units]]</f>
        <v>8535.75</v>
      </c>
      <c r="F618" s="11" t="str" cm="1">
        <f t="array" ref="F618">_xlfn.XLOOKUP(fsales[[#This Row],[ProductID]],dProduct[[#All],[ProductID]],dProduct[[#All],[Product]])</f>
        <v>Carlota</v>
      </c>
      <c r="G618" s="11" t="str" cm="1">
        <f t="array" ref="G618">_xlfn.XLOOKUP(fsales[[#This Row],[ProductID]],dProduct[[#All],[ProductID]],dProduct[[#All],[Supplier]])</f>
        <v>Gel Booms</v>
      </c>
      <c r="H618" s="11" t="str" cm="1">
        <f t="array" ref="H618">_xlfn.XLOOKUP(fsales[[#This Row],[SalesRepID]],dSalesRep[[#All],[SalesRepID]],dSalesRep[[#All],[Region]])</f>
        <v>WA</v>
      </c>
    </row>
    <row r="619" spans="1:8" x14ac:dyDescent="0.3">
      <c r="A619" s="1">
        <v>44519</v>
      </c>
      <c r="B619">
        <v>1</v>
      </c>
      <c r="C619">
        <v>4</v>
      </c>
      <c r="D619">
        <v>3</v>
      </c>
      <c r="E619" s="11" cm="1">
        <f t="array" ref="E619">_xlfn.XLOOKUP(fsales[[#This Row],[ProductID]],dProduct[[#All],[ProductID]],dProduct[[#All],[Price]])*fsales[[#This Row],[Units]]</f>
        <v>131.85000000000002</v>
      </c>
      <c r="F619" s="11" t="str" cm="1">
        <f t="array" ref="F619">_xlfn.XLOOKUP(fsales[[#This Row],[ProductID]],dProduct[[#All],[ProductID]],dProduct[[#All],[Product]])</f>
        <v>Quad</v>
      </c>
      <c r="G619" s="11" t="str" cm="1">
        <f t="array" ref="G619">_xlfn.XLOOKUP(fsales[[#This Row],[ProductID]],dProduct[[#All],[ProductID]],dProduct[[#All],[Supplier]])</f>
        <v>Gel Booms</v>
      </c>
      <c r="H619" s="11" t="str" cm="1">
        <f t="array" ref="H619">_xlfn.XLOOKUP(fsales[[#This Row],[SalesRepID]],dSalesRep[[#All],[SalesRepID]],dSalesRep[[#All],[Region]])</f>
        <v>WA</v>
      </c>
    </row>
    <row r="620" spans="1:8" x14ac:dyDescent="0.3">
      <c r="A620" s="1">
        <v>45193</v>
      </c>
      <c r="B620">
        <v>2</v>
      </c>
      <c r="C620">
        <v>2</v>
      </c>
      <c r="D620">
        <v>131</v>
      </c>
      <c r="E620" s="11" cm="1">
        <f t="array" ref="E620">_xlfn.XLOOKUP(fsales[[#This Row],[ProductID]],dProduct[[#All],[ProductID]],dProduct[[#All],[Price]])*fsales[[#This Row],[Units]]</f>
        <v>3923.45</v>
      </c>
      <c r="F620" s="11" t="str" cm="1">
        <f t="array" ref="F620">_xlfn.XLOOKUP(fsales[[#This Row],[ProductID]],dProduct[[#All],[ProductID]],dProduct[[#All],[Product]])</f>
        <v>Carlota</v>
      </c>
      <c r="G620" s="11" t="str" cm="1">
        <f t="array" ref="G620">_xlfn.XLOOKUP(fsales[[#This Row],[ProductID]],dProduct[[#All],[ProductID]],dProduct[[#All],[Supplier]])</f>
        <v>Gel Booms</v>
      </c>
      <c r="H620" s="11" t="str" cm="1">
        <f t="array" ref="H620">_xlfn.XLOOKUP(fsales[[#This Row],[SalesRepID]],dSalesRep[[#All],[SalesRepID]],dSalesRep[[#All],[Region]])</f>
        <v>CA</v>
      </c>
    </row>
    <row r="621" spans="1:8" x14ac:dyDescent="0.3">
      <c r="A621" s="1">
        <v>45114</v>
      </c>
      <c r="B621">
        <v>2</v>
      </c>
      <c r="C621">
        <v>2</v>
      </c>
      <c r="D621">
        <v>88</v>
      </c>
      <c r="E621" s="11" cm="1">
        <f t="array" ref="E621">_xlfn.XLOOKUP(fsales[[#This Row],[ProductID]],dProduct[[#All],[ProductID]],dProduct[[#All],[Price]])*fsales[[#This Row],[Units]]</f>
        <v>2635.6</v>
      </c>
      <c r="F621" s="11" t="str" cm="1">
        <f t="array" ref="F621">_xlfn.XLOOKUP(fsales[[#This Row],[ProductID]],dProduct[[#All],[ProductID]],dProduct[[#All],[Product]])</f>
        <v>Carlota</v>
      </c>
      <c r="G621" s="11" t="str" cm="1">
        <f t="array" ref="G621">_xlfn.XLOOKUP(fsales[[#This Row],[ProductID]],dProduct[[#All],[ProductID]],dProduct[[#All],[Supplier]])</f>
        <v>Gel Booms</v>
      </c>
      <c r="H621" s="11" t="str" cm="1">
        <f t="array" ref="H621">_xlfn.XLOOKUP(fsales[[#This Row],[SalesRepID]],dSalesRep[[#All],[SalesRepID]],dSalesRep[[#All],[Region]])</f>
        <v>CA</v>
      </c>
    </row>
    <row r="622" spans="1:8" x14ac:dyDescent="0.3">
      <c r="A622" s="1">
        <v>45569</v>
      </c>
      <c r="B622">
        <v>2</v>
      </c>
      <c r="C622">
        <v>2</v>
      </c>
      <c r="D622">
        <v>5</v>
      </c>
      <c r="E622" s="11" cm="1">
        <f t="array" ref="E622">_xlfn.XLOOKUP(fsales[[#This Row],[ProductID]],dProduct[[#All],[ProductID]],dProduct[[#All],[Price]])*fsales[[#This Row],[Units]]</f>
        <v>149.75</v>
      </c>
      <c r="F622" s="11" t="str" cm="1">
        <f t="array" ref="F622">_xlfn.XLOOKUP(fsales[[#This Row],[ProductID]],dProduct[[#All],[ProductID]],dProduct[[#All],[Product]])</f>
        <v>Carlota</v>
      </c>
      <c r="G622" s="11" t="str" cm="1">
        <f t="array" ref="G622">_xlfn.XLOOKUP(fsales[[#This Row],[ProductID]],dProduct[[#All],[ProductID]],dProduct[[#All],[Supplier]])</f>
        <v>Gel Booms</v>
      </c>
      <c r="H622" s="11" t="str" cm="1">
        <f t="array" ref="H622">_xlfn.XLOOKUP(fsales[[#This Row],[SalesRepID]],dSalesRep[[#All],[SalesRepID]],dSalesRep[[#All],[Region]])</f>
        <v>CA</v>
      </c>
    </row>
    <row r="623" spans="1:8" x14ac:dyDescent="0.3">
      <c r="A623" s="1">
        <v>45401</v>
      </c>
      <c r="B623">
        <v>2</v>
      </c>
      <c r="C623">
        <v>2</v>
      </c>
      <c r="D623">
        <v>200</v>
      </c>
      <c r="E623" s="11" cm="1">
        <f t="array" ref="E623">_xlfn.XLOOKUP(fsales[[#This Row],[ProductID]],dProduct[[#All],[ProductID]],dProduct[[#All],[Price]])*fsales[[#This Row],[Units]]</f>
        <v>5990</v>
      </c>
      <c r="F623" s="11" t="str" cm="1">
        <f t="array" ref="F623">_xlfn.XLOOKUP(fsales[[#This Row],[ProductID]],dProduct[[#All],[ProductID]],dProduct[[#All],[Product]])</f>
        <v>Carlota</v>
      </c>
      <c r="G623" s="11" t="str" cm="1">
        <f t="array" ref="G623">_xlfn.XLOOKUP(fsales[[#This Row],[ProductID]],dProduct[[#All],[ProductID]],dProduct[[#All],[Supplier]])</f>
        <v>Gel Booms</v>
      </c>
      <c r="H623" s="11" t="str" cm="1">
        <f t="array" ref="H623">_xlfn.XLOOKUP(fsales[[#This Row],[SalesRepID]],dSalesRep[[#All],[SalesRepID]],dSalesRep[[#All],[Region]])</f>
        <v>CA</v>
      </c>
    </row>
    <row r="624" spans="1:8" x14ac:dyDescent="0.3">
      <c r="A624" s="1">
        <v>45606</v>
      </c>
      <c r="B624">
        <v>2</v>
      </c>
      <c r="C624">
        <v>4</v>
      </c>
      <c r="D624">
        <v>242</v>
      </c>
      <c r="E624" s="11" cm="1">
        <f t="array" ref="E624">_xlfn.XLOOKUP(fsales[[#This Row],[ProductID]],dProduct[[#All],[ProductID]],dProduct[[#All],[Price]])*fsales[[#This Row],[Units]]</f>
        <v>7247.9</v>
      </c>
      <c r="F624" s="11" t="str" cm="1">
        <f t="array" ref="F624">_xlfn.XLOOKUP(fsales[[#This Row],[ProductID]],dProduct[[#All],[ProductID]],dProduct[[#All],[Product]])</f>
        <v>Carlota</v>
      </c>
      <c r="G624" s="11" t="str" cm="1">
        <f t="array" ref="G624">_xlfn.XLOOKUP(fsales[[#This Row],[ProductID]],dProduct[[#All],[ProductID]],dProduct[[#All],[Supplier]])</f>
        <v>Gel Booms</v>
      </c>
      <c r="H624" s="11" t="str" cm="1">
        <f t="array" ref="H624">_xlfn.XLOOKUP(fsales[[#This Row],[SalesRepID]],dSalesRep[[#All],[SalesRepID]],dSalesRep[[#All],[Region]])</f>
        <v>WA</v>
      </c>
    </row>
    <row r="625" spans="1:8" x14ac:dyDescent="0.3">
      <c r="A625" s="1">
        <v>45638</v>
      </c>
      <c r="B625">
        <v>2</v>
      </c>
      <c r="C625">
        <v>4</v>
      </c>
      <c r="D625">
        <v>83</v>
      </c>
      <c r="E625" s="11" cm="1">
        <f t="array" ref="E625">_xlfn.XLOOKUP(fsales[[#This Row],[ProductID]],dProduct[[#All],[ProductID]],dProduct[[#All],[Price]])*fsales[[#This Row],[Units]]</f>
        <v>2485.85</v>
      </c>
      <c r="F625" s="11" t="str" cm="1">
        <f t="array" ref="F625">_xlfn.XLOOKUP(fsales[[#This Row],[ProductID]],dProduct[[#All],[ProductID]],dProduct[[#All],[Product]])</f>
        <v>Carlota</v>
      </c>
      <c r="G625" s="11" t="str" cm="1">
        <f t="array" ref="G625">_xlfn.XLOOKUP(fsales[[#This Row],[ProductID]],dProduct[[#All],[ProductID]],dProduct[[#All],[Supplier]])</f>
        <v>Gel Booms</v>
      </c>
      <c r="H625" s="11" t="str" cm="1">
        <f t="array" ref="H625">_xlfn.XLOOKUP(fsales[[#This Row],[SalesRepID]],dSalesRep[[#All],[SalesRepID]],dSalesRep[[#All],[Region]])</f>
        <v>WA</v>
      </c>
    </row>
    <row r="626" spans="1:8" x14ac:dyDescent="0.3">
      <c r="A626" s="1">
        <v>45648</v>
      </c>
      <c r="B626">
        <v>2</v>
      </c>
      <c r="C626">
        <v>2</v>
      </c>
      <c r="D626">
        <v>50</v>
      </c>
      <c r="E626" s="11" cm="1">
        <f t="array" ref="E626">_xlfn.XLOOKUP(fsales[[#This Row],[ProductID]],dProduct[[#All],[ProductID]],dProduct[[#All],[Price]])*fsales[[#This Row],[Units]]</f>
        <v>1497.5</v>
      </c>
      <c r="F626" s="11" t="str" cm="1">
        <f t="array" ref="F626">_xlfn.XLOOKUP(fsales[[#This Row],[ProductID]],dProduct[[#All],[ProductID]],dProduct[[#All],[Product]])</f>
        <v>Carlota</v>
      </c>
      <c r="G626" s="11" t="str" cm="1">
        <f t="array" ref="G626">_xlfn.XLOOKUP(fsales[[#This Row],[ProductID]],dProduct[[#All],[ProductID]],dProduct[[#All],[Supplier]])</f>
        <v>Gel Booms</v>
      </c>
      <c r="H626" s="11" t="str" cm="1">
        <f t="array" ref="H626">_xlfn.XLOOKUP(fsales[[#This Row],[SalesRepID]],dSalesRep[[#All],[SalesRepID]],dSalesRep[[#All],[Region]])</f>
        <v>CA</v>
      </c>
    </row>
    <row r="627" spans="1:8" x14ac:dyDescent="0.3">
      <c r="A627" s="1">
        <v>45564</v>
      </c>
      <c r="B627">
        <v>4</v>
      </c>
      <c r="C627">
        <v>2</v>
      </c>
      <c r="D627">
        <v>89</v>
      </c>
      <c r="E627" s="11" cm="1">
        <f t="array" ref="E627">_xlfn.XLOOKUP(fsales[[#This Row],[ProductID]],dProduct[[#All],[ProductID]],dProduct[[#All],[Price]])*fsales[[#This Row],[Units]]</f>
        <v>2131.5499999999997</v>
      </c>
      <c r="F627" s="11" t="str" cm="1">
        <f t="array" ref="F627">_xlfn.XLOOKUP(fsales[[#This Row],[ProductID]],dProduct[[#All],[ProductID]],dProduct[[#All],[Product]])</f>
        <v>Yanaki</v>
      </c>
      <c r="G627" s="11" t="str" cm="1">
        <f t="array" ref="G627">_xlfn.XLOOKUP(fsales[[#This Row],[ProductID]],dProduct[[#All],[ProductID]],dProduct[[#All],[Supplier]])</f>
        <v>Colorado Booms</v>
      </c>
      <c r="H627" s="11" t="str" cm="1">
        <f t="array" ref="H627">_xlfn.XLOOKUP(fsales[[#This Row],[SalesRepID]],dSalesRep[[#All],[SalesRepID]],dSalesRep[[#All],[Region]])</f>
        <v>CA</v>
      </c>
    </row>
    <row r="628" spans="1:8" x14ac:dyDescent="0.3">
      <c r="A628" s="1">
        <v>45579</v>
      </c>
      <c r="B628">
        <v>2</v>
      </c>
      <c r="C628">
        <v>4</v>
      </c>
      <c r="D628">
        <v>183</v>
      </c>
      <c r="E628" s="11" cm="1">
        <f t="array" ref="E628">_xlfn.XLOOKUP(fsales[[#This Row],[ProductID]],dProduct[[#All],[ProductID]],dProduct[[#All],[Price]])*fsales[[#This Row],[Units]]</f>
        <v>5480.8499999999995</v>
      </c>
      <c r="F628" s="11" t="str" cm="1">
        <f t="array" ref="F628">_xlfn.XLOOKUP(fsales[[#This Row],[ProductID]],dProduct[[#All],[ProductID]],dProduct[[#All],[Product]])</f>
        <v>Carlota</v>
      </c>
      <c r="G628" s="11" t="str" cm="1">
        <f t="array" ref="G628">_xlfn.XLOOKUP(fsales[[#This Row],[ProductID]],dProduct[[#All],[ProductID]],dProduct[[#All],[Supplier]])</f>
        <v>Gel Booms</v>
      </c>
      <c r="H628" s="11" t="str" cm="1">
        <f t="array" ref="H628">_xlfn.XLOOKUP(fsales[[#This Row],[SalesRepID]],dSalesRep[[#All],[SalesRepID]],dSalesRep[[#All],[Region]])</f>
        <v>WA</v>
      </c>
    </row>
    <row r="629" spans="1:8" x14ac:dyDescent="0.3">
      <c r="A629" s="1">
        <v>45595</v>
      </c>
      <c r="B629">
        <v>2</v>
      </c>
      <c r="C629">
        <v>4</v>
      </c>
      <c r="D629">
        <v>102</v>
      </c>
      <c r="E629" s="11" cm="1">
        <f t="array" ref="E629">_xlfn.XLOOKUP(fsales[[#This Row],[ProductID]],dProduct[[#All],[ProductID]],dProduct[[#All],[Price]])*fsales[[#This Row],[Units]]</f>
        <v>3054.9</v>
      </c>
      <c r="F629" s="11" t="str" cm="1">
        <f t="array" ref="F629">_xlfn.XLOOKUP(fsales[[#This Row],[ProductID]],dProduct[[#All],[ProductID]],dProduct[[#All],[Product]])</f>
        <v>Carlota</v>
      </c>
      <c r="G629" s="11" t="str" cm="1">
        <f t="array" ref="G629">_xlfn.XLOOKUP(fsales[[#This Row],[ProductID]],dProduct[[#All],[ProductID]],dProduct[[#All],[Supplier]])</f>
        <v>Gel Booms</v>
      </c>
      <c r="H629" s="11" t="str" cm="1">
        <f t="array" ref="H629">_xlfn.XLOOKUP(fsales[[#This Row],[SalesRepID]],dSalesRep[[#All],[SalesRepID]],dSalesRep[[#All],[Region]])</f>
        <v>WA</v>
      </c>
    </row>
    <row r="630" spans="1:8" x14ac:dyDescent="0.3">
      <c r="A630" s="1">
        <v>45624</v>
      </c>
      <c r="B630">
        <v>2</v>
      </c>
      <c r="C630">
        <v>2</v>
      </c>
      <c r="D630">
        <v>86</v>
      </c>
      <c r="E630" s="11" cm="1">
        <f t="array" ref="E630">_xlfn.XLOOKUP(fsales[[#This Row],[ProductID]],dProduct[[#All],[ProductID]],dProduct[[#All],[Price]])*fsales[[#This Row],[Units]]</f>
        <v>2575.6999999999998</v>
      </c>
      <c r="F630" s="11" t="str" cm="1">
        <f t="array" ref="F630">_xlfn.XLOOKUP(fsales[[#This Row],[ProductID]],dProduct[[#All],[ProductID]],dProduct[[#All],[Product]])</f>
        <v>Carlota</v>
      </c>
      <c r="G630" s="11" t="str" cm="1">
        <f t="array" ref="G630">_xlfn.XLOOKUP(fsales[[#This Row],[ProductID]],dProduct[[#All],[ProductID]],dProduct[[#All],[Supplier]])</f>
        <v>Gel Booms</v>
      </c>
      <c r="H630" s="11" t="str" cm="1">
        <f t="array" ref="H630">_xlfn.XLOOKUP(fsales[[#This Row],[SalesRepID]],dSalesRep[[#All],[SalesRepID]],dSalesRep[[#All],[Region]])</f>
        <v>CA</v>
      </c>
    </row>
    <row r="631" spans="1:8" x14ac:dyDescent="0.3">
      <c r="A631" s="1">
        <v>45443</v>
      </c>
      <c r="B631">
        <v>1</v>
      </c>
      <c r="C631">
        <v>2</v>
      </c>
      <c r="D631">
        <v>142</v>
      </c>
      <c r="E631" s="11" cm="1">
        <f t="array" ref="E631">_xlfn.XLOOKUP(fsales[[#This Row],[ProductID]],dProduct[[#All],[ProductID]],dProduct[[#All],[Price]])*fsales[[#This Row],[Units]]</f>
        <v>6240.9000000000005</v>
      </c>
      <c r="F631" s="11" t="str" cm="1">
        <f t="array" ref="F631">_xlfn.XLOOKUP(fsales[[#This Row],[ProductID]],dProduct[[#All],[ProductID]],dProduct[[#All],[Product]])</f>
        <v>Quad</v>
      </c>
      <c r="G631" s="11" t="str" cm="1">
        <f t="array" ref="G631">_xlfn.XLOOKUP(fsales[[#This Row],[ProductID]],dProduct[[#All],[ProductID]],dProduct[[#All],[Supplier]])</f>
        <v>Gel Booms</v>
      </c>
      <c r="H631" s="11" t="str" cm="1">
        <f t="array" ref="H631">_xlfn.XLOOKUP(fsales[[#This Row],[SalesRepID]],dSalesRep[[#All],[SalesRepID]],dSalesRep[[#All],[Region]])</f>
        <v>CA</v>
      </c>
    </row>
    <row r="632" spans="1:8" x14ac:dyDescent="0.3">
      <c r="A632" s="1">
        <v>45458</v>
      </c>
      <c r="B632">
        <v>3</v>
      </c>
      <c r="C632">
        <v>2</v>
      </c>
      <c r="D632">
        <v>205</v>
      </c>
      <c r="E632" s="11" cm="1">
        <f t="array" ref="E632">_xlfn.XLOOKUP(fsales[[#This Row],[ProductID]],dProduct[[#All],[ProductID]],dProduct[[#All],[Price]])*fsales[[#This Row],[Units]]</f>
        <v>5319.75</v>
      </c>
      <c r="F632" s="11" t="str" cm="1">
        <f t="array" ref="F632">_xlfn.XLOOKUP(fsales[[#This Row],[ProductID]],dProduct[[#All],[ProductID]],dProduct[[#All],[Product]])</f>
        <v>Aspen</v>
      </c>
      <c r="G632" s="11" t="str" cm="1">
        <f t="array" ref="G632">_xlfn.XLOOKUP(fsales[[#This Row],[ProductID]],dProduct[[#All],[ProductID]],dProduct[[#All],[Supplier]])</f>
        <v>Colorado Booms</v>
      </c>
      <c r="H632" s="11" t="str" cm="1">
        <f t="array" ref="H632">_xlfn.XLOOKUP(fsales[[#This Row],[SalesRepID]],dSalesRep[[#All],[SalesRepID]],dSalesRep[[#All],[Region]])</f>
        <v>CA</v>
      </c>
    </row>
    <row r="633" spans="1:8" x14ac:dyDescent="0.3">
      <c r="A633" s="1">
        <v>45517</v>
      </c>
      <c r="B633">
        <v>2</v>
      </c>
      <c r="C633">
        <v>2</v>
      </c>
      <c r="D633">
        <v>5</v>
      </c>
      <c r="E633" s="11" cm="1">
        <f t="array" ref="E633">_xlfn.XLOOKUP(fsales[[#This Row],[ProductID]],dProduct[[#All],[ProductID]],dProduct[[#All],[Price]])*fsales[[#This Row],[Units]]</f>
        <v>149.75</v>
      </c>
      <c r="F633" s="11" t="str" cm="1">
        <f t="array" ref="F633">_xlfn.XLOOKUP(fsales[[#This Row],[ProductID]],dProduct[[#All],[ProductID]],dProduct[[#All],[Product]])</f>
        <v>Carlota</v>
      </c>
      <c r="G633" s="11" t="str" cm="1">
        <f t="array" ref="G633">_xlfn.XLOOKUP(fsales[[#This Row],[ProductID]],dProduct[[#All],[ProductID]],dProduct[[#All],[Supplier]])</f>
        <v>Gel Booms</v>
      </c>
      <c r="H633" s="11" t="str" cm="1">
        <f t="array" ref="H633">_xlfn.XLOOKUP(fsales[[#This Row],[SalesRepID]],dSalesRep[[#All],[SalesRepID]],dSalesRep[[#All],[Region]])</f>
        <v>CA</v>
      </c>
    </row>
    <row r="634" spans="1:8" x14ac:dyDescent="0.3">
      <c r="A634" s="1">
        <v>45367</v>
      </c>
      <c r="B634">
        <v>3</v>
      </c>
      <c r="C634">
        <v>2</v>
      </c>
      <c r="D634">
        <v>3</v>
      </c>
      <c r="E634" s="11" cm="1">
        <f t="array" ref="E634">_xlfn.XLOOKUP(fsales[[#This Row],[ProductID]],dProduct[[#All],[ProductID]],dProduct[[#All],[Price]])*fsales[[#This Row],[Units]]</f>
        <v>77.849999999999994</v>
      </c>
      <c r="F634" s="11" t="str" cm="1">
        <f t="array" ref="F634">_xlfn.XLOOKUP(fsales[[#This Row],[ProductID]],dProduct[[#All],[ProductID]],dProduct[[#All],[Product]])</f>
        <v>Aspen</v>
      </c>
      <c r="G634" s="11" t="str" cm="1">
        <f t="array" ref="G634">_xlfn.XLOOKUP(fsales[[#This Row],[ProductID]],dProduct[[#All],[ProductID]],dProduct[[#All],[Supplier]])</f>
        <v>Colorado Booms</v>
      </c>
      <c r="H634" s="11" t="str" cm="1">
        <f t="array" ref="H634">_xlfn.XLOOKUP(fsales[[#This Row],[SalesRepID]],dSalesRep[[#All],[SalesRepID]],dSalesRep[[#All],[Region]])</f>
        <v>CA</v>
      </c>
    </row>
    <row r="635" spans="1:8" x14ac:dyDescent="0.3">
      <c r="A635" s="1">
        <v>45459</v>
      </c>
      <c r="B635">
        <v>4</v>
      </c>
      <c r="C635">
        <v>1</v>
      </c>
      <c r="D635">
        <v>131</v>
      </c>
      <c r="E635" s="11" cm="1">
        <f t="array" ref="E635">_xlfn.XLOOKUP(fsales[[#This Row],[ProductID]],dProduct[[#All],[ProductID]],dProduct[[#All],[Price]])*fsales[[#This Row],[Units]]</f>
        <v>3137.45</v>
      </c>
      <c r="F635" s="11" t="str" cm="1">
        <f t="array" ref="F635">_xlfn.XLOOKUP(fsales[[#This Row],[ProductID]],dProduct[[#All],[ProductID]],dProduct[[#All],[Product]])</f>
        <v>Yanaki</v>
      </c>
      <c r="G635" s="11" t="str" cm="1">
        <f t="array" ref="G635">_xlfn.XLOOKUP(fsales[[#This Row],[ProductID]],dProduct[[#All],[ProductID]],dProduct[[#All],[Supplier]])</f>
        <v>Colorado Booms</v>
      </c>
      <c r="H635" s="11" t="str" cm="1">
        <f t="array" ref="H635">_xlfn.XLOOKUP(fsales[[#This Row],[SalesRepID]],dSalesRep[[#All],[SalesRepID]],dSalesRep[[#All],[Region]])</f>
        <v>CA</v>
      </c>
    </row>
    <row r="636" spans="1:8" x14ac:dyDescent="0.3">
      <c r="A636" s="1">
        <v>45527</v>
      </c>
      <c r="B636">
        <v>3</v>
      </c>
      <c r="C636">
        <v>3</v>
      </c>
      <c r="D636">
        <v>132</v>
      </c>
      <c r="E636" s="11" cm="1">
        <f t="array" ref="E636">_xlfn.XLOOKUP(fsales[[#This Row],[ProductID]],dProduct[[#All],[ProductID]],dProduct[[#All],[Price]])*fsales[[#This Row],[Units]]</f>
        <v>3425.4</v>
      </c>
      <c r="F636" s="11" t="str" cm="1">
        <f t="array" ref="F636">_xlfn.XLOOKUP(fsales[[#This Row],[ProductID]],dProduct[[#All],[ProductID]],dProduct[[#All],[Product]])</f>
        <v>Aspen</v>
      </c>
      <c r="G636" s="11" t="str" cm="1">
        <f t="array" ref="G636">_xlfn.XLOOKUP(fsales[[#This Row],[ProductID]],dProduct[[#All],[ProductID]],dProduct[[#All],[Supplier]])</f>
        <v>Colorado Booms</v>
      </c>
      <c r="H636" s="11" t="str" cm="1">
        <f t="array" ref="H636">_xlfn.XLOOKUP(fsales[[#This Row],[SalesRepID]],dSalesRep[[#All],[SalesRepID]],dSalesRep[[#All],[Region]])</f>
        <v>WA</v>
      </c>
    </row>
    <row r="637" spans="1:8" x14ac:dyDescent="0.3">
      <c r="A637" s="1">
        <v>45615</v>
      </c>
      <c r="B637">
        <v>1</v>
      </c>
      <c r="C637">
        <v>4</v>
      </c>
      <c r="D637">
        <v>80</v>
      </c>
      <c r="E637" s="11" cm="1">
        <f t="array" ref="E637">_xlfn.XLOOKUP(fsales[[#This Row],[ProductID]],dProduct[[#All],[ProductID]],dProduct[[#All],[Price]])*fsales[[#This Row],[Units]]</f>
        <v>3516</v>
      </c>
      <c r="F637" s="11" t="str" cm="1">
        <f t="array" ref="F637">_xlfn.XLOOKUP(fsales[[#This Row],[ProductID]],dProduct[[#All],[ProductID]],dProduct[[#All],[Product]])</f>
        <v>Quad</v>
      </c>
      <c r="G637" s="11" t="str" cm="1">
        <f t="array" ref="G637">_xlfn.XLOOKUP(fsales[[#This Row],[ProductID]],dProduct[[#All],[ProductID]],dProduct[[#All],[Supplier]])</f>
        <v>Gel Booms</v>
      </c>
      <c r="H637" s="11" t="str" cm="1">
        <f t="array" ref="H637">_xlfn.XLOOKUP(fsales[[#This Row],[SalesRepID]],dSalesRep[[#All],[SalesRepID]],dSalesRep[[#All],[Region]])</f>
        <v>WA</v>
      </c>
    </row>
    <row r="638" spans="1:8" x14ac:dyDescent="0.3">
      <c r="A638" s="1">
        <v>45562</v>
      </c>
      <c r="B638">
        <v>4</v>
      </c>
      <c r="C638">
        <v>4</v>
      </c>
      <c r="D638">
        <v>4</v>
      </c>
      <c r="E638" s="11" cm="1">
        <f t="array" ref="E638">_xlfn.XLOOKUP(fsales[[#This Row],[ProductID]],dProduct[[#All],[ProductID]],dProduct[[#All],[Price]])*fsales[[#This Row],[Units]]</f>
        <v>95.8</v>
      </c>
      <c r="F638" s="11" t="str" cm="1">
        <f t="array" ref="F638">_xlfn.XLOOKUP(fsales[[#This Row],[ProductID]],dProduct[[#All],[ProductID]],dProduct[[#All],[Product]])</f>
        <v>Yanaki</v>
      </c>
      <c r="G638" s="11" t="str" cm="1">
        <f t="array" ref="G638">_xlfn.XLOOKUP(fsales[[#This Row],[ProductID]],dProduct[[#All],[ProductID]],dProduct[[#All],[Supplier]])</f>
        <v>Colorado Booms</v>
      </c>
      <c r="H638" s="11" t="str" cm="1">
        <f t="array" ref="H638">_xlfn.XLOOKUP(fsales[[#This Row],[SalesRepID]],dSalesRep[[#All],[SalesRepID]],dSalesRep[[#All],[Region]])</f>
        <v>WA</v>
      </c>
    </row>
    <row r="639" spans="1:8" x14ac:dyDescent="0.3">
      <c r="A639" s="1">
        <v>45487</v>
      </c>
      <c r="B639">
        <v>2</v>
      </c>
      <c r="C639">
        <v>4</v>
      </c>
      <c r="D639">
        <v>176</v>
      </c>
      <c r="E639" s="11" cm="1">
        <f t="array" ref="E639">_xlfn.XLOOKUP(fsales[[#This Row],[ProductID]],dProduct[[#All],[ProductID]],dProduct[[#All],[Price]])*fsales[[#This Row],[Units]]</f>
        <v>5271.2</v>
      </c>
      <c r="F639" s="11" t="str" cm="1">
        <f t="array" ref="F639">_xlfn.XLOOKUP(fsales[[#This Row],[ProductID]],dProduct[[#All],[ProductID]],dProduct[[#All],[Product]])</f>
        <v>Carlota</v>
      </c>
      <c r="G639" s="11" t="str" cm="1">
        <f t="array" ref="G639">_xlfn.XLOOKUP(fsales[[#This Row],[ProductID]],dProduct[[#All],[ProductID]],dProduct[[#All],[Supplier]])</f>
        <v>Gel Booms</v>
      </c>
      <c r="H639" s="11" t="str" cm="1">
        <f t="array" ref="H639">_xlfn.XLOOKUP(fsales[[#This Row],[SalesRepID]],dSalesRep[[#All],[SalesRepID]],dSalesRep[[#All],[Region]])</f>
        <v>WA</v>
      </c>
    </row>
    <row r="640" spans="1:8" x14ac:dyDescent="0.3">
      <c r="A640" s="1">
        <v>45610</v>
      </c>
      <c r="B640">
        <v>2</v>
      </c>
      <c r="C640">
        <v>2</v>
      </c>
      <c r="D640">
        <v>5</v>
      </c>
      <c r="E640" s="11" cm="1">
        <f t="array" ref="E640">_xlfn.XLOOKUP(fsales[[#This Row],[ProductID]],dProduct[[#All],[ProductID]],dProduct[[#All],[Price]])*fsales[[#This Row],[Units]]</f>
        <v>149.75</v>
      </c>
      <c r="F640" s="11" t="str" cm="1">
        <f t="array" ref="F640">_xlfn.XLOOKUP(fsales[[#This Row],[ProductID]],dProduct[[#All],[ProductID]],dProduct[[#All],[Product]])</f>
        <v>Carlota</v>
      </c>
      <c r="G640" s="11" t="str" cm="1">
        <f t="array" ref="G640">_xlfn.XLOOKUP(fsales[[#This Row],[ProductID]],dProduct[[#All],[ProductID]],dProduct[[#All],[Supplier]])</f>
        <v>Gel Booms</v>
      </c>
      <c r="H640" s="11" t="str" cm="1">
        <f t="array" ref="H640">_xlfn.XLOOKUP(fsales[[#This Row],[SalesRepID]],dSalesRep[[#All],[SalesRepID]],dSalesRep[[#All],[Region]])</f>
        <v>CA</v>
      </c>
    </row>
    <row r="641" spans="1:8" x14ac:dyDescent="0.3">
      <c r="A641" s="1">
        <v>45604</v>
      </c>
      <c r="B641">
        <v>2</v>
      </c>
      <c r="C641">
        <v>2</v>
      </c>
      <c r="D641">
        <v>56</v>
      </c>
      <c r="E641" s="11" cm="1">
        <f t="array" ref="E641">_xlfn.XLOOKUP(fsales[[#This Row],[ProductID]],dProduct[[#All],[ProductID]],dProduct[[#All],[Price]])*fsales[[#This Row],[Units]]</f>
        <v>1677.2</v>
      </c>
      <c r="F641" s="11" t="str" cm="1">
        <f t="array" ref="F641">_xlfn.XLOOKUP(fsales[[#This Row],[ProductID]],dProduct[[#All],[ProductID]],dProduct[[#All],[Product]])</f>
        <v>Carlota</v>
      </c>
      <c r="G641" s="11" t="str" cm="1">
        <f t="array" ref="G641">_xlfn.XLOOKUP(fsales[[#This Row],[ProductID]],dProduct[[#All],[ProductID]],dProduct[[#All],[Supplier]])</f>
        <v>Gel Booms</v>
      </c>
      <c r="H641" s="11" t="str" cm="1">
        <f t="array" ref="H641">_xlfn.XLOOKUP(fsales[[#This Row],[SalesRepID]],dSalesRep[[#All],[SalesRepID]],dSalesRep[[#All],[Region]])</f>
        <v>CA</v>
      </c>
    </row>
    <row r="642" spans="1:8" x14ac:dyDescent="0.3">
      <c r="A642" s="1">
        <v>45531</v>
      </c>
      <c r="B642">
        <v>1</v>
      </c>
      <c r="C642">
        <v>4</v>
      </c>
      <c r="D642">
        <v>2</v>
      </c>
      <c r="E642" s="11" cm="1">
        <f t="array" ref="E642">_xlfn.XLOOKUP(fsales[[#This Row],[ProductID]],dProduct[[#All],[ProductID]],dProduct[[#All],[Price]])*fsales[[#This Row],[Units]]</f>
        <v>87.9</v>
      </c>
      <c r="F642" s="11" t="str" cm="1">
        <f t="array" ref="F642">_xlfn.XLOOKUP(fsales[[#This Row],[ProductID]],dProduct[[#All],[ProductID]],dProduct[[#All],[Product]])</f>
        <v>Quad</v>
      </c>
      <c r="G642" s="11" t="str" cm="1">
        <f t="array" ref="G642">_xlfn.XLOOKUP(fsales[[#This Row],[ProductID]],dProduct[[#All],[ProductID]],dProduct[[#All],[Supplier]])</f>
        <v>Gel Booms</v>
      </c>
      <c r="H642" s="11" t="str" cm="1">
        <f t="array" ref="H642">_xlfn.XLOOKUP(fsales[[#This Row],[SalesRepID]],dSalesRep[[#All],[SalesRepID]],dSalesRep[[#All],[Region]])</f>
        <v>WA</v>
      </c>
    </row>
    <row r="643" spans="1:8" x14ac:dyDescent="0.3">
      <c r="A643" s="1">
        <v>45577</v>
      </c>
      <c r="B643">
        <v>2</v>
      </c>
      <c r="C643">
        <v>4</v>
      </c>
      <c r="D643">
        <v>78</v>
      </c>
      <c r="E643" s="11" cm="1">
        <f t="array" ref="E643">_xlfn.XLOOKUP(fsales[[#This Row],[ProductID]],dProduct[[#All],[ProductID]],dProduct[[#All],[Price]])*fsales[[#This Row],[Units]]</f>
        <v>2336.1</v>
      </c>
      <c r="F643" s="11" t="str" cm="1">
        <f t="array" ref="F643">_xlfn.XLOOKUP(fsales[[#This Row],[ProductID]],dProduct[[#All],[ProductID]],dProduct[[#All],[Product]])</f>
        <v>Carlota</v>
      </c>
      <c r="G643" s="11" t="str" cm="1">
        <f t="array" ref="G643">_xlfn.XLOOKUP(fsales[[#This Row],[ProductID]],dProduct[[#All],[ProductID]],dProduct[[#All],[Supplier]])</f>
        <v>Gel Booms</v>
      </c>
      <c r="H643" s="11" t="str" cm="1">
        <f t="array" ref="H643">_xlfn.XLOOKUP(fsales[[#This Row],[SalesRepID]],dSalesRep[[#All],[SalesRepID]],dSalesRep[[#All],[Region]])</f>
        <v>WA</v>
      </c>
    </row>
    <row r="644" spans="1:8" x14ac:dyDescent="0.3">
      <c r="A644" s="1">
        <v>45537</v>
      </c>
      <c r="B644">
        <v>2</v>
      </c>
      <c r="C644">
        <v>2</v>
      </c>
      <c r="D644">
        <v>63</v>
      </c>
      <c r="E644" s="11" cm="1">
        <f t="array" ref="E644">_xlfn.XLOOKUP(fsales[[#This Row],[ProductID]],dProduct[[#All],[ProductID]],dProduct[[#All],[Price]])*fsales[[#This Row],[Units]]</f>
        <v>1886.85</v>
      </c>
      <c r="F644" s="11" t="str" cm="1">
        <f t="array" ref="F644">_xlfn.XLOOKUP(fsales[[#This Row],[ProductID]],dProduct[[#All],[ProductID]],dProduct[[#All],[Product]])</f>
        <v>Carlota</v>
      </c>
      <c r="G644" s="11" t="str" cm="1">
        <f t="array" ref="G644">_xlfn.XLOOKUP(fsales[[#This Row],[ProductID]],dProduct[[#All],[ProductID]],dProduct[[#All],[Supplier]])</f>
        <v>Gel Booms</v>
      </c>
      <c r="H644" s="11" t="str" cm="1">
        <f t="array" ref="H644">_xlfn.XLOOKUP(fsales[[#This Row],[SalesRepID]],dSalesRep[[#All],[SalesRepID]],dSalesRep[[#All],[Region]])</f>
        <v>CA</v>
      </c>
    </row>
    <row r="645" spans="1:8" x14ac:dyDescent="0.3">
      <c r="A645" s="1">
        <v>45608</v>
      </c>
      <c r="B645">
        <v>2</v>
      </c>
      <c r="C645">
        <v>2</v>
      </c>
      <c r="D645">
        <v>188</v>
      </c>
      <c r="E645" s="11" cm="1">
        <f t="array" ref="E645">_xlfn.XLOOKUP(fsales[[#This Row],[ProductID]],dProduct[[#All],[ProductID]],dProduct[[#All],[Price]])*fsales[[#This Row],[Units]]</f>
        <v>5630.5999999999995</v>
      </c>
      <c r="F645" s="11" t="str" cm="1">
        <f t="array" ref="F645">_xlfn.XLOOKUP(fsales[[#This Row],[ProductID]],dProduct[[#All],[ProductID]],dProduct[[#All],[Product]])</f>
        <v>Carlota</v>
      </c>
      <c r="G645" s="11" t="str" cm="1">
        <f t="array" ref="G645">_xlfn.XLOOKUP(fsales[[#This Row],[ProductID]],dProduct[[#All],[ProductID]],dProduct[[#All],[Supplier]])</f>
        <v>Gel Booms</v>
      </c>
      <c r="H645" s="11" t="str" cm="1">
        <f t="array" ref="H645">_xlfn.XLOOKUP(fsales[[#This Row],[SalesRepID]],dSalesRep[[#All],[SalesRepID]],dSalesRep[[#All],[Region]])</f>
        <v>CA</v>
      </c>
    </row>
    <row r="646" spans="1:8" x14ac:dyDescent="0.3">
      <c r="A646" s="1">
        <v>45461</v>
      </c>
      <c r="B646">
        <v>4</v>
      </c>
      <c r="C646">
        <v>2</v>
      </c>
      <c r="D646">
        <v>85</v>
      </c>
      <c r="E646" s="11" cm="1">
        <f t="array" ref="E646">_xlfn.XLOOKUP(fsales[[#This Row],[ProductID]],dProduct[[#All],[ProductID]],dProduct[[#All],[Price]])*fsales[[#This Row],[Units]]</f>
        <v>2035.75</v>
      </c>
      <c r="F646" s="11" t="str" cm="1">
        <f t="array" ref="F646">_xlfn.XLOOKUP(fsales[[#This Row],[ProductID]],dProduct[[#All],[ProductID]],dProduct[[#All],[Product]])</f>
        <v>Yanaki</v>
      </c>
      <c r="G646" s="11" t="str" cm="1">
        <f t="array" ref="G646">_xlfn.XLOOKUP(fsales[[#This Row],[ProductID]],dProduct[[#All],[ProductID]],dProduct[[#All],[Supplier]])</f>
        <v>Colorado Booms</v>
      </c>
      <c r="H646" s="11" t="str" cm="1">
        <f t="array" ref="H646">_xlfn.XLOOKUP(fsales[[#This Row],[SalesRepID]],dSalesRep[[#All],[SalesRepID]],dSalesRep[[#All],[Region]])</f>
        <v>CA</v>
      </c>
    </row>
    <row r="647" spans="1:8" x14ac:dyDescent="0.3">
      <c r="A647" s="1">
        <v>45542</v>
      </c>
      <c r="B647">
        <v>2</v>
      </c>
      <c r="C647">
        <v>4</v>
      </c>
      <c r="D647">
        <v>139</v>
      </c>
      <c r="E647" s="11" cm="1">
        <f t="array" ref="E647">_xlfn.XLOOKUP(fsales[[#This Row],[ProductID]],dProduct[[#All],[ProductID]],dProduct[[#All],[Price]])*fsales[[#This Row],[Units]]</f>
        <v>4163.05</v>
      </c>
      <c r="F647" s="11" t="str" cm="1">
        <f t="array" ref="F647">_xlfn.XLOOKUP(fsales[[#This Row],[ProductID]],dProduct[[#All],[ProductID]],dProduct[[#All],[Product]])</f>
        <v>Carlota</v>
      </c>
      <c r="G647" s="11" t="str" cm="1">
        <f t="array" ref="G647">_xlfn.XLOOKUP(fsales[[#This Row],[ProductID]],dProduct[[#All],[ProductID]],dProduct[[#All],[Supplier]])</f>
        <v>Gel Booms</v>
      </c>
      <c r="H647" s="11" t="str" cm="1">
        <f t="array" ref="H647">_xlfn.XLOOKUP(fsales[[#This Row],[SalesRepID]],dSalesRep[[#All],[SalesRepID]],dSalesRep[[#All],[Region]])</f>
        <v>WA</v>
      </c>
    </row>
    <row r="648" spans="1:8" x14ac:dyDescent="0.3">
      <c r="A648" s="1">
        <v>45573</v>
      </c>
      <c r="B648">
        <v>2</v>
      </c>
      <c r="C648">
        <v>2</v>
      </c>
      <c r="D648">
        <v>175</v>
      </c>
      <c r="E648" s="11" cm="1">
        <f t="array" ref="E648">_xlfn.XLOOKUP(fsales[[#This Row],[ProductID]],dProduct[[#All],[ProductID]],dProduct[[#All],[Price]])*fsales[[#This Row],[Units]]</f>
        <v>5241.25</v>
      </c>
      <c r="F648" s="11" t="str" cm="1">
        <f t="array" ref="F648">_xlfn.XLOOKUP(fsales[[#This Row],[ProductID]],dProduct[[#All],[ProductID]],dProduct[[#All],[Product]])</f>
        <v>Carlota</v>
      </c>
      <c r="G648" s="11" t="str" cm="1">
        <f t="array" ref="G648">_xlfn.XLOOKUP(fsales[[#This Row],[ProductID]],dProduct[[#All],[ProductID]],dProduct[[#All],[Supplier]])</f>
        <v>Gel Booms</v>
      </c>
      <c r="H648" s="11" t="str" cm="1">
        <f t="array" ref="H648">_xlfn.XLOOKUP(fsales[[#This Row],[SalesRepID]],dSalesRep[[#All],[SalesRepID]],dSalesRep[[#All],[Region]])</f>
        <v>CA</v>
      </c>
    </row>
    <row r="649" spans="1:8" x14ac:dyDescent="0.3">
      <c r="A649" s="1">
        <v>45593</v>
      </c>
      <c r="B649">
        <v>1</v>
      </c>
      <c r="C649">
        <v>2</v>
      </c>
      <c r="D649">
        <v>3</v>
      </c>
      <c r="E649" s="11" cm="1">
        <f t="array" ref="E649">_xlfn.XLOOKUP(fsales[[#This Row],[ProductID]],dProduct[[#All],[ProductID]],dProduct[[#All],[Price]])*fsales[[#This Row],[Units]]</f>
        <v>131.85000000000002</v>
      </c>
      <c r="F649" s="11" t="str" cm="1">
        <f t="array" ref="F649">_xlfn.XLOOKUP(fsales[[#This Row],[ProductID]],dProduct[[#All],[ProductID]],dProduct[[#All],[Product]])</f>
        <v>Quad</v>
      </c>
      <c r="G649" s="11" t="str" cm="1">
        <f t="array" ref="G649">_xlfn.XLOOKUP(fsales[[#This Row],[ProductID]],dProduct[[#All],[ProductID]],dProduct[[#All],[Supplier]])</f>
        <v>Gel Booms</v>
      </c>
      <c r="H649" s="11" t="str" cm="1">
        <f t="array" ref="H649">_xlfn.XLOOKUP(fsales[[#This Row],[SalesRepID]],dSalesRep[[#All],[SalesRepID]],dSalesRep[[#All],[Region]])</f>
        <v>CA</v>
      </c>
    </row>
    <row r="650" spans="1:8" x14ac:dyDescent="0.3">
      <c r="A650" s="1">
        <v>45436</v>
      </c>
      <c r="B650">
        <v>2</v>
      </c>
      <c r="C650">
        <v>4</v>
      </c>
      <c r="D650">
        <v>64</v>
      </c>
      <c r="E650" s="11" cm="1">
        <f t="array" ref="E650">_xlfn.XLOOKUP(fsales[[#This Row],[ProductID]],dProduct[[#All],[ProductID]],dProduct[[#All],[Price]])*fsales[[#This Row],[Units]]</f>
        <v>1916.8</v>
      </c>
      <c r="F650" s="11" t="str" cm="1">
        <f t="array" ref="F650">_xlfn.XLOOKUP(fsales[[#This Row],[ProductID]],dProduct[[#All],[ProductID]],dProduct[[#All],[Product]])</f>
        <v>Carlota</v>
      </c>
      <c r="G650" s="11" t="str" cm="1">
        <f t="array" ref="G650">_xlfn.XLOOKUP(fsales[[#This Row],[ProductID]],dProduct[[#All],[ProductID]],dProduct[[#All],[Supplier]])</f>
        <v>Gel Booms</v>
      </c>
      <c r="H650" s="11" t="str" cm="1">
        <f t="array" ref="H650">_xlfn.XLOOKUP(fsales[[#This Row],[SalesRepID]],dSalesRep[[#All],[SalesRepID]],dSalesRep[[#All],[Region]])</f>
        <v>WA</v>
      </c>
    </row>
    <row r="651" spans="1:8" x14ac:dyDescent="0.3">
      <c r="A651" s="1">
        <v>45610</v>
      </c>
      <c r="B651">
        <v>2</v>
      </c>
      <c r="C651">
        <v>2</v>
      </c>
      <c r="D651">
        <v>95</v>
      </c>
      <c r="E651" s="11" cm="1">
        <f t="array" ref="E651">_xlfn.XLOOKUP(fsales[[#This Row],[ProductID]],dProduct[[#All],[ProductID]],dProduct[[#All],[Price]])*fsales[[#This Row],[Units]]</f>
        <v>2845.25</v>
      </c>
      <c r="F651" s="11" t="str" cm="1">
        <f t="array" ref="F651">_xlfn.XLOOKUP(fsales[[#This Row],[ProductID]],dProduct[[#All],[ProductID]],dProduct[[#All],[Product]])</f>
        <v>Carlota</v>
      </c>
      <c r="G651" s="11" t="str" cm="1">
        <f t="array" ref="G651">_xlfn.XLOOKUP(fsales[[#This Row],[ProductID]],dProduct[[#All],[ProductID]],dProduct[[#All],[Supplier]])</f>
        <v>Gel Booms</v>
      </c>
      <c r="H651" s="11" t="str" cm="1">
        <f t="array" ref="H651">_xlfn.XLOOKUP(fsales[[#This Row],[SalesRepID]],dSalesRep[[#All],[SalesRepID]],dSalesRep[[#All],[Region]])</f>
        <v>CA</v>
      </c>
    </row>
    <row r="652" spans="1:8" x14ac:dyDescent="0.3">
      <c r="A652" s="1">
        <v>45531</v>
      </c>
      <c r="B652">
        <v>3</v>
      </c>
      <c r="C652">
        <v>4</v>
      </c>
      <c r="D652">
        <v>85</v>
      </c>
      <c r="E652" s="11" cm="1">
        <f t="array" ref="E652">_xlfn.XLOOKUP(fsales[[#This Row],[ProductID]],dProduct[[#All],[ProductID]],dProduct[[#All],[Price]])*fsales[[#This Row],[Units]]</f>
        <v>2205.75</v>
      </c>
      <c r="F652" s="11" t="str" cm="1">
        <f t="array" ref="F652">_xlfn.XLOOKUP(fsales[[#This Row],[ProductID]],dProduct[[#All],[ProductID]],dProduct[[#All],[Product]])</f>
        <v>Aspen</v>
      </c>
      <c r="G652" s="11" t="str" cm="1">
        <f t="array" ref="G652">_xlfn.XLOOKUP(fsales[[#This Row],[ProductID]],dProduct[[#All],[ProductID]],dProduct[[#All],[Supplier]])</f>
        <v>Colorado Booms</v>
      </c>
      <c r="H652" s="11" t="str" cm="1">
        <f t="array" ref="H652">_xlfn.XLOOKUP(fsales[[#This Row],[SalesRepID]],dSalesRep[[#All],[SalesRepID]],dSalesRep[[#All],[Region]])</f>
        <v>WA</v>
      </c>
    </row>
    <row r="653" spans="1:8" x14ac:dyDescent="0.3">
      <c r="A653" s="1">
        <v>45410</v>
      </c>
      <c r="B653">
        <v>2</v>
      </c>
      <c r="C653">
        <v>2</v>
      </c>
      <c r="D653">
        <v>89</v>
      </c>
      <c r="E653" s="11" cm="1">
        <f t="array" ref="E653">_xlfn.XLOOKUP(fsales[[#This Row],[ProductID]],dProduct[[#All],[ProductID]],dProduct[[#All],[Price]])*fsales[[#This Row],[Units]]</f>
        <v>2665.5499999999997</v>
      </c>
      <c r="F653" s="11" t="str" cm="1">
        <f t="array" ref="F653">_xlfn.XLOOKUP(fsales[[#This Row],[ProductID]],dProduct[[#All],[ProductID]],dProduct[[#All],[Product]])</f>
        <v>Carlota</v>
      </c>
      <c r="G653" s="11" t="str" cm="1">
        <f t="array" ref="G653">_xlfn.XLOOKUP(fsales[[#This Row],[ProductID]],dProduct[[#All],[ProductID]],dProduct[[#All],[Supplier]])</f>
        <v>Gel Booms</v>
      </c>
      <c r="H653" s="11" t="str" cm="1">
        <f t="array" ref="H653">_xlfn.XLOOKUP(fsales[[#This Row],[SalesRepID]],dSalesRep[[#All],[SalesRepID]],dSalesRep[[#All],[Region]])</f>
        <v>CA</v>
      </c>
    </row>
    <row r="654" spans="1:8" x14ac:dyDescent="0.3">
      <c r="A654" s="1">
        <v>45652</v>
      </c>
      <c r="B654">
        <v>3</v>
      </c>
      <c r="C654">
        <v>4</v>
      </c>
      <c r="D654">
        <v>3</v>
      </c>
      <c r="E654" s="11" cm="1">
        <f t="array" ref="E654">_xlfn.XLOOKUP(fsales[[#This Row],[ProductID]],dProduct[[#All],[ProductID]],dProduct[[#All],[Price]])*fsales[[#This Row],[Units]]</f>
        <v>77.849999999999994</v>
      </c>
      <c r="F654" s="11" t="str" cm="1">
        <f t="array" ref="F654">_xlfn.XLOOKUP(fsales[[#This Row],[ProductID]],dProduct[[#All],[ProductID]],dProduct[[#All],[Product]])</f>
        <v>Aspen</v>
      </c>
      <c r="G654" s="11" t="str" cm="1">
        <f t="array" ref="G654">_xlfn.XLOOKUP(fsales[[#This Row],[ProductID]],dProduct[[#All],[ProductID]],dProduct[[#All],[Supplier]])</f>
        <v>Colorado Booms</v>
      </c>
      <c r="H654" s="11" t="str" cm="1">
        <f t="array" ref="H654">_xlfn.XLOOKUP(fsales[[#This Row],[SalesRepID]],dSalesRep[[#All],[SalesRepID]],dSalesRep[[#All],[Region]])</f>
        <v>WA</v>
      </c>
    </row>
    <row r="655" spans="1:8" x14ac:dyDescent="0.3">
      <c r="A655" s="1">
        <v>45645</v>
      </c>
      <c r="B655">
        <v>2</v>
      </c>
      <c r="C655">
        <v>4</v>
      </c>
      <c r="D655">
        <v>287</v>
      </c>
      <c r="E655" s="11" cm="1">
        <f t="array" ref="E655">_xlfn.XLOOKUP(fsales[[#This Row],[ProductID]],dProduct[[#All],[ProductID]],dProduct[[#All],[Price]])*fsales[[#This Row],[Units]]</f>
        <v>8595.65</v>
      </c>
      <c r="F655" s="11" t="str" cm="1">
        <f t="array" ref="F655">_xlfn.XLOOKUP(fsales[[#This Row],[ProductID]],dProduct[[#All],[ProductID]],dProduct[[#All],[Product]])</f>
        <v>Carlota</v>
      </c>
      <c r="G655" s="11" t="str" cm="1">
        <f t="array" ref="G655">_xlfn.XLOOKUP(fsales[[#This Row],[ProductID]],dProduct[[#All],[ProductID]],dProduct[[#All],[Supplier]])</f>
        <v>Gel Booms</v>
      </c>
      <c r="H655" s="11" t="str" cm="1">
        <f t="array" ref="H655">_xlfn.XLOOKUP(fsales[[#This Row],[SalesRepID]],dSalesRep[[#All],[SalesRepID]],dSalesRep[[#All],[Region]])</f>
        <v>WA</v>
      </c>
    </row>
    <row r="656" spans="1:8" x14ac:dyDescent="0.3">
      <c r="A656" s="1">
        <v>45571</v>
      </c>
      <c r="B656">
        <v>3</v>
      </c>
      <c r="C656">
        <v>4</v>
      </c>
      <c r="D656">
        <v>1</v>
      </c>
      <c r="E656" s="11" cm="1">
        <f t="array" ref="E656">_xlfn.XLOOKUP(fsales[[#This Row],[ProductID]],dProduct[[#All],[ProductID]],dProduct[[#All],[Price]])*fsales[[#This Row],[Units]]</f>
        <v>25.95</v>
      </c>
      <c r="F656" s="11" t="str" cm="1">
        <f t="array" ref="F656">_xlfn.XLOOKUP(fsales[[#This Row],[ProductID]],dProduct[[#All],[ProductID]],dProduct[[#All],[Product]])</f>
        <v>Aspen</v>
      </c>
      <c r="G656" s="11" t="str" cm="1">
        <f t="array" ref="G656">_xlfn.XLOOKUP(fsales[[#This Row],[ProductID]],dProduct[[#All],[ProductID]],dProduct[[#All],[Supplier]])</f>
        <v>Colorado Booms</v>
      </c>
      <c r="H656" s="11" t="str" cm="1">
        <f t="array" ref="H656">_xlfn.XLOOKUP(fsales[[#This Row],[SalesRepID]],dSalesRep[[#All],[SalesRepID]],dSalesRep[[#All],[Region]])</f>
        <v>WA</v>
      </c>
    </row>
    <row r="657" spans="1:8" x14ac:dyDescent="0.3">
      <c r="A657" s="1">
        <v>45488</v>
      </c>
      <c r="B657">
        <v>1</v>
      </c>
      <c r="C657">
        <v>2</v>
      </c>
      <c r="D657">
        <v>171</v>
      </c>
      <c r="E657" s="11" cm="1">
        <f t="array" ref="E657">_xlfn.XLOOKUP(fsales[[#This Row],[ProductID]],dProduct[[#All],[ProductID]],dProduct[[#All],[Price]])*fsales[[#This Row],[Units]]</f>
        <v>7515.4500000000007</v>
      </c>
      <c r="F657" s="11" t="str" cm="1">
        <f t="array" ref="F657">_xlfn.XLOOKUP(fsales[[#This Row],[ProductID]],dProduct[[#All],[ProductID]],dProduct[[#All],[Product]])</f>
        <v>Quad</v>
      </c>
      <c r="G657" s="11" t="str" cm="1">
        <f t="array" ref="G657">_xlfn.XLOOKUP(fsales[[#This Row],[ProductID]],dProduct[[#All],[ProductID]],dProduct[[#All],[Supplier]])</f>
        <v>Gel Booms</v>
      </c>
      <c r="H657" s="11" t="str" cm="1">
        <f t="array" ref="H657">_xlfn.XLOOKUP(fsales[[#This Row],[SalesRepID]],dSalesRep[[#All],[SalesRepID]],dSalesRep[[#All],[Region]])</f>
        <v>CA</v>
      </c>
    </row>
    <row r="658" spans="1:8" x14ac:dyDescent="0.3">
      <c r="A658" s="1">
        <v>45584</v>
      </c>
      <c r="B658">
        <v>2</v>
      </c>
      <c r="C658">
        <v>4</v>
      </c>
      <c r="D658">
        <v>29</v>
      </c>
      <c r="E658" s="11" cm="1">
        <f t="array" ref="E658">_xlfn.XLOOKUP(fsales[[#This Row],[ProductID]],dProduct[[#All],[ProductID]],dProduct[[#All],[Price]])*fsales[[#This Row],[Units]]</f>
        <v>868.55</v>
      </c>
      <c r="F658" s="11" t="str" cm="1">
        <f t="array" ref="F658">_xlfn.XLOOKUP(fsales[[#This Row],[ProductID]],dProduct[[#All],[ProductID]],dProduct[[#All],[Product]])</f>
        <v>Carlota</v>
      </c>
      <c r="G658" s="11" t="str" cm="1">
        <f t="array" ref="G658">_xlfn.XLOOKUP(fsales[[#This Row],[ProductID]],dProduct[[#All],[ProductID]],dProduct[[#All],[Supplier]])</f>
        <v>Gel Booms</v>
      </c>
      <c r="H658" s="11" t="str" cm="1">
        <f t="array" ref="H658">_xlfn.XLOOKUP(fsales[[#This Row],[SalesRepID]],dSalesRep[[#All],[SalesRepID]],dSalesRep[[#All],[Region]])</f>
        <v>WA</v>
      </c>
    </row>
    <row r="659" spans="1:8" x14ac:dyDescent="0.3">
      <c r="A659" s="1">
        <v>45506</v>
      </c>
      <c r="B659">
        <v>4</v>
      </c>
      <c r="C659">
        <v>2</v>
      </c>
      <c r="D659">
        <v>142</v>
      </c>
      <c r="E659" s="11" cm="1">
        <f t="array" ref="E659">_xlfn.XLOOKUP(fsales[[#This Row],[ProductID]],dProduct[[#All],[ProductID]],dProduct[[#All],[Price]])*fsales[[#This Row],[Units]]</f>
        <v>3400.9</v>
      </c>
      <c r="F659" s="11" t="str" cm="1">
        <f t="array" ref="F659">_xlfn.XLOOKUP(fsales[[#This Row],[ProductID]],dProduct[[#All],[ProductID]],dProduct[[#All],[Product]])</f>
        <v>Yanaki</v>
      </c>
      <c r="G659" s="11" t="str" cm="1">
        <f t="array" ref="G659">_xlfn.XLOOKUP(fsales[[#This Row],[ProductID]],dProduct[[#All],[ProductID]],dProduct[[#All],[Supplier]])</f>
        <v>Colorado Booms</v>
      </c>
      <c r="H659" s="11" t="str" cm="1">
        <f t="array" ref="H659">_xlfn.XLOOKUP(fsales[[#This Row],[SalesRepID]],dSalesRep[[#All],[SalesRepID]],dSalesRep[[#All],[Region]])</f>
        <v>CA</v>
      </c>
    </row>
    <row r="660" spans="1:8" x14ac:dyDescent="0.3">
      <c r="A660" s="1">
        <v>45436</v>
      </c>
      <c r="B660">
        <v>2</v>
      </c>
      <c r="C660">
        <v>4</v>
      </c>
      <c r="D660">
        <v>4</v>
      </c>
      <c r="E660" s="11" cm="1">
        <f t="array" ref="E660">_xlfn.XLOOKUP(fsales[[#This Row],[ProductID]],dProduct[[#All],[ProductID]],dProduct[[#All],[Price]])*fsales[[#This Row],[Units]]</f>
        <v>119.8</v>
      </c>
      <c r="F660" s="11" t="str" cm="1">
        <f t="array" ref="F660">_xlfn.XLOOKUP(fsales[[#This Row],[ProductID]],dProduct[[#All],[ProductID]],dProduct[[#All],[Product]])</f>
        <v>Carlota</v>
      </c>
      <c r="G660" s="11" t="str" cm="1">
        <f t="array" ref="G660">_xlfn.XLOOKUP(fsales[[#This Row],[ProductID]],dProduct[[#All],[ProductID]],dProduct[[#All],[Supplier]])</f>
        <v>Gel Booms</v>
      </c>
      <c r="H660" s="11" t="str" cm="1">
        <f t="array" ref="H660">_xlfn.XLOOKUP(fsales[[#This Row],[SalesRepID]],dSalesRep[[#All],[SalesRepID]],dSalesRep[[#All],[Region]])</f>
        <v>WA</v>
      </c>
    </row>
    <row r="661" spans="1:8" x14ac:dyDescent="0.3">
      <c r="A661" s="1">
        <v>45585</v>
      </c>
      <c r="B661">
        <v>2</v>
      </c>
      <c r="C661">
        <v>1</v>
      </c>
      <c r="D661">
        <v>66</v>
      </c>
      <c r="E661" s="11" cm="1">
        <f t="array" ref="E661">_xlfn.XLOOKUP(fsales[[#This Row],[ProductID]],dProduct[[#All],[ProductID]],dProduct[[#All],[Price]])*fsales[[#This Row],[Units]]</f>
        <v>1976.7</v>
      </c>
      <c r="F661" s="11" t="str" cm="1">
        <f t="array" ref="F661">_xlfn.XLOOKUP(fsales[[#This Row],[ProductID]],dProduct[[#All],[ProductID]],dProduct[[#All],[Product]])</f>
        <v>Carlota</v>
      </c>
      <c r="G661" s="11" t="str" cm="1">
        <f t="array" ref="G661">_xlfn.XLOOKUP(fsales[[#This Row],[ProductID]],dProduct[[#All],[ProductID]],dProduct[[#All],[Supplier]])</f>
        <v>Gel Booms</v>
      </c>
      <c r="H661" s="11" t="str" cm="1">
        <f t="array" ref="H661">_xlfn.XLOOKUP(fsales[[#This Row],[SalesRepID]],dSalesRep[[#All],[SalesRepID]],dSalesRep[[#All],[Region]])</f>
        <v>CA</v>
      </c>
    </row>
    <row r="662" spans="1:8" x14ac:dyDescent="0.3">
      <c r="A662" s="1">
        <v>45457</v>
      </c>
      <c r="B662">
        <v>2</v>
      </c>
      <c r="C662">
        <v>2</v>
      </c>
      <c r="D662">
        <v>4</v>
      </c>
      <c r="E662" s="11" cm="1">
        <f t="array" ref="E662">_xlfn.XLOOKUP(fsales[[#This Row],[ProductID]],dProduct[[#All],[ProductID]],dProduct[[#All],[Price]])*fsales[[#This Row],[Units]]</f>
        <v>119.8</v>
      </c>
      <c r="F662" s="11" t="str" cm="1">
        <f t="array" ref="F662">_xlfn.XLOOKUP(fsales[[#This Row],[ProductID]],dProduct[[#All],[ProductID]],dProduct[[#All],[Product]])</f>
        <v>Carlota</v>
      </c>
      <c r="G662" s="11" t="str" cm="1">
        <f t="array" ref="G662">_xlfn.XLOOKUP(fsales[[#This Row],[ProductID]],dProduct[[#All],[ProductID]],dProduct[[#All],[Supplier]])</f>
        <v>Gel Booms</v>
      </c>
      <c r="H662" s="11" t="str" cm="1">
        <f t="array" ref="H662">_xlfn.XLOOKUP(fsales[[#This Row],[SalesRepID]],dSalesRep[[#All],[SalesRepID]],dSalesRep[[#All],[Region]])</f>
        <v>CA</v>
      </c>
    </row>
    <row r="663" spans="1:8" x14ac:dyDescent="0.3">
      <c r="A663" s="1">
        <v>45493</v>
      </c>
      <c r="B663">
        <v>2</v>
      </c>
      <c r="C663">
        <v>2</v>
      </c>
      <c r="D663">
        <v>3</v>
      </c>
      <c r="E663" s="11" cm="1">
        <f t="array" ref="E663">_xlfn.XLOOKUP(fsales[[#This Row],[ProductID]],dProduct[[#All],[ProductID]],dProduct[[#All],[Price]])*fsales[[#This Row],[Units]]</f>
        <v>89.85</v>
      </c>
      <c r="F663" s="11" t="str" cm="1">
        <f t="array" ref="F663">_xlfn.XLOOKUP(fsales[[#This Row],[ProductID]],dProduct[[#All],[ProductID]],dProduct[[#All],[Product]])</f>
        <v>Carlota</v>
      </c>
      <c r="G663" s="11" t="str" cm="1">
        <f t="array" ref="G663">_xlfn.XLOOKUP(fsales[[#This Row],[ProductID]],dProduct[[#All],[ProductID]],dProduct[[#All],[Supplier]])</f>
        <v>Gel Booms</v>
      </c>
      <c r="H663" s="11" t="str" cm="1">
        <f t="array" ref="H663">_xlfn.XLOOKUP(fsales[[#This Row],[SalesRepID]],dSalesRep[[#All],[SalesRepID]],dSalesRep[[#All],[Region]])</f>
        <v>CA</v>
      </c>
    </row>
    <row r="664" spans="1:8" x14ac:dyDescent="0.3">
      <c r="A664" s="1">
        <v>45618</v>
      </c>
      <c r="B664">
        <v>1</v>
      </c>
      <c r="C664">
        <v>3</v>
      </c>
      <c r="D664">
        <v>88</v>
      </c>
      <c r="E664" s="11" cm="1">
        <f t="array" ref="E664">_xlfn.XLOOKUP(fsales[[#This Row],[ProductID]],dProduct[[#All],[ProductID]],dProduct[[#All],[Price]])*fsales[[#This Row],[Units]]</f>
        <v>3867.6000000000004</v>
      </c>
      <c r="F664" s="11" t="str" cm="1">
        <f t="array" ref="F664">_xlfn.XLOOKUP(fsales[[#This Row],[ProductID]],dProduct[[#All],[ProductID]],dProduct[[#All],[Product]])</f>
        <v>Quad</v>
      </c>
      <c r="G664" s="11" t="str" cm="1">
        <f t="array" ref="G664">_xlfn.XLOOKUP(fsales[[#This Row],[ProductID]],dProduct[[#All],[ProductID]],dProduct[[#All],[Supplier]])</f>
        <v>Gel Booms</v>
      </c>
      <c r="H664" s="11" t="str" cm="1">
        <f t="array" ref="H664">_xlfn.XLOOKUP(fsales[[#This Row],[SalesRepID]],dSalesRep[[#All],[SalesRepID]],dSalesRep[[#All],[Region]])</f>
        <v>WA</v>
      </c>
    </row>
    <row r="665" spans="1:8" x14ac:dyDescent="0.3">
      <c r="A665" s="1">
        <v>45598</v>
      </c>
      <c r="B665">
        <v>3</v>
      </c>
      <c r="C665">
        <v>1</v>
      </c>
      <c r="D665">
        <v>2</v>
      </c>
      <c r="E665" s="11" cm="1">
        <f t="array" ref="E665">_xlfn.XLOOKUP(fsales[[#This Row],[ProductID]],dProduct[[#All],[ProductID]],dProduct[[#All],[Price]])*fsales[[#This Row],[Units]]</f>
        <v>51.9</v>
      </c>
      <c r="F665" s="11" t="str" cm="1">
        <f t="array" ref="F665">_xlfn.XLOOKUP(fsales[[#This Row],[ProductID]],dProduct[[#All],[ProductID]],dProduct[[#All],[Product]])</f>
        <v>Aspen</v>
      </c>
      <c r="G665" s="11" t="str" cm="1">
        <f t="array" ref="G665">_xlfn.XLOOKUP(fsales[[#This Row],[ProductID]],dProduct[[#All],[ProductID]],dProduct[[#All],[Supplier]])</f>
        <v>Colorado Booms</v>
      </c>
      <c r="H665" s="11" t="str" cm="1">
        <f t="array" ref="H665">_xlfn.XLOOKUP(fsales[[#This Row],[SalesRepID]],dSalesRep[[#All],[SalesRepID]],dSalesRep[[#All],[Region]])</f>
        <v>CA</v>
      </c>
    </row>
    <row r="666" spans="1:8" x14ac:dyDescent="0.3">
      <c r="A666" s="1">
        <v>45540</v>
      </c>
      <c r="B666">
        <v>4</v>
      </c>
      <c r="C666">
        <v>2</v>
      </c>
      <c r="D666">
        <v>69</v>
      </c>
      <c r="E666" s="11" cm="1">
        <f t="array" ref="E666">_xlfn.XLOOKUP(fsales[[#This Row],[ProductID]],dProduct[[#All],[ProductID]],dProduct[[#All],[Price]])*fsales[[#This Row],[Units]]</f>
        <v>1652.55</v>
      </c>
      <c r="F666" s="11" t="str" cm="1">
        <f t="array" ref="F666">_xlfn.XLOOKUP(fsales[[#This Row],[ProductID]],dProduct[[#All],[ProductID]],dProduct[[#All],[Product]])</f>
        <v>Yanaki</v>
      </c>
      <c r="G666" s="11" t="str" cm="1">
        <f t="array" ref="G666">_xlfn.XLOOKUP(fsales[[#This Row],[ProductID]],dProduct[[#All],[ProductID]],dProduct[[#All],[Supplier]])</f>
        <v>Colorado Booms</v>
      </c>
      <c r="H666" s="11" t="str" cm="1">
        <f t="array" ref="H666">_xlfn.XLOOKUP(fsales[[#This Row],[SalesRepID]],dSalesRep[[#All],[SalesRepID]],dSalesRep[[#All],[Region]])</f>
        <v>CA</v>
      </c>
    </row>
    <row r="667" spans="1:8" x14ac:dyDescent="0.3">
      <c r="A667" s="1">
        <v>45657</v>
      </c>
      <c r="B667">
        <v>2</v>
      </c>
      <c r="C667">
        <v>2</v>
      </c>
      <c r="D667">
        <v>97</v>
      </c>
      <c r="E667" s="11" cm="1">
        <f t="array" ref="E667">_xlfn.XLOOKUP(fsales[[#This Row],[ProductID]],dProduct[[#All],[ProductID]],dProduct[[#All],[Price]])*fsales[[#This Row],[Units]]</f>
        <v>2905.15</v>
      </c>
      <c r="F667" s="11" t="str" cm="1">
        <f t="array" ref="F667">_xlfn.XLOOKUP(fsales[[#This Row],[ProductID]],dProduct[[#All],[ProductID]],dProduct[[#All],[Product]])</f>
        <v>Carlota</v>
      </c>
      <c r="G667" s="11" t="str" cm="1">
        <f t="array" ref="G667">_xlfn.XLOOKUP(fsales[[#This Row],[ProductID]],dProduct[[#All],[ProductID]],dProduct[[#All],[Supplier]])</f>
        <v>Gel Booms</v>
      </c>
      <c r="H667" s="11" t="str" cm="1">
        <f t="array" ref="H667">_xlfn.XLOOKUP(fsales[[#This Row],[SalesRepID]],dSalesRep[[#All],[SalesRepID]],dSalesRep[[#All],[Region]])</f>
        <v>CA</v>
      </c>
    </row>
    <row r="668" spans="1:8" x14ac:dyDescent="0.3">
      <c r="A668" s="1">
        <v>45332</v>
      </c>
      <c r="B668">
        <v>2</v>
      </c>
      <c r="C668">
        <v>4</v>
      </c>
      <c r="D668">
        <v>4</v>
      </c>
      <c r="E668" s="11" cm="1">
        <f t="array" ref="E668">_xlfn.XLOOKUP(fsales[[#This Row],[ProductID]],dProduct[[#All],[ProductID]],dProduct[[#All],[Price]])*fsales[[#This Row],[Units]]</f>
        <v>119.8</v>
      </c>
      <c r="F668" s="11" t="str" cm="1">
        <f t="array" ref="F668">_xlfn.XLOOKUP(fsales[[#This Row],[ProductID]],dProduct[[#All],[ProductID]],dProduct[[#All],[Product]])</f>
        <v>Carlota</v>
      </c>
      <c r="G668" s="11" t="str" cm="1">
        <f t="array" ref="G668">_xlfn.XLOOKUP(fsales[[#This Row],[ProductID]],dProduct[[#All],[ProductID]],dProduct[[#All],[Supplier]])</f>
        <v>Gel Booms</v>
      </c>
      <c r="H668" s="11" t="str" cm="1">
        <f t="array" ref="H668">_xlfn.XLOOKUP(fsales[[#This Row],[SalesRepID]],dSalesRep[[#All],[SalesRepID]],dSalesRep[[#All],[Region]])</f>
        <v>WA</v>
      </c>
    </row>
    <row r="669" spans="1:8" x14ac:dyDescent="0.3">
      <c r="A669" s="1">
        <v>45602</v>
      </c>
      <c r="B669">
        <v>2</v>
      </c>
      <c r="C669">
        <v>4</v>
      </c>
      <c r="D669">
        <v>76</v>
      </c>
      <c r="E669" s="11" cm="1">
        <f t="array" ref="E669">_xlfn.XLOOKUP(fsales[[#This Row],[ProductID]],dProduct[[#All],[ProductID]],dProduct[[#All],[Price]])*fsales[[#This Row],[Units]]</f>
        <v>2276.1999999999998</v>
      </c>
      <c r="F669" s="11" t="str" cm="1">
        <f t="array" ref="F669">_xlfn.XLOOKUP(fsales[[#This Row],[ProductID]],dProduct[[#All],[ProductID]],dProduct[[#All],[Product]])</f>
        <v>Carlota</v>
      </c>
      <c r="G669" s="11" t="str" cm="1">
        <f t="array" ref="G669">_xlfn.XLOOKUP(fsales[[#This Row],[ProductID]],dProduct[[#All],[ProductID]],dProduct[[#All],[Supplier]])</f>
        <v>Gel Booms</v>
      </c>
      <c r="H669" s="11" t="str" cm="1">
        <f t="array" ref="H669">_xlfn.XLOOKUP(fsales[[#This Row],[SalesRepID]],dSalesRep[[#All],[SalesRepID]],dSalesRep[[#All],[Region]])</f>
        <v>WA</v>
      </c>
    </row>
    <row r="670" spans="1:8" x14ac:dyDescent="0.3">
      <c r="A670" s="1">
        <v>45591</v>
      </c>
      <c r="B670">
        <v>2</v>
      </c>
      <c r="C670">
        <v>4</v>
      </c>
      <c r="D670">
        <v>75</v>
      </c>
      <c r="E670" s="11" cm="1">
        <f t="array" ref="E670">_xlfn.XLOOKUP(fsales[[#This Row],[ProductID]],dProduct[[#All],[ProductID]],dProduct[[#All],[Price]])*fsales[[#This Row],[Units]]</f>
        <v>2246.25</v>
      </c>
      <c r="F670" s="11" t="str" cm="1">
        <f t="array" ref="F670">_xlfn.XLOOKUP(fsales[[#This Row],[ProductID]],dProduct[[#All],[ProductID]],dProduct[[#All],[Product]])</f>
        <v>Carlota</v>
      </c>
      <c r="G670" s="11" t="str" cm="1">
        <f t="array" ref="G670">_xlfn.XLOOKUP(fsales[[#This Row],[ProductID]],dProduct[[#All],[ProductID]],dProduct[[#All],[Supplier]])</f>
        <v>Gel Booms</v>
      </c>
      <c r="H670" s="11" t="str" cm="1">
        <f t="array" ref="H670">_xlfn.XLOOKUP(fsales[[#This Row],[SalesRepID]],dSalesRep[[#All],[SalesRepID]],dSalesRep[[#All],[Region]])</f>
        <v>WA</v>
      </c>
    </row>
    <row r="671" spans="1:8" x14ac:dyDescent="0.3">
      <c r="A671" s="1">
        <v>45341</v>
      </c>
      <c r="B671">
        <v>2</v>
      </c>
      <c r="C671">
        <v>2</v>
      </c>
      <c r="D671">
        <v>145</v>
      </c>
      <c r="E671" s="11" cm="1">
        <f t="array" ref="E671">_xlfn.XLOOKUP(fsales[[#This Row],[ProductID]],dProduct[[#All],[ProductID]],dProduct[[#All],[Price]])*fsales[[#This Row],[Units]]</f>
        <v>4342.75</v>
      </c>
      <c r="F671" s="11" t="str" cm="1">
        <f t="array" ref="F671">_xlfn.XLOOKUP(fsales[[#This Row],[ProductID]],dProduct[[#All],[ProductID]],dProduct[[#All],[Product]])</f>
        <v>Carlota</v>
      </c>
      <c r="G671" s="11" t="str" cm="1">
        <f t="array" ref="G671">_xlfn.XLOOKUP(fsales[[#This Row],[ProductID]],dProduct[[#All],[ProductID]],dProduct[[#All],[Supplier]])</f>
        <v>Gel Booms</v>
      </c>
      <c r="H671" s="11" t="str" cm="1">
        <f t="array" ref="H671">_xlfn.XLOOKUP(fsales[[#This Row],[SalesRepID]],dSalesRep[[#All],[SalesRepID]],dSalesRep[[#All],[Region]])</f>
        <v>CA</v>
      </c>
    </row>
    <row r="672" spans="1:8" x14ac:dyDescent="0.3">
      <c r="A672" s="1">
        <v>45516</v>
      </c>
      <c r="B672">
        <v>2</v>
      </c>
      <c r="C672">
        <v>2</v>
      </c>
      <c r="D672">
        <v>81</v>
      </c>
      <c r="E672" s="11" cm="1">
        <f t="array" ref="E672">_xlfn.XLOOKUP(fsales[[#This Row],[ProductID]],dProduct[[#All],[ProductID]],dProduct[[#All],[Price]])*fsales[[#This Row],[Units]]</f>
        <v>2425.9499999999998</v>
      </c>
      <c r="F672" s="11" t="str" cm="1">
        <f t="array" ref="F672">_xlfn.XLOOKUP(fsales[[#This Row],[ProductID]],dProduct[[#All],[ProductID]],dProduct[[#All],[Product]])</f>
        <v>Carlota</v>
      </c>
      <c r="G672" s="11" t="str" cm="1">
        <f t="array" ref="G672">_xlfn.XLOOKUP(fsales[[#This Row],[ProductID]],dProduct[[#All],[ProductID]],dProduct[[#All],[Supplier]])</f>
        <v>Gel Booms</v>
      </c>
      <c r="H672" s="11" t="str" cm="1">
        <f t="array" ref="H672">_xlfn.XLOOKUP(fsales[[#This Row],[SalesRepID]],dSalesRep[[#All],[SalesRepID]],dSalesRep[[#All],[Region]])</f>
        <v>CA</v>
      </c>
    </row>
    <row r="673" spans="1:8" x14ac:dyDescent="0.3">
      <c r="A673" s="1">
        <v>45397</v>
      </c>
      <c r="B673">
        <v>3</v>
      </c>
      <c r="C673">
        <v>4</v>
      </c>
      <c r="D673">
        <v>2</v>
      </c>
      <c r="E673" s="11" cm="1">
        <f t="array" ref="E673">_xlfn.XLOOKUP(fsales[[#This Row],[ProductID]],dProduct[[#All],[ProductID]],dProduct[[#All],[Price]])*fsales[[#This Row],[Units]]</f>
        <v>51.9</v>
      </c>
      <c r="F673" s="11" t="str" cm="1">
        <f t="array" ref="F673">_xlfn.XLOOKUP(fsales[[#This Row],[ProductID]],dProduct[[#All],[ProductID]],dProduct[[#All],[Product]])</f>
        <v>Aspen</v>
      </c>
      <c r="G673" s="11" t="str" cm="1">
        <f t="array" ref="G673">_xlfn.XLOOKUP(fsales[[#This Row],[ProductID]],dProduct[[#All],[ProductID]],dProduct[[#All],[Supplier]])</f>
        <v>Colorado Booms</v>
      </c>
      <c r="H673" s="11" t="str" cm="1">
        <f t="array" ref="H673">_xlfn.XLOOKUP(fsales[[#This Row],[SalesRepID]],dSalesRep[[#All],[SalesRepID]],dSalesRep[[#All],[Region]])</f>
        <v>WA</v>
      </c>
    </row>
    <row r="674" spans="1:8" x14ac:dyDescent="0.3">
      <c r="A674" s="1">
        <v>45629</v>
      </c>
      <c r="B674">
        <v>1</v>
      </c>
      <c r="C674">
        <v>4</v>
      </c>
      <c r="D674">
        <v>81</v>
      </c>
      <c r="E674" s="11" cm="1">
        <f t="array" ref="E674">_xlfn.XLOOKUP(fsales[[#This Row],[ProductID]],dProduct[[#All],[ProductID]],dProduct[[#All],[Price]])*fsales[[#This Row],[Units]]</f>
        <v>3559.9500000000003</v>
      </c>
      <c r="F674" s="11" t="str" cm="1">
        <f t="array" ref="F674">_xlfn.XLOOKUP(fsales[[#This Row],[ProductID]],dProduct[[#All],[ProductID]],dProduct[[#All],[Product]])</f>
        <v>Quad</v>
      </c>
      <c r="G674" s="11" t="str" cm="1">
        <f t="array" ref="G674">_xlfn.XLOOKUP(fsales[[#This Row],[ProductID]],dProduct[[#All],[ProductID]],dProduct[[#All],[Supplier]])</f>
        <v>Gel Booms</v>
      </c>
      <c r="H674" s="11" t="str" cm="1">
        <f t="array" ref="H674">_xlfn.XLOOKUP(fsales[[#This Row],[SalesRepID]],dSalesRep[[#All],[SalesRepID]],dSalesRep[[#All],[Region]])</f>
        <v>WA</v>
      </c>
    </row>
    <row r="675" spans="1:8" x14ac:dyDescent="0.3">
      <c r="A675" s="1">
        <v>45495</v>
      </c>
      <c r="B675">
        <v>2</v>
      </c>
      <c r="C675">
        <v>4</v>
      </c>
      <c r="D675">
        <v>92</v>
      </c>
      <c r="E675" s="11" cm="1">
        <f t="array" ref="E675">_xlfn.XLOOKUP(fsales[[#This Row],[ProductID]],dProduct[[#All],[ProductID]],dProduct[[#All],[Price]])*fsales[[#This Row],[Units]]</f>
        <v>2755.4</v>
      </c>
      <c r="F675" s="11" t="str" cm="1">
        <f t="array" ref="F675">_xlfn.XLOOKUP(fsales[[#This Row],[ProductID]],dProduct[[#All],[ProductID]],dProduct[[#All],[Product]])</f>
        <v>Carlota</v>
      </c>
      <c r="G675" s="11" t="str" cm="1">
        <f t="array" ref="G675">_xlfn.XLOOKUP(fsales[[#This Row],[ProductID]],dProduct[[#All],[ProductID]],dProduct[[#All],[Supplier]])</f>
        <v>Gel Booms</v>
      </c>
      <c r="H675" s="11" t="str" cm="1">
        <f t="array" ref="H675">_xlfn.XLOOKUP(fsales[[#This Row],[SalesRepID]],dSalesRep[[#All],[SalesRepID]],dSalesRep[[#All],[Region]])</f>
        <v>WA</v>
      </c>
    </row>
    <row r="676" spans="1:8" x14ac:dyDescent="0.3">
      <c r="A676" s="1">
        <v>45526</v>
      </c>
      <c r="B676">
        <v>2</v>
      </c>
      <c r="C676">
        <v>2</v>
      </c>
      <c r="D676">
        <v>93</v>
      </c>
      <c r="E676" s="11" cm="1">
        <f t="array" ref="E676">_xlfn.XLOOKUP(fsales[[#This Row],[ProductID]],dProduct[[#All],[ProductID]],dProduct[[#All],[Price]])*fsales[[#This Row],[Units]]</f>
        <v>2785.35</v>
      </c>
      <c r="F676" s="11" t="str" cm="1">
        <f t="array" ref="F676">_xlfn.XLOOKUP(fsales[[#This Row],[ProductID]],dProduct[[#All],[ProductID]],dProduct[[#All],[Product]])</f>
        <v>Carlota</v>
      </c>
      <c r="G676" s="11" t="str" cm="1">
        <f t="array" ref="G676">_xlfn.XLOOKUP(fsales[[#This Row],[ProductID]],dProduct[[#All],[ProductID]],dProduct[[#All],[Supplier]])</f>
        <v>Gel Booms</v>
      </c>
      <c r="H676" s="11" t="str" cm="1">
        <f t="array" ref="H676">_xlfn.XLOOKUP(fsales[[#This Row],[SalesRepID]],dSalesRep[[#All],[SalesRepID]],dSalesRep[[#All],[Region]])</f>
        <v>CA</v>
      </c>
    </row>
    <row r="677" spans="1:8" x14ac:dyDescent="0.3">
      <c r="A677" s="1">
        <v>45472</v>
      </c>
      <c r="B677">
        <v>2</v>
      </c>
      <c r="C677">
        <v>1</v>
      </c>
      <c r="D677">
        <v>51</v>
      </c>
      <c r="E677" s="11" cm="1">
        <f t="array" ref="E677">_xlfn.XLOOKUP(fsales[[#This Row],[ProductID]],dProduct[[#All],[ProductID]],dProduct[[#All],[Price]])*fsales[[#This Row],[Units]]</f>
        <v>1527.45</v>
      </c>
      <c r="F677" s="11" t="str" cm="1">
        <f t="array" ref="F677">_xlfn.XLOOKUP(fsales[[#This Row],[ProductID]],dProduct[[#All],[ProductID]],dProduct[[#All],[Product]])</f>
        <v>Carlota</v>
      </c>
      <c r="G677" s="11" t="str" cm="1">
        <f t="array" ref="G677">_xlfn.XLOOKUP(fsales[[#This Row],[ProductID]],dProduct[[#All],[ProductID]],dProduct[[#All],[Supplier]])</f>
        <v>Gel Booms</v>
      </c>
      <c r="H677" s="11" t="str" cm="1">
        <f t="array" ref="H677">_xlfn.XLOOKUP(fsales[[#This Row],[SalesRepID]],dSalesRep[[#All],[SalesRepID]],dSalesRep[[#All],[Region]])</f>
        <v>CA</v>
      </c>
    </row>
    <row r="678" spans="1:8" x14ac:dyDescent="0.3">
      <c r="A678" s="1">
        <v>45618</v>
      </c>
      <c r="B678">
        <v>2</v>
      </c>
      <c r="C678">
        <v>4</v>
      </c>
      <c r="D678">
        <v>102</v>
      </c>
      <c r="E678" s="11" cm="1">
        <f t="array" ref="E678">_xlfn.XLOOKUP(fsales[[#This Row],[ProductID]],dProduct[[#All],[ProductID]],dProduct[[#All],[Price]])*fsales[[#This Row],[Units]]</f>
        <v>3054.9</v>
      </c>
      <c r="F678" s="11" t="str" cm="1">
        <f t="array" ref="F678">_xlfn.XLOOKUP(fsales[[#This Row],[ProductID]],dProduct[[#All],[ProductID]],dProduct[[#All],[Product]])</f>
        <v>Carlota</v>
      </c>
      <c r="G678" s="11" t="str" cm="1">
        <f t="array" ref="G678">_xlfn.XLOOKUP(fsales[[#This Row],[ProductID]],dProduct[[#All],[ProductID]],dProduct[[#All],[Supplier]])</f>
        <v>Gel Booms</v>
      </c>
      <c r="H678" s="11" t="str" cm="1">
        <f t="array" ref="H678">_xlfn.XLOOKUP(fsales[[#This Row],[SalesRepID]],dSalesRep[[#All],[SalesRepID]],dSalesRep[[#All],[Region]])</f>
        <v>WA</v>
      </c>
    </row>
    <row r="679" spans="1:8" x14ac:dyDescent="0.3">
      <c r="A679" s="1">
        <v>45582</v>
      </c>
      <c r="B679">
        <v>2</v>
      </c>
      <c r="C679">
        <v>4</v>
      </c>
      <c r="D679">
        <v>62</v>
      </c>
      <c r="E679" s="11" cm="1">
        <f t="array" ref="E679">_xlfn.XLOOKUP(fsales[[#This Row],[ProductID]],dProduct[[#All],[ProductID]],dProduct[[#All],[Price]])*fsales[[#This Row],[Units]]</f>
        <v>1856.8999999999999</v>
      </c>
      <c r="F679" s="11" t="str" cm="1">
        <f t="array" ref="F679">_xlfn.XLOOKUP(fsales[[#This Row],[ProductID]],dProduct[[#All],[ProductID]],dProduct[[#All],[Product]])</f>
        <v>Carlota</v>
      </c>
      <c r="G679" s="11" t="str" cm="1">
        <f t="array" ref="G679">_xlfn.XLOOKUP(fsales[[#This Row],[ProductID]],dProduct[[#All],[ProductID]],dProduct[[#All],[Supplier]])</f>
        <v>Gel Booms</v>
      </c>
      <c r="H679" s="11" t="str" cm="1">
        <f t="array" ref="H679">_xlfn.XLOOKUP(fsales[[#This Row],[SalesRepID]],dSalesRep[[#All],[SalesRepID]],dSalesRep[[#All],[Region]])</f>
        <v>WA</v>
      </c>
    </row>
    <row r="680" spans="1:8" x14ac:dyDescent="0.3">
      <c r="A680" s="1">
        <v>45645</v>
      </c>
      <c r="B680">
        <v>1</v>
      </c>
      <c r="C680">
        <v>2</v>
      </c>
      <c r="D680">
        <v>173</v>
      </c>
      <c r="E680" s="11" cm="1">
        <f t="array" ref="E680">_xlfn.XLOOKUP(fsales[[#This Row],[ProductID]],dProduct[[#All],[ProductID]],dProduct[[#All],[Price]])*fsales[[#This Row],[Units]]</f>
        <v>7603.35</v>
      </c>
      <c r="F680" s="11" t="str" cm="1">
        <f t="array" ref="F680">_xlfn.XLOOKUP(fsales[[#This Row],[ProductID]],dProduct[[#All],[ProductID]],dProduct[[#All],[Product]])</f>
        <v>Quad</v>
      </c>
      <c r="G680" s="11" t="str" cm="1">
        <f t="array" ref="G680">_xlfn.XLOOKUP(fsales[[#This Row],[ProductID]],dProduct[[#All],[ProductID]],dProduct[[#All],[Supplier]])</f>
        <v>Gel Booms</v>
      </c>
      <c r="H680" s="11" t="str" cm="1">
        <f t="array" ref="H680">_xlfn.XLOOKUP(fsales[[#This Row],[SalesRepID]],dSalesRep[[#All],[SalesRepID]],dSalesRep[[#All],[Region]])</f>
        <v>CA</v>
      </c>
    </row>
    <row r="681" spans="1:8" x14ac:dyDescent="0.3">
      <c r="A681" s="1">
        <v>45329</v>
      </c>
      <c r="B681">
        <v>2</v>
      </c>
      <c r="C681">
        <v>2</v>
      </c>
      <c r="D681">
        <v>118</v>
      </c>
      <c r="E681" s="11" cm="1">
        <f t="array" ref="E681">_xlfn.XLOOKUP(fsales[[#This Row],[ProductID]],dProduct[[#All],[ProductID]],dProduct[[#All],[Price]])*fsales[[#This Row],[Units]]</f>
        <v>3534.1</v>
      </c>
      <c r="F681" s="11" t="str" cm="1">
        <f t="array" ref="F681">_xlfn.XLOOKUP(fsales[[#This Row],[ProductID]],dProduct[[#All],[ProductID]],dProduct[[#All],[Product]])</f>
        <v>Carlota</v>
      </c>
      <c r="G681" s="11" t="str" cm="1">
        <f t="array" ref="G681">_xlfn.XLOOKUP(fsales[[#This Row],[ProductID]],dProduct[[#All],[ProductID]],dProduct[[#All],[Supplier]])</f>
        <v>Gel Booms</v>
      </c>
      <c r="H681" s="11" t="str" cm="1">
        <f t="array" ref="H681">_xlfn.XLOOKUP(fsales[[#This Row],[SalesRepID]],dSalesRep[[#All],[SalesRepID]],dSalesRep[[#All],[Region]])</f>
        <v>CA</v>
      </c>
    </row>
    <row r="682" spans="1:8" x14ac:dyDescent="0.3">
      <c r="A682" s="1">
        <v>45627</v>
      </c>
      <c r="B682">
        <v>2</v>
      </c>
      <c r="C682">
        <v>4</v>
      </c>
      <c r="D682">
        <v>52</v>
      </c>
      <c r="E682" s="11" cm="1">
        <f t="array" ref="E682">_xlfn.XLOOKUP(fsales[[#This Row],[ProductID]],dProduct[[#All],[ProductID]],dProduct[[#All],[Price]])*fsales[[#This Row],[Units]]</f>
        <v>1557.3999999999999</v>
      </c>
      <c r="F682" s="11" t="str" cm="1">
        <f t="array" ref="F682">_xlfn.XLOOKUP(fsales[[#This Row],[ProductID]],dProduct[[#All],[ProductID]],dProduct[[#All],[Product]])</f>
        <v>Carlota</v>
      </c>
      <c r="G682" s="11" t="str" cm="1">
        <f t="array" ref="G682">_xlfn.XLOOKUP(fsales[[#This Row],[ProductID]],dProduct[[#All],[ProductID]],dProduct[[#All],[Supplier]])</f>
        <v>Gel Booms</v>
      </c>
      <c r="H682" s="11" t="str" cm="1">
        <f t="array" ref="H682">_xlfn.XLOOKUP(fsales[[#This Row],[SalesRepID]],dSalesRep[[#All],[SalesRepID]],dSalesRep[[#All],[Region]])</f>
        <v>WA</v>
      </c>
    </row>
    <row r="683" spans="1:8" x14ac:dyDescent="0.3">
      <c r="A683" s="1">
        <v>45494</v>
      </c>
      <c r="B683">
        <v>2</v>
      </c>
      <c r="C683">
        <v>3</v>
      </c>
      <c r="D683">
        <v>63</v>
      </c>
      <c r="E683" s="11" cm="1">
        <f t="array" ref="E683">_xlfn.XLOOKUP(fsales[[#This Row],[ProductID]],dProduct[[#All],[ProductID]],dProduct[[#All],[Price]])*fsales[[#This Row],[Units]]</f>
        <v>1886.85</v>
      </c>
      <c r="F683" s="11" t="str" cm="1">
        <f t="array" ref="F683">_xlfn.XLOOKUP(fsales[[#This Row],[ProductID]],dProduct[[#All],[ProductID]],dProduct[[#All],[Product]])</f>
        <v>Carlota</v>
      </c>
      <c r="G683" s="11" t="str" cm="1">
        <f t="array" ref="G683">_xlfn.XLOOKUP(fsales[[#This Row],[ProductID]],dProduct[[#All],[ProductID]],dProduct[[#All],[Supplier]])</f>
        <v>Gel Booms</v>
      </c>
      <c r="H683" s="11" t="str" cm="1">
        <f t="array" ref="H683">_xlfn.XLOOKUP(fsales[[#This Row],[SalesRepID]],dSalesRep[[#All],[SalesRepID]],dSalesRep[[#All],[Region]])</f>
        <v>WA</v>
      </c>
    </row>
    <row r="684" spans="1:8" x14ac:dyDescent="0.3">
      <c r="A684" s="1">
        <v>45533</v>
      </c>
      <c r="B684">
        <v>2</v>
      </c>
      <c r="C684">
        <v>4</v>
      </c>
      <c r="D684">
        <v>86</v>
      </c>
      <c r="E684" s="11" cm="1">
        <f t="array" ref="E684">_xlfn.XLOOKUP(fsales[[#This Row],[ProductID]],dProduct[[#All],[ProductID]],dProduct[[#All],[Price]])*fsales[[#This Row],[Units]]</f>
        <v>2575.6999999999998</v>
      </c>
      <c r="F684" s="11" t="str" cm="1">
        <f t="array" ref="F684">_xlfn.XLOOKUP(fsales[[#This Row],[ProductID]],dProduct[[#All],[ProductID]],dProduct[[#All],[Product]])</f>
        <v>Carlota</v>
      </c>
      <c r="G684" s="11" t="str" cm="1">
        <f t="array" ref="G684">_xlfn.XLOOKUP(fsales[[#This Row],[ProductID]],dProduct[[#All],[ProductID]],dProduct[[#All],[Supplier]])</f>
        <v>Gel Booms</v>
      </c>
      <c r="H684" s="11" t="str" cm="1">
        <f t="array" ref="H684">_xlfn.XLOOKUP(fsales[[#This Row],[SalesRepID]],dSalesRep[[#All],[SalesRepID]],dSalesRep[[#All],[Region]])</f>
        <v>WA</v>
      </c>
    </row>
    <row r="685" spans="1:8" x14ac:dyDescent="0.3">
      <c r="A685" s="1">
        <v>45456</v>
      </c>
      <c r="B685">
        <v>4</v>
      </c>
      <c r="C685">
        <v>4</v>
      </c>
      <c r="D685">
        <v>282</v>
      </c>
      <c r="E685" s="11" cm="1">
        <f t="array" ref="E685">_xlfn.XLOOKUP(fsales[[#This Row],[ProductID]],dProduct[[#All],[ProductID]],dProduct[[#All],[Price]])*fsales[[#This Row],[Units]]</f>
        <v>6753.9</v>
      </c>
      <c r="F685" s="11" t="str" cm="1">
        <f t="array" ref="F685">_xlfn.XLOOKUP(fsales[[#This Row],[ProductID]],dProduct[[#All],[ProductID]],dProduct[[#All],[Product]])</f>
        <v>Yanaki</v>
      </c>
      <c r="G685" s="11" t="str" cm="1">
        <f t="array" ref="G685">_xlfn.XLOOKUP(fsales[[#This Row],[ProductID]],dProduct[[#All],[ProductID]],dProduct[[#All],[Supplier]])</f>
        <v>Colorado Booms</v>
      </c>
      <c r="H685" s="11" t="str" cm="1">
        <f t="array" ref="H685">_xlfn.XLOOKUP(fsales[[#This Row],[SalesRepID]],dSalesRep[[#All],[SalesRepID]],dSalesRep[[#All],[Region]])</f>
        <v>WA</v>
      </c>
    </row>
    <row r="686" spans="1:8" x14ac:dyDescent="0.3">
      <c r="A686" s="1">
        <v>45590</v>
      </c>
      <c r="B686">
        <v>3</v>
      </c>
      <c r="C686">
        <v>4</v>
      </c>
      <c r="D686">
        <v>24</v>
      </c>
      <c r="E686" s="11" cm="1">
        <f t="array" ref="E686">_xlfn.XLOOKUP(fsales[[#This Row],[ProductID]],dProduct[[#All],[ProductID]],dProduct[[#All],[Price]])*fsales[[#This Row],[Units]]</f>
        <v>622.79999999999995</v>
      </c>
      <c r="F686" s="11" t="str" cm="1">
        <f t="array" ref="F686">_xlfn.XLOOKUP(fsales[[#This Row],[ProductID]],dProduct[[#All],[ProductID]],dProduct[[#All],[Product]])</f>
        <v>Aspen</v>
      </c>
      <c r="G686" s="11" t="str" cm="1">
        <f t="array" ref="G686">_xlfn.XLOOKUP(fsales[[#This Row],[ProductID]],dProduct[[#All],[ProductID]],dProduct[[#All],[Supplier]])</f>
        <v>Colorado Booms</v>
      </c>
      <c r="H686" s="11" t="str" cm="1">
        <f t="array" ref="H686">_xlfn.XLOOKUP(fsales[[#This Row],[SalesRepID]],dSalesRep[[#All],[SalesRepID]],dSalesRep[[#All],[Region]])</f>
        <v>WA</v>
      </c>
    </row>
    <row r="687" spans="1:8" x14ac:dyDescent="0.3">
      <c r="A687" s="1">
        <v>45459</v>
      </c>
      <c r="B687">
        <v>2</v>
      </c>
      <c r="C687">
        <v>4</v>
      </c>
      <c r="D687">
        <v>88</v>
      </c>
      <c r="E687" s="11" cm="1">
        <f t="array" ref="E687">_xlfn.XLOOKUP(fsales[[#This Row],[ProductID]],dProduct[[#All],[ProductID]],dProduct[[#All],[Price]])*fsales[[#This Row],[Units]]</f>
        <v>2635.6</v>
      </c>
      <c r="F687" s="11" t="str" cm="1">
        <f t="array" ref="F687">_xlfn.XLOOKUP(fsales[[#This Row],[ProductID]],dProduct[[#All],[ProductID]],dProduct[[#All],[Product]])</f>
        <v>Carlota</v>
      </c>
      <c r="G687" s="11" t="str" cm="1">
        <f t="array" ref="G687">_xlfn.XLOOKUP(fsales[[#This Row],[ProductID]],dProduct[[#All],[ProductID]],dProduct[[#All],[Supplier]])</f>
        <v>Gel Booms</v>
      </c>
      <c r="H687" s="11" t="str" cm="1">
        <f t="array" ref="H687">_xlfn.XLOOKUP(fsales[[#This Row],[SalesRepID]],dSalesRep[[#All],[SalesRepID]],dSalesRep[[#All],[Region]])</f>
        <v>WA</v>
      </c>
    </row>
    <row r="688" spans="1:8" x14ac:dyDescent="0.3">
      <c r="A688" s="1">
        <v>45615</v>
      </c>
      <c r="B688">
        <v>3</v>
      </c>
      <c r="C688">
        <v>2</v>
      </c>
      <c r="D688">
        <v>259</v>
      </c>
      <c r="E688" s="11" cm="1">
        <f t="array" ref="E688">_xlfn.XLOOKUP(fsales[[#This Row],[ProductID]],dProduct[[#All],[ProductID]],dProduct[[#All],[Price]])*fsales[[#This Row],[Units]]</f>
        <v>6721.05</v>
      </c>
      <c r="F688" s="11" t="str" cm="1">
        <f t="array" ref="F688">_xlfn.XLOOKUP(fsales[[#This Row],[ProductID]],dProduct[[#All],[ProductID]],dProduct[[#All],[Product]])</f>
        <v>Aspen</v>
      </c>
      <c r="G688" s="11" t="str" cm="1">
        <f t="array" ref="G688">_xlfn.XLOOKUP(fsales[[#This Row],[ProductID]],dProduct[[#All],[ProductID]],dProduct[[#All],[Supplier]])</f>
        <v>Colorado Booms</v>
      </c>
      <c r="H688" s="11" t="str" cm="1">
        <f t="array" ref="H688">_xlfn.XLOOKUP(fsales[[#This Row],[SalesRepID]],dSalesRep[[#All],[SalesRepID]],dSalesRep[[#All],[Region]])</f>
        <v>CA</v>
      </c>
    </row>
    <row r="689" spans="1:8" x14ac:dyDescent="0.3">
      <c r="A689" s="1">
        <v>45615</v>
      </c>
      <c r="B689">
        <v>2</v>
      </c>
      <c r="C689">
        <v>4</v>
      </c>
      <c r="D689">
        <v>98</v>
      </c>
      <c r="E689" s="11" cm="1">
        <f t="array" ref="E689">_xlfn.XLOOKUP(fsales[[#This Row],[ProductID]],dProduct[[#All],[ProductID]],dProduct[[#All],[Price]])*fsales[[#This Row],[Units]]</f>
        <v>2935.1</v>
      </c>
      <c r="F689" s="11" t="str" cm="1">
        <f t="array" ref="F689">_xlfn.XLOOKUP(fsales[[#This Row],[ProductID]],dProduct[[#All],[ProductID]],dProduct[[#All],[Product]])</f>
        <v>Carlota</v>
      </c>
      <c r="G689" s="11" t="str" cm="1">
        <f t="array" ref="G689">_xlfn.XLOOKUP(fsales[[#This Row],[ProductID]],dProduct[[#All],[ProductID]],dProduct[[#All],[Supplier]])</f>
        <v>Gel Booms</v>
      </c>
      <c r="H689" s="11" t="str" cm="1">
        <f t="array" ref="H689">_xlfn.XLOOKUP(fsales[[#This Row],[SalesRepID]],dSalesRep[[#All],[SalesRepID]],dSalesRep[[#All],[Region]])</f>
        <v>WA</v>
      </c>
    </row>
    <row r="690" spans="1:8" x14ac:dyDescent="0.3">
      <c r="A690" s="1">
        <v>45608</v>
      </c>
      <c r="B690">
        <v>2</v>
      </c>
      <c r="C690">
        <v>4</v>
      </c>
      <c r="D690">
        <v>4</v>
      </c>
      <c r="E690" s="11" cm="1">
        <f t="array" ref="E690">_xlfn.XLOOKUP(fsales[[#This Row],[ProductID]],dProduct[[#All],[ProductID]],dProduct[[#All],[Price]])*fsales[[#This Row],[Units]]</f>
        <v>119.8</v>
      </c>
      <c r="F690" s="11" t="str" cm="1">
        <f t="array" ref="F690">_xlfn.XLOOKUP(fsales[[#This Row],[ProductID]],dProduct[[#All],[ProductID]],dProduct[[#All],[Product]])</f>
        <v>Carlota</v>
      </c>
      <c r="G690" s="11" t="str" cm="1">
        <f t="array" ref="G690">_xlfn.XLOOKUP(fsales[[#This Row],[ProductID]],dProduct[[#All],[ProductID]],dProduct[[#All],[Supplier]])</f>
        <v>Gel Booms</v>
      </c>
      <c r="H690" s="11" t="str" cm="1">
        <f t="array" ref="H690">_xlfn.XLOOKUP(fsales[[#This Row],[SalesRepID]],dSalesRep[[#All],[SalesRepID]],dSalesRep[[#All],[Region]])</f>
        <v>WA</v>
      </c>
    </row>
    <row r="691" spans="1:8" x14ac:dyDescent="0.3">
      <c r="A691" s="1">
        <v>45615</v>
      </c>
      <c r="B691">
        <v>2</v>
      </c>
      <c r="C691">
        <v>4</v>
      </c>
      <c r="D691">
        <v>65</v>
      </c>
      <c r="E691" s="11" cm="1">
        <f t="array" ref="E691">_xlfn.XLOOKUP(fsales[[#This Row],[ProductID]],dProduct[[#All],[ProductID]],dProduct[[#All],[Price]])*fsales[[#This Row],[Units]]</f>
        <v>1946.75</v>
      </c>
      <c r="F691" s="11" t="str" cm="1">
        <f t="array" ref="F691">_xlfn.XLOOKUP(fsales[[#This Row],[ProductID]],dProduct[[#All],[ProductID]],dProduct[[#All],[Product]])</f>
        <v>Carlota</v>
      </c>
      <c r="G691" s="11" t="str" cm="1">
        <f t="array" ref="G691">_xlfn.XLOOKUP(fsales[[#This Row],[ProductID]],dProduct[[#All],[ProductID]],dProduct[[#All],[Supplier]])</f>
        <v>Gel Booms</v>
      </c>
      <c r="H691" s="11" t="str" cm="1">
        <f t="array" ref="H691">_xlfn.XLOOKUP(fsales[[#This Row],[SalesRepID]],dSalesRep[[#All],[SalesRepID]],dSalesRep[[#All],[Region]])</f>
        <v>WA</v>
      </c>
    </row>
    <row r="692" spans="1:8" x14ac:dyDescent="0.3">
      <c r="A692" s="1">
        <v>45597</v>
      </c>
      <c r="B692">
        <v>2</v>
      </c>
      <c r="C692">
        <v>3</v>
      </c>
      <c r="D692">
        <v>238</v>
      </c>
      <c r="E692" s="11" cm="1">
        <f t="array" ref="E692">_xlfn.XLOOKUP(fsales[[#This Row],[ProductID]],dProduct[[#All],[ProductID]],dProduct[[#All],[Price]])*fsales[[#This Row],[Units]]</f>
        <v>7128.0999999999995</v>
      </c>
      <c r="F692" s="11" t="str" cm="1">
        <f t="array" ref="F692">_xlfn.XLOOKUP(fsales[[#This Row],[ProductID]],dProduct[[#All],[ProductID]],dProduct[[#All],[Product]])</f>
        <v>Carlota</v>
      </c>
      <c r="G692" s="11" t="str" cm="1">
        <f t="array" ref="G692">_xlfn.XLOOKUP(fsales[[#This Row],[ProductID]],dProduct[[#All],[ProductID]],dProduct[[#All],[Supplier]])</f>
        <v>Gel Booms</v>
      </c>
      <c r="H692" s="11" t="str" cm="1">
        <f t="array" ref="H692">_xlfn.XLOOKUP(fsales[[#This Row],[SalesRepID]],dSalesRep[[#All],[SalesRepID]],dSalesRep[[#All],[Region]])</f>
        <v>WA</v>
      </c>
    </row>
    <row r="693" spans="1:8" x14ac:dyDescent="0.3">
      <c r="A693" s="1">
        <v>45496</v>
      </c>
      <c r="B693">
        <v>1</v>
      </c>
      <c r="C693">
        <v>1</v>
      </c>
      <c r="D693">
        <v>1</v>
      </c>
      <c r="E693" s="11" cm="1">
        <f t="array" ref="E693">_xlfn.XLOOKUP(fsales[[#This Row],[ProductID]],dProduct[[#All],[ProductID]],dProduct[[#All],[Price]])*fsales[[#This Row],[Units]]</f>
        <v>43.95</v>
      </c>
      <c r="F693" s="11" t="str" cm="1">
        <f t="array" ref="F693">_xlfn.XLOOKUP(fsales[[#This Row],[ProductID]],dProduct[[#All],[ProductID]],dProduct[[#All],[Product]])</f>
        <v>Quad</v>
      </c>
      <c r="G693" s="11" t="str" cm="1">
        <f t="array" ref="G693">_xlfn.XLOOKUP(fsales[[#This Row],[ProductID]],dProduct[[#All],[ProductID]],dProduct[[#All],[Supplier]])</f>
        <v>Gel Booms</v>
      </c>
      <c r="H693" s="11" t="str" cm="1">
        <f t="array" ref="H693">_xlfn.XLOOKUP(fsales[[#This Row],[SalesRepID]],dSalesRep[[#All],[SalesRepID]],dSalesRep[[#All],[Region]])</f>
        <v>CA</v>
      </c>
    </row>
    <row r="694" spans="1:8" x14ac:dyDescent="0.3">
      <c r="A694" s="1">
        <v>45480</v>
      </c>
      <c r="B694">
        <v>2</v>
      </c>
      <c r="C694">
        <v>2</v>
      </c>
      <c r="D694">
        <v>116</v>
      </c>
      <c r="E694" s="11" cm="1">
        <f t="array" ref="E694">_xlfn.XLOOKUP(fsales[[#This Row],[ProductID]],dProduct[[#All],[ProductID]],dProduct[[#All],[Price]])*fsales[[#This Row],[Units]]</f>
        <v>3474.2</v>
      </c>
      <c r="F694" s="11" t="str" cm="1">
        <f t="array" ref="F694">_xlfn.XLOOKUP(fsales[[#This Row],[ProductID]],dProduct[[#All],[ProductID]],dProduct[[#All],[Product]])</f>
        <v>Carlota</v>
      </c>
      <c r="G694" s="11" t="str" cm="1">
        <f t="array" ref="G694">_xlfn.XLOOKUP(fsales[[#This Row],[ProductID]],dProduct[[#All],[ProductID]],dProduct[[#All],[Supplier]])</f>
        <v>Gel Booms</v>
      </c>
      <c r="H694" s="11" t="str" cm="1">
        <f t="array" ref="H694">_xlfn.XLOOKUP(fsales[[#This Row],[SalesRepID]],dSalesRep[[#All],[SalesRepID]],dSalesRep[[#All],[Region]])</f>
        <v>CA</v>
      </c>
    </row>
    <row r="695" spans="1:8" x14ac:dyDescent="0.3">
      <c r="A695" s="1">
        <v>45606</v>
      </c>
      <c r="B695">
        <v>2</v>
      </c>
      <c r="C695">
        <v>1</v>
      </c>
      <c r="D695">
        <v>176</v>
      </c>
      <c r="E695" s="11" cm="1">
        <f t="array" ref="E695">_xlfn.XLOOKUP(fsales[[#This Row],[ProductID]],dProduct[[#All],[ProductID]],dProduct[[#All],[Price]])*fsales[[#This Row],[Units]]</f>
        <v>5271.2</v>
      </c>
      <c r="F695" s="11" t="str" cm="1">
        <f t="array" ref="F695">_xlfn.XLOOKUP(fsales[[#This Row],[ProductID]],dProduct[[#All],[ProductID]],dProduct[[#All],[Product]])</f>
        <v>Carlota</v>
      </c>
      <c r="G695" s="11" t="str" cm="1">
        <f t="array" ref="G695">_xlfn.XLOOKUP(fsales[[#This Row],[ProductID]],dProduct[[#All],[ProductID]],dProduct[[#All],[Supplier]])</f>
        <v>Gel Booms</v>
      </c>
      <c r="H695" s="11" t="str" cm="1">
        <f t="array" ref="H695">_xlfn.XLOOKUP(fsales[[#This Row],[SalesRepID]],dSalesRep[[#All],[SalesRepID]],dSalesRep[[#All],[Region]])</f>
        <v>CA</v>
      </c>
    </row>
    <row r="696" spans="1:8" x14ac:dyDescent="0.3">
      <c r="A696" s="1">
        <v>45466</v>
      </c>
      <c r="B696">
        <v>2</v>
      </c>
      <c r="C696">
        <v>4</v>
      </c>
      <c r="D696">
        <v>98</v>
      </c>
      <c r="E696" s="11" cm="1">
        <f t="array" ref="E696">_xlfn.XLOOKUP(fsales[[#This Row],[ProductID]],dProduct[[#All],[ProductID]],dProduct[[#All],[Price]])*fsales[[#This Row],[Units]]</f>
        <v>2935.1</v>
      </c>
      <c r="F696" s="11" t="str" cm="1">
        <f t="array" ref="F696">_xlfn.XLOOKUP(fsales[[#This Row],[ProductID]],dProduct[[#All],[ProductID]],dProduct[[#All],[Product]])</f>
        <v>Carlota</v>
      </c>
      <c r="G696" s="11" t="str" cm="1">
        <f t="array" ref="G696">_xlfn.XLOOKUP(fsales[[#This Row],[ProductID]],dProduct[[#All],[ProductID]],dProduct[[#All],[Supplier]])</f>
        <v>Gel Booms</v>
      </c>
      <c r="H696" s="11" t="str" cm="1">
        <f t="array" ref="H696">_xlfn.XLOOKUP(fsales[[#This Row],[SalesRepID]],dSalesRep[[#All],[SalesRepID]],dSalesRep[[#All],[Region]])</f>
        <v>WA</v>
      </c>
    </row>
    <row r="697" spans="1:8" x14ac:dyDescent="0.3">
      <c r="A697" s="1">
        <v>45635</v>
      </c>
      <c r="B697">
        <v>2</v>
      </c>
      <c r="C697">
        <v>4</v>
      </c>
      <c r="D697">
        <v>6</v>
      </c>
      <c r="E697" s="11" cm="1">
        <f t="array" ref="E697">_xlfn.XLOOKUP(fsales[[#This Row],[ProductID]],dProduct[[#All],[ProductID]],dProduct[[#All],[Price]])*fsales[[#This Row],[Units]]</f>
        <v>179.7</v>
      </c>
      <c r="F697" s="11" t="str" cm="1">
        <f t="array" ref="F697">_xlfn.XLOOKUP(fsales[[#This Row],[ProductID]],dProduct[[#All],[ProductID]],dProduct[[#All],[Product]])</f>
        <v>Carlota</v>
      </c>
      <c r="G697" s="11" t="str" cm="1">
        <f t="array" ref="G697">_xlfn.XLOOKUP(fsales[[#This Row],[ProductID]],dProduct[[#All],[ProductID]],dProduct[[#All],[Supplier]])</f>
        <v>Gel Booms</v>
      </c>
      <c r="H697" s="11" t="str" cm="1">
        <f t="array" ref="H697">_xlfn.XLOOKUP(fsales[[#This Row],[SalesRepID]],dSalesRep[[#All],[SalesRepID]],dSalesRep[[#All],[Region]])</f>
        <v>WA</v>
      </c>
    </row>
    <row r="698" spans="1:8" x14ac:dyDescent="0.3">
      <c r="A698" s="1">
        <v>45519</v>
      </c>
      <c r="B698">
        <v>1</v>
      </c>
      <c r="C698">
        <v>4</v>
      </c>
      <c r="D698">
        <v>64</v>
      </c>
      <c r="E698" s="11" cm="1">
        <f t="array" ref="E698">_xlfn.XLOOKUP(fsales[[#This Row],[ProductID]],dProduct[[#All],[ProductID]],dProduct[[#All],[Price]])*fsales[[#This Row],[Units]]</f>
        <v>2812.8</v>
      </c>
      <c r="F698" s="11" t="str" cm="1">
        <f t="array" ref="F698">_xlfn.XLOOKUP(fsales[[#This Row],[ProductID]],dProduct[[#All],[ProductID]],dProduct[[#All],[Product]])</f>
        <v>Quad</v>
      </c>
      <c r="G698" s="11" t="str" cm="1">
        <f t="array" ref="G698">_xlfn.XLOOKUP(fsales[[#This Row],[ProductID]],dProduct[[#All],[ProductID]],dProduct[[#All],[Supplier]])</f>
        <v>Gel Booms</v>
      </c>
      <c r="H698" s="11" t="str" cm="1">
        <f t="array" ref="H698">_xlfn.XLOOKUP(fsales[[#This Row],[SalesRepID]],dSalesRep[[#All],[SalesRepID]],dSalesRep[[#All],[Region]])</f>
        <v>WA</v>
      </c>
    </row>
    <row r="699" spans="1:8" x14ac:dyDescent="0.3">
      <c r="A699" s="1">
        <v>45578</v>
      </c>
      <c r="B699">
        <v>2</v>
      </c>
      <c r="C699">
        <v>2</v>
      </c>
      <c r="D699">
        <v>119</v>
      </c>
      <c r="E699" s="11" cm="1">
        <f t="array" ref="E699">_xlfn.XLOOKUP(fsales[[#This Row],[ProductID]],dProduct[[#All],[ProductID]],dProduct[[#All],[Price]])*fsales[[#This Row],[Units]]</f>
        <v>3564.0499999999997</v>
      </c>
      <c r="F699" s="11" t="str" cm="1">
        <f t="array" ref="F699">_xlfn.XLOOKUP(fsales[[#This Row],[ProductID]],dProduct[[#All],[ProductID]],dProduct[[#All],[Product]])</f>
        <v>Carlota</v>
      </c>
      <c r="G699" s="11" t="str" cm="1">
        <f t="array" ref="G699">_xlfn.XLOOKUP(fsales[[#This Row],[ProductID]],dProduct[[#All],[ProductID]],dProduct[[#All],[Supplier]])</f>
        <v>Gel Booms</v>
      </c>
      <c r="H699" s="11" t="str" cm="1">
        <f t="array" ref="H699">_xlfn.XLOOKUP(fsales[[#This Row],[SalesRepID]],dSalesRep[[#All],[SalesRepID]],dSalesRep[[#All],[Region]])</f>
        <v>CA</v>
      </c>
    </row>
    <row r="700" spans="1:8" x14ac:dyDescent="0.3">
      <c r="A700" s="1">
        <v>45650</v>
      </c>
      <c r="B700">
        <v>1</v>
      </c>
      <c r="C700">
        <v>2</v>
      </c>
      <c r="D700">
        <v>262</v>
      </c>
      <c r="E700" s="11" cm="1">
        <f t="array" ref="E700">_xlfn.XLOOKUP(fsales[[#This Row],[ProductID]],dProduct[[#All],[ProductID]],dProduct[[#All],[Price]])*fsales[[#This Row],[Units]]</f>
        <v>11514.900000000001</v>
      </c>
      <c r="F700" s="11" t="str" cm="1">
        <f t="array" ref="F700">_xlfn.XLOOKUP(fsales[[#This Row],[ProductID]],dProduct[[#All],[ProductID]],dProduct[[#All],[Product]])</f>
        <v>Quad</v>
      </c>
      <c r="G700" s="11" t="str" cm="1">
        <f t="array" ref="G700">_xlfn.XLOOKUP(fsales[[#This Row],[ProductID]],dProduct[[#All],[ProductID]],dProduct[[#All],[Supplier]])</f>
        <v>Gel Booms</v>
      </c>
      <c r="H700" s="11" t="str" cm="1">
        <f t="array" ref="H700">_xlfn.XLOOKUP(fsales[[#This Row],[SalesRepID]],dSalesRep[[#All],[SalesRepID]],dSalesRep[[#All],[Region]])</f>
        <v>CA</v>
      </c>
    </row>
    <row r="701" spans="1:8" x14ac:dyDescent="0.3">
      <c r="A701" s="1">
        <v>45651</v>
      </c>
      <c r="B701">
        <v>2</v>
      </c>
      <c r="C701">
        <v>1</v>
      </c>
      <c r="D701">
        <v>4</v>
      </c>
      <c r="E701" s="11" cm="1">
        <f t="array" ref="E701">_xlfn.XLOOKUP(fsales[[#This Row],[ProductID]],dProduct[[#All],[ProductID]],dProduct[[#All],[Price]])*fsales[[#This Row],[Units]]</f>
        <v>119.8</v>
      </c>
      <c r="F701" s="11" t="str" cm="1">
        <f t="array" ref="F701">_xlfn.XLOOKUP(fsales[[#This Row],[ProductID]],dProduct[[#All],[ProductID]],dProduct[[#All],[Product]])</f>
        <v>Carlota</v>
      </c>
      <c r="G701" s="11" t="str" cm="1">
        <f t="array" ref="G701">_xlfn.XLOOKUP(fsales[[#This Row],[ProductID]],dProduct[[#All],[ProductID]],dProduct[[#All],[Supplier]])</f>
        <v>Gel Booms</v>
      </c>
      <c r="H701" s="11" t="str" cm="1">
        <f t="array" ref="H701">_xlfn.XLOOKUP(fsales[[#This Row],[SalesRepID]],dSalesRep[[#All],[SalesRepID]],dSalesRep[[#All],[Region]])</f>
        <v>CA</v>
      </c>
    </row>
    <row r="702" spans="1:8" x14ac:dyDescent="0.3">
      <c r="A702" s="1">
        <v>45657</v>
      </c>
      <c r="B702">
        <v>2</v>
      </c>
      <c r="C702">
        <v>1</v>
      </c>
      <c r="D702">
        <v>1</v>
      </c>
      <c r="E702" s="11" cm="1">
        <f t="array" ref="E702">_xlfn.XLOOKUP(fsales[[#This Row],[ProductID]],dProduct[[#All],[ProductID]],dProduct[[#All],[Price]])*fsales[[#This Row],[Units]]</f>
        <v>29.95</v>
      </c>
      <c r="F702" s="11" t="str" cm="1">
        <f t="array" ref="F702">_xlfn.XLOOKUP(fsales[[#This Row],[ProductID]],dProduct[[#All],[ProductID]],dProduct[[#All],[Product]])</f>
        <v>Carlota</v>
      </c>
      <c r="G702" s="11" t="str" cm="1">
        <f t="array" ref="G702">_xlfn.XLOOKUP(fsales[[#This Row],[ProductID]],dProduct[[#All],[ProductID]],dProduct[[#All],[Supplier]])</f>
        <v>Gel Booms</v>
      </c>
      <c r="H702" s="11" t="str" cm="1">
        <f t="array" ref="H702">_xlfn.XLOOKUP(fsales[[#This Row],[SalesRepID]],dSalesRep[[#All],[SalesRepID]],dSalesRep[[#All],[Region]])</f>
        <v>CA</v>
      </c>
    </row>
    <row r="703" spans="1:8" x14ac:dyDescent="0.3">
      <c r="A703" s="1">
        <v>45561</v>
      </c>
      <c r="B703">
        <v>2</v>
      </c>
      <c r="C703">
        <v>2</v>
      </c>
      <c r="D703">
        <v>96</v>
      </c>
      <c r="E703" s="11" cm="1">
        <f t="array" ref="E703">_xlfn.XLOOKUP(fsales[[#This Row],[ProductID]],dProduct[[#All],[ProductID]],dProduct[[#All],[Price]])*fsales[[#This Row],[Units]]</f>
        <v>2875.2</v>
      </c>
      <c r="F703" s="11" t="str" cm="1">
        <f t="array" ref="F703">_xlfn.XLOOKUP(fsales[[#This Row],[ProductID]],dProduct[[#All],[ProductID]],dProduct[[#All],[Product]])</f>
        <v>Carlota</v>
      </c>
      <c r="G703" s="11" t="str" cm="1">
        <f t="array" ref="G703">_xlfn.XLOOKUP(fsales[[#This Row],[ProductID]],dProduct[[#All],[ProductID]],dProduct[[#All],[Supplier]])</f>
        <v>Gel Booms</v>
      </c>
      <c r="H703" s="11" t="str" cm="1">
        <f t="array" ref="H703">_xlfn.XLOOKUP(fsales[[#This Row],[SalesRepID]],dSalesRep[[#All],[SalesRepID]],dSalesRep[[#All],[Region]])</f>
        <v>CA</v>
      </c>
    </row>
    <row r="704" spans="1:8" x14ac:dyDescent="0.3">
      <c r="A704" s="1">
        <v>45639</v>
      </c>
      <c r="B704">
        <v>3</v>
      </c>
      <c r="C704">
        <v>2</v>
      </c>
      <c r="D704">
        <v>4</v>
      </c>
      <c r="E704" s="11" cm="1">
        <f t="array" ref="E704">_xlfn.XLOOKUP(fsales[[#This Row],[ProductID]],dProduct[[#All],[ProductID]],dProduct[[#All],[Price]])*fsales[[#This Row],[Units]]</f>
        <v>103.8</v>
      </c>
      <c r="F704" s="11" t="str" cm="1">
        <f t="array" ref="F704">_xlfn.XLOOKUP(fsales[[#This Row],[ProductID]],dProduct[[#All],[ProductID]],dProduct[[#All],[Product]])</f>
        <v>Aspen</v>
      </c>
      <c r="G704" s="11" t="str" cm="1">
        <f t="array" ref="G704">_xlfn.XLOOKUP(fsales[[#This Row],[ProductID]],dProduct[[#All],[ProductID]],dProduct[[#All],[Supplier]])</f>
        <v>Colorado Booms</v>
      </c>
      <c r="H704" s="11" t="str" cm="1">
        <f t="array" ref="H704">_xlfn.XLOOKUP(fsales[[#This Row],[SalesRepID]],dSalesRep[[#All],[SalesRepID]],dSalesRep[[#All],[Region]])</f>
        <v>CA</v>
      </c>
    </row>
    <row r="705" spans="1:8" x14ac:dyDescent="0.3">
      <c r="A705" s="1">
        <v>45592</v>
      </c>
      <c r="B705">
        <v>2</v>
      </c>
      <c r="C705">
        <v>2</v>
      </c>
      <c r="D705">
        <v>116</v>
      </c>
      <c r="E705" s="11" cm="1">
        <f t="array" ref="E705">_xlfn.XLOOKUP(fsales[[#This Row],[ProductID]],dProduct[[#All],[ProductID]],dProduct[[#All],[Price]])*fsales[[#This Row],[Units]]</f>
        <v>3474.2</v>
      </c>
      <c r="F705" s="11" t="str" cm="1">
        <f t="array" ref="F705">_xlfn.XLOOKUP(fsales[[#This Row],[ProductID]],dProduct[[#All],[ProductID]],dProduct[[#All],[Product]])</f>
        <v>Carlota</v>
      </c>
      <c r="G705" s="11" t="str" cm="1">
        <f t="array" ref="G705">_xlfn.XLOOKUP(fsales[[#This Row],[ProductID]],dProduct[[#All],[ProductID]],dProduct[[#All],[Supplier]])</f>
        <v>Gel Booms</v>
      </c>
      <c r="H705" s="11" t="str" cm="1">
        <f t="array" ref="H705">_xlfn.XLOOKUP(fsales[[#This Row],[SalesRepID]],dSalesRep[[#All],[SalesRepID]],dSalesRep[[#All],[Region]])</f>
        <v>CA</v>
      </c>
    </row>
    <row r="706" spans="1:8" x14ac:dyDescent="0.3">
      <c r="A706" s="1">
        <v>45551</v>
      </c>
      <c r="B706">
        <v>3</v>
      </c>
      <c r="C706">
        <v>4</v>
      </c>
      <c r="D706">
        <v>91</v>
      </c>
      <c r="E706" s="11" cm="1">
        <f t="array" ref="E706">_xlfn.XLOOKUP(fsales[[#This Row],[ProductID]],dProduct[[#All],[ProductID]],dProduct[[#All],[Price]])*fsales[[#This Row],[Units]]</f>
        <v>2361.4499999999998</v>
      </c>
      <c r="F706" s="11" t="str" cm="1">
        <f t="array" ref="F706">_xlfn.XLOOKUP(fsales[[#This Row],[ProductID]],dProduct[[#All],[ProductID]],dProduct[[#All],[Product]])</f>
        <v>Aspen</v>
      </c>
      <c r="G706" s="11" t="str" cm="1">
        <f t="array" ref="G706">_xlfn.XLOOKUP(fsales[[#This Row],[ProductID]],dProduct[[#All],[ProductID]],dProduct[[#All],[Supplier]])</f>
        <v>Colorado Booms</v>
      </c>
      <c r="H706" s="11" t="str" cm="1">
        <f t="array" ref="H706">_xlfn.XLOOKUP(fsales[[#This Row],[SalesRepID]],dSalesRep[[#All],[SalesRepID]],dSalesRep[[#All],[Region]])</f>
        <v>WA</v>
      </c>
    </row>
    <row r="707" spans="1:8" x14ac:dyDescent="0.3">
      <c r="A707" s="1">
        <v>45553</v>
      </c>
      <c r="B707">
        <v>1</v>
      </c>
      <c r="C707">
        <v>2</v>
      </c>
      <c r="D707">
        <v>107</v>
      </c>
      <c r="E707" s="11" cm="1">
        <f t="array" ref="E707">_xlfn.XLOOKUP(fsales[[#This Row],[ProductID]],dProduct[[#All],[ProductID]],dProduct[[#All],[Price]])*fsales[[#This Row],[Units]]</f>
        <v>4702.6500000000005</v>
      </c>
      <c r="F707" s="11" t="str" cm="1">
        <f t="array" ref="F707">_xlfn.XLOOKUP(fsales[[#This Row],[ProductID]],dProduct[[#All],[ProductID]],dProduct[[#All],[Product]])</f>
        <v>Quad</v>
      </c>
      <c r="G707" s="11" t="str" cm="1">
        <f t="array" ref="G707">_xlfn.XLOOKUP(fsales[[#This Row],[ProductID]],dProduct[[#All],[ProductID]],dProduct[[#All],[Supplier]])</f>
        <v>Gel Booms</v>
      </c>
      <c r="H707" s="11" t="str" cm="1">
        <f t="array" ref="H707">_xlfn.XLOOKUP(fsales[[#This Row],[SalesRepID]],dSalesRep[[#All],[SalesRepID]],dSalesRep[[#All],[Region]])</f>
        <v>CA</v>
      </c>
    </row>
    <row r="708" spans="1:8" x14ac:dyDescent="0.3">
      <c r="A708" s="1">
        <v>45598</v>
      </c>
      <c r="B708">
        <v>2</v>
      </c>
      <c r="C708">
        <v>4</v>
      </c>
      <c r="D708">
        <v>101</v>
      </c>
      <c r="E708" s="11" cm="1">
        <f t="array" ref="E708">_xlfn.XLOOKUP(fsales[[#This Row],[ProductID]],dProduct[[#All],[ProductID]],dProduct[[#All],[Price]])*fsales[[#This Row],[Units]]</f>
        <v>3024.95</v>
      </c>
      <c r="F708" s="11" t="str" cm="1">
        <f t="array" ref="F708">_xlfn.XLOOKUP(fsales[[#This Row],[ProductID]],dProduct[[#All],[ProductID]],dProduct[[#All],[Product]])</f>
        <v>Carlota</v>
      </c>
      <c r="G708" s="11" t="str" cm="1">
        <f t="array" ref="G708">_xlfn.XLOOKUP(fsales[[#This Row],[ProductID]],dProduct[[#All],[ProductID]],dProduct[[#All],[Supplier]])</f>
        <v>Gel Booms</v>
      </c>
      <c r="H708" s="11" t="str" cm="1">
        <f t="array" ref="H708">_xlfn.XLOOKUP(fsales[[#This Row],[SalesRepID]],dSalesRep[[#All],[SalesRepID]],dSalesRep[[#All],[Region]])</f>
        <v>WA</v>
      </c>
    </row>
    <row r="709" spans="1:8" x14ac:dyDescent="0.3">
      <c r="A709" s="1">
        <v>45625</v>
      </c>
      <c r="B709">
        <v>2</v>
      </c>
      <c r="C709">
        <v>1</v>
      </c>
      <c r="D709">
        <v>61</v>
      </c>
      <c r="E709" s="11" cm="1">
        <f t="array" ref="E709">_xlfn.XLOOKUP(fsales[[#This Row],[ProductID]],dProduct[[#All],[ProductID]],dProduct[[#All],[Price]])*fsales[[#This Row],[Units]]</f>
        <v>1826.95</v>
      </c>
      <c r="F709" s="11" t="str" cm="1">
        <f t="array" ref="F709">_xlfn.XLOOKUP(fsales[[#This Row],[ProductID]],dProduct[[#All],[ProductID]],dProduct[[#All],[Product]])</f>
        <v>Carlota</v>
      </c>
      <c r="G709" s="11" t="str" cm="1">
        <f t="array" ref="G709">_xlfn.XLOOKUP(fsales[[#This Row],[ProductID]],dProduct[[#All],[ProductID]],dProduct[[#All],[Supplier]])</f>
        <v>Gel Booms</v>
      </c>
      <c r="H709" s="11" t="str" cm="1">
        <f t="array" ref="H709">_xlfn.XLOOKUP(fsales[[#This Row],[SalesRepID]],dSalesRep[[#All],[SalesRepID]],dSalesRep[[#All],[Region]])</f>
        <v>CA</v>
      </c>
    </row>
    <row r="710" spans="1:8" x14ac:dyDescent="0.3">
      <c r="A710" s="1">
        <v>45302</v>
      </c>
      <c r="B710">
        <v>2</v>
      </c>
      <c r="C710">
        <v>4</v>
      </c>
      <c r="D710">
        <v>77</v>
      </c>
      <c r="E710" s="11" cm="1">
        <f t="array" ref="E710">_xlfn.XLOOKUP(fsales[[#This Row],[ProductID]],dProduct[[#All],[ProductID]],dProduct[[#All],[Price]])*fsales[[#This Row],[Units]]</f>
        <v>2306.15</v>
      </c>
      <c r="F710" s="11" t="str" cm="1">
        <f t="array" ref="F710">_xlfn.XLOOKUP(fsales[[#This Row],[ProductID]],dProduct[[#All],[ProductID]],dProduct[[#All],[Product]])</f>
        <v>Carlota</v>
      </c>
      <c r="G710" s="11" t="str" cm="1">
        <f t="array" ref="G710">_xlfn.XLOOKUP(fsales[[#This Row],[ProductID]],dProduct[[#All],[ProductID]],dProduct[[#All],[Supplier]])</f>
        <v>Gel Booms</v>
      </c>
      <c r="H710" s="11" t="str" cm="1">
        <f t="array" ref="H710">_xlfn.XLOOKUP(fsales[[#This Row],[SalesRepID]],dSalesRep[[#All],[SalesRepID]],dSalesRep[[#All],[Region]])</f>
        <v>WA</v>
      </c>
    </row>
    <row r="711" spans="1:8" x14ac:dyDescent="0.3">
      <c r="A711" s="1">
        <v>45389</v>
      </c>
      <c r="B711">
        <v>4</v>
      </c>
      <c r="C711">
        <v>4</v>
      </c>
      <c r="D711">
        <v>265</v>
      </c>
      <c r="E711" s="11" cm="1">
        <f t="array" ref="E711">_xlfn.XLOOKUP(fsales[[#This Row],[ProductID]],dProduct[[#All],[ProductID]],dProduct[[#All],[Price]])*fsales[[#This Row],[Units]]</f>
        <v>6346.75</v>
      </c>
      <c r="F711" s="11" t="str" cm="1">
        <f t="array" ref="F711">_xlfn.XLOOKUP(fsales[[#This Row],[ProductID]],dProduct[[#All],[ProductID]],dProduct[[#All],[Product]])</f>
        <v>Yanaki</v>
      </c>
      <c r="G711" s="11" t="str" cm="1">
        <f t="array" ref="G711">_xlfn.XLOOKUP(fsales[[#This Row],[ProductID]],dProduct[[#All],[ProductID]],dProduct[[#All],[Supplier]])</f>
        <v>Colorado Booms</v>
      </c>
      <c r="H711" s="11" t="str" cm="1">
        <f t="array" ref="H711">_xlfn.XLOOKUP(fsales[[#This Row],[SalesRepID]],dSalesRep[[#All],[SalesRepID]],dSalesRep[[#All],[Region]])</f>
        <v>WA</v>
      </c>
    </row>
    <row r="712" spans="1:8" x14ac:dyDescent="0.3">
      <c r="A712" s="1">
        <v>45401</v>
      </c>
      <c r="B712">
        <v>1</v>
      </c>
      <c r="C712">
        <v>4</v>
      </c>
      <c r="D712">
        <v>4</v>
      </c>
      <c r="E712" s="11" cm="1">
        <f t="array" ref="E712">_xlfn.XLOOKUP(fsales[[#This Row],[ProductID]],dProduct[[#All],[ProductID]],dProduct[[#All],[Price]])*fsales[[#This Row],[Units]]</f>
        <v>175.8</v>
      </c>
      <c r="F712" s="11" t="str" cm="1">
        <f t="array" ref="F712">_xlfn.XLOOKUP(fsales[[#This Row],[ProductID]],dProduct[[#All],[ProductID]],dProduct[[#All],[Product]])</f>
        <v>Quad</v>
      </c>
      <c r="G712" s="11" t="str" cm="1">
        <f t="array" ref="G712">_xlfn.XLOOKUP(fsales[[#This Row],[ProductID]],dProduct[[#All],[ProductID]],dProduct[[#All],[Supplier]])</f>
        <v>Gel Booms</v>
      </c>
      <c r="H712" s="11" t="str" cm="1">
        <f t="array" ref="H712">_xlfn.XLOOKUP(fsales[[#This Row],[SalesRepID]],dSalesRep[[#All],[SalesRepID]],dSalesRep[[#All],[Region]])</f>
        <v>WA</v>
      </c>
    </row>
    <row r="713" spans="1:8" x14ac:dyDescent="0.3">
      <c r="A713" s="1">
        <v>45584</v>
      </c>
      <c r="B713">
        <v>3</v>
      </c>
      <c r="C713">
        <v>2</v>
      </c>
      <c r="D713">
        <v>3</v>
      </c>
      <c r="E713" s="11" cm="1">
        <f t="array" ref="E713">_xlfn.XLOOKUP(fsales[[#This Row],[ProductID]],dProduct[[#All],[ProductID]],dProduct[[#All],[Price]])*fsales[[#This Row],[Units]]</f>
        <v>77.849999999999994</v>
      </c>
      <c r="F713" s="11" t="str" cm="1">
        <f t="array" ref="F713">_xlfn.XLOOKUP(fsales[[#This Row],[ProductID]],dProduct[[#All],[ProductID]],dProduct[[#All],[Product]])</f>
        <v>Aspen</v>
      </c>
      <c r="G713" s="11" t="str" cm="1">
        <f t="array" ref="G713">_xlfn.XLOOKUP(fsales[[#This Row],[ProductID]],dProduct[[#All],[ProductID]],dProduct[[#All],[Supplier]])</f>
        <v>Colorado Booms</v>
      </c>
      <c r="H713" s="11" t="str" cm="1">
        <f t="array" ref="H713">_xlfn.XLOOKUP(fsales[[#This Row],[SalesRepID]],dSalesRep[[#All],[SalesRepID]],dSalesRep[[#All],[Region]])</f>
        <v>CA</v>
      </c>
    </row>
    <row r="714" spans="1:8" x14ac:dyDescent="0.3">
      <c r="A714" s="1">
        <v>45644</v>
      </c>
      <c r="B714">
        <v>2</v>
      </c>
      <c r="C714">
        <v>2</v>
      </c>
      <c r="D714">
        <v>92</v>
      </c>
      <c r="E714" s="11" cm="1">
        <f t="array" ref="E714">_xlfn.XLOOKUP(fsales[[#This Row],[ProductID]],dProduct[[#All],[ProductID]],dProduct[[#All],[Price]])*fsales[[#This Row],[Units]]</f>
        <v>2755.4</v>
      </c>
      <c r="F714" s="11" t="str" cm="1">
        <f t="array" ref="F714">_xlfn.XLOOKUP(fsales[[#This Row],[ProductID]],dProduct[[#All],[ProductID]],dProduct[[#All],[Product]])</f>
        <v>Carlota</v>
      </c>
      <c r="G714" s="11" t="str" cm="1">
        <f t="array" ref="G714">_xlfn.XLOOKUP(fsales[[#This Row],[ProductID]],dProduct[[#All],[ProductID]],dProduct[[#All],[Supplier]])</f>
        <v>Gel Booms</v>
      </c>
      <c r="H714" s="11" t="str" cm="1">
        <f t="array" ref="H714">_xlfn.XLOOKUP(fsales[[#This Row],[SalesRepID]],dSalesRep[[#All],[SalesRepID]],dSalesRep[[#All],[Region]])</f>
        <v>CA</v>
      </c>
    </row>
    <row r="715" spans="1:8" x14ac:dyDescent="0.3">
      <c r="A715" s="1">
        <v>45568</v>
      </c>
      <c r="B715">
        <v>3</v>
      </c>
      <c r="C715">
        <v>4</v>
      </c>
      <c r="D715">
        <v>103</v>
      </c>
      <c r="E715" s="11" cm="1">
        <f t="array" ref="E715">_xlfn.XLOOKUP(fsales[[#This Row],[ProductID]],dProduct[[#All],[ProductID]],dProduct[[#All],[Price]])*fsales[[#This Row],[Units]]</f>
        <v>2672.85</v>
      </c>
      <c r="F715" s="11" t="str" cm="1">
        <f t="array" ref="F715">_xlfn.XLOOKUP(fsales[[#This Row],[ProductID]],dProduct[[#All],[ProductID]],dProduct[[#All],[Product]])</f>
        <v>Aspen</v>
      </c>
      <c r="G715" s="11" t="str" cm="1">
        <f t="array" ref="G715">_xlfn.XLOOKUP(fsales[[#This Row],[ProductID]],dProduct[[#All],[ProductID]],dProduct[[#All],[Supplier]])</f>
        <v>Colorado Booms</v>
      </c>
      <c r="H715" s="11" t="str" cm="1">
        <f t="array" ref="H715">_xlfn.XLOOKUP(fsales[[#This Row],[SalesRepID]],dSalesRep[[#All],[SalesRepID]],dSalesRep[[#All],[Region]])</f>
        <v>WA</v>
      </c>
    </row>
    <row r="716" spans="1:8" x14ac:dyDescent="0.3">
      <c r="A716" s="1">
        <v>45655</v>
      </c>
      <c r="B716">
        <v>3</v>
      </c>
      <c r="C716">
        <v>2</v>
      </c>
      <c r="D716">
        <v>94</v>
      </c>
      <c r="E716" s="11" cm="1">
        <f t="array" ref="E716">_xlfn.XLOOKUP(fsales[[#This Row],[ProductID]],dProduct[[#All],[ProductID]],dProduct[[#All],[Price]])*fsales[[#This Row],[Units]]</f>
        <v>2439.2999999999997</v>
      </c>
      <c r="F716" s="11" t="str" cm="1">
        <f t="array" ref="F716">_xlfn.XLOOKUP(fsales[[#This Row],[ProductID]],dProduct[[#All],[ProductID]],dProduct[[#All],[Product]])</f>
        <v>Aspen</v>
      </c>
      <c r="G716" s="11" t="str" cm="1">
        <f t="array" ref="G716">_xlfn.XLOOKUP(fsales[[#This Row],[ProductID]],dProduct[[#All],[ProductID]],dProduct[[#All],[Supplier]])</f>
        <v>Colorado Booms</v>
      </c>
      <c r="H716" s="11" t="str" cm="1">
        <f t="array" ref="H716">_xlfn.XLOOKUP(fsales[[#This Row],[SalesRepID]],dSalesRep[[#All],[SalesRepID]],dSalesRep[[#All],[Region]])</f>
        <v>CA</v>
      </c>
    </row>
    <row r="717" spans="1:8" x14ac:dyDescent="0.3">
      <c r="A717" s="1">
        <v>45398</v>
      </c>
      <c r="B717">
        <v>2</v>
      </c>
      <c r="C717">
        <v>2</v>
      </c>
      <c r="D717">
        <v>177</v>
      </c>
      <c r="E717" s="11" cm="1">
        <f t="array" ref="E717">_xlfn.XLOOKUP(fsales[[#This Row],[ProductID]],dProduct[[#All],[ProductID]],dProduct[[#All],[Price]])*fsales[[#This Row],[Units]]</f>
        <v>5301.15</v>
      </c>
      <c r="F717" s="11" t="str" cm="1">
        <f t="array" ref="F717">_xlfn.XLOOKUP(fsales[[#This Row],[ProductID]],dProduct[[#All],[ProductID]],dProduct[[#All],[Product]])</f>
        <v>Carlota</v>
      </c>
      <c r="G717" s="11" t="str" cm="1">
        <f t="array" ref="G717">_xlfn.XLOOKUP(fsales[[#This Row],[ProductID]],dProduct[[#All],[ProductID]],dProduct[[#All],[Supplier]])</f>
        <v>Gel Booms</v>
      </c>
      <c r="H717" s="11" t="str" cm="1">
        <f t="array" ref="H717">_xlfn.XLOOKUP(fsales[[#This Row],[SalesRepID]],dSalesRep[[#All],[SalesRepID]],dSalesRep[[#All],[Region]])</f>
        <v>CA</v>
      </c>
    </row>
    <row r="718" spans="1:8" x14ac:dyDescent="0.3">
      <c r="A718" s="1">
        <v>45425</v>
      </c>
      <c r="B718">
        <v>2</v>
      </c>
      <c r="C718">
        <v>2</v>
      </c>
      <c r="D718">
        <v>58</v>
      </c>
      <c r="E718" s="11" cm="1">
        <f t="array" ref="E718">_xlfn.XLOOKUP(fsales[[#This Row],[ProductID]],dProduct[[#All],[ProductID]],dProduct[[#All],[Price]])*fsales[[#This Row],[Units]]</f>
        <v>1737.1</v>
      </c>
      <c r="F718" s="11" t="str" cm="1">
        <f t="array" ref="F718">_xlfn.XLOOKUP(fsales[[#This Row],[ProductID]],dProduct[[#All],[ProductID]],dProduct[[#All],[Product]])</f>
        <v>Carlota</v>
      </c>
      <c r="G718" s="11" t="str" cm="1">
        <f t="array" ref="G718">_xlfn.XLOOKUP(fsales[[#This Row],[ProductID]],dProduct[[#All],[ProductID]],dProduct[[#All],[Supplier]])</f>
        <v>Gel Booms</v>
      </c>
      <c r="H718" s="11" t="str" cm="1">
        <f t="array" ref="H718">_xlfn.XLOOKUP(fsales[[#This Row],[SalesRepID]],dSalesRep[[#All],[SalesRepID]],dSalesRep[[#All],[Region]])</f>
        <v>CA</v>
      </c>
    </row>
    <row r="719" spans="1:8" x14ac:dyDescent="0.3">
      <c r="A719" s="1">
        <v>45562</v>
      </c>
      <c r="B719">
        <v>2</v>
      </c>
      <c r="C719">
        <v>4</v>
      </c>
      <c r="D719">
        <v>80</v>
      </c>
      <c r="E719" s="11" cm="1">
        <f t="array" ref="E719">_xlfn.XLOOKUP(fsales[[#This Row],[ProductID]],dProduct[[#All],[ProductID]],dProduct[[#All],[Price]])*fsales[[#This Row],[Units]]</f>
        <v>2396</v>
      </c>
      <c r="F719" s="11" t="str" cm="1">
        <f t="array" ref="F719">_xlfn.XLOOKUP(fsales[[#This Row],[ProductID]],dProduct[[#All],[ProductID]],dProduct[[#All],[Product]])</f>
        <v>Carlota</v>
      </c>
      <c r="G719" s="11" t="str" cm="1">
        <f t="array" ref="G719">_xlfn.XLOOKUP(fsales[[#This Row],[ProductID]],dProduct[[#All],[ProductID]],dProduct[[#All],[Supplier]])</f>
        <v>Gel Booms</v>
      </c>
      <c r="H719" s="11" t="str" cm="1">
        <f t="array" ref="H719">_xlfn.XLOOKUP(fsales[[#This Row],[SalesRepID]],dSalesRep[[#All],[SalesRepID]],dSalesRep[[#All],[Region]])</f>
        <v>WA</v>
      </c>
    </row>
    <row r="720" spans="1:8" x14ac:dyDescent="0.3">
      <c r="A720" s="1">
        <v>45617</v>
      </c>
      <c r="B720">
        <v>2</v>
      </c>
      <c r="C720">
        <v>2</v>
      </c>
      <c r="D720">
        <v>80</v>
      </c>
      <c r="E720" s="11" cm="1">
        <f t="array" ref="E720">_xlfn.XLOOKUP(fsales[[#This Row],[ProductID]],dProduct[[#All],[ProductID]],dProduct[[#All],[Price]])*fsales[[#This Row],[Units]]</f>
        <v>2396</v>
      </c>
      <c r="F720" s="11" t="str" cm="1">
        <f t="array" ref="F720">_xlfn.XLOOKUP(fsales[[#This Row],[ProductID]],dProduct[[#All],[ProductID]],dProduct[[#All],[Product]])</f>
        <v>Carlota</v>
      </c>
      <c r="G720" s="11" t="str" cm="1">
        <f t="array" ref="G720">_xlfn.XLOOKUP(fsales[[#This Row],[ProductID]],dProduct[[#All],[ProductID]],dProduct[[#All],[Supplier]])</f>
        <v>Gel Booms</v>
      </c>
      <c r="H720" s="11" t="str" cm="1">
        <f t="array" ref="H720">_xlfn.XLOOKUP(fsales[[#This Row],[SalesRepID]],dSalesRep[[#All],[SalesRepID]],dSalesRep[[#All],[Region]])</f>
        <v>CA</v>
      </c>
    </row>
    <row r="721" spans="1:8" x14ac:dyDescent="0.3">
      <c r="A721" s="1">
        <v>45299</v>
      </c>
      <c r="B721">
        <v>2</v>
      </c>
      <c r="C721">
        <v>2</v>
      </c>
      <c r="D721">
        <v>269</v>
      </c>
      <c r="E721" s="11" cm="1">
        <f t="array" ref="E721">_xlfn.XLOOKUP(fsales[[#This Row],[ProductID]],dProduct[[#All],[ProductID]],dProduct[[#All],[Price]])*fsales[[#This Row],[Units]]</f>
        <v>8056.55</v>
      </c>
      <c r="F721" s="11" t="str" cm="1">
        <f t="array" ref="F721">_xlfn.XLOOKUP(fsales[[#This Row],[ProductID]],dProduct[[#All],[ProductID]],dProduct[[#All],[Product]])</f>
        <v>Carlota</v>
      </c>
      <c r="G721" s="11" t="str" cm="1">
        <f t="array" ref="G721">_xlfn.XLOOKUP(fsales[[#This Row],[ProductID]],dProduct[[#All],[ProductID]],dProduct[[#All],[Supplier]])</f>
        <v>Gel Booms</v>
      </c>
      <c r="H721" s="11" t="str" cm="1">
        <f t="array" ref="H721">_xlfn.XLOOKUP(fsales[[#This Row],[SalesRepID]],dSalesRep[[#All],[SalesRepID]],dSalesRep[[#All],[Region]])</f>
        <v>CA</v>
      </c>
    </row>
    <row r="722" spans="1:8" x14ac:dyDescent="0.3">
      <c r="A722" s="1">
        <v>45575</v>
      </c>
      <c r="B722">
        <v>2</v>
      </c>
      <c r="C722">
        <v>3</v>
      </c>
      <c r="D722">
        <v>37</v>
      </c>
      <c r="E722" s="11" cm="1">
        <f t="array" ref="E722">_xlfn.XLOOKUP(fsales[[#This Row],[ProductID]],dProduct[[#All],[ProductID]],dProduct[[#All],[Price]])*fsales[[#This Row],[Units]]</f>
        <v>1108.1499999999999</v>
      </c>
      <c r="F722" s="11" t="str" cm="1">
        <f t="array" ref="F722">_xlfn.XLOOKUP(fsales[[#This Row],[ProductID]],dProduct[[#All],[ProductID]],dProduct[[#All],[Product]])</f>
        <v>Carlota</v>
      </c>
      <c r="G722" s="11" t="str" cm="1">
        <f t="array" ref="G722">_xlfn.XLOOKUP(fsales[[#This Row],[ProductID]],dProduct[[#All],[ProductID]],dProduct[[#All],[Supplier]])</f>
        <v>Gel Booms</v>
      </c>
      <c r="H722" s="11" t="str" cm="1">
        <f t="array" ref="H722">_xlfn.XLOOKUP(fsales[[#This Row],[SalesRepID]],dSalesRep[[#All],[SalesRepID]],dSalesRep[[#All],[Region]])</f>
        <v>WA</v>
      </c>
    </row>
    <row r="723" spans="1:8" x14ac:dyDescent="0.3">
      <c r="A723" s="1">
        <v>45654</v>
      </c>
      <c r="B723">
        <v>2</v>
      </c>
      <c r="C723">
        <v>4</v>
      </c>
      <c r="D723">
        <v>36</v>
      </c>
      <c r="E723" s="11" cm="1">
        <f t="array" ref="E723">_xlfn.XLOOKUP(fsales[[#This Row],[ProductID]],dProduct[[#All],[ProductID]],dProduct[[#All],[Price]])*fsales[[#This Row],[Units]]</f>
        <v>1078.2</v>
      </c>
      <c r="F723" s="11" t="str" cm="1">
        <f t="array" ref="F723">_xlfn.XLOOKUP(fsales[[#This Row],[ProductID]],dProduct[[#All],[ProductID]],dProduct[[#All],[Product]])</f>
        <v>Carlota</v>
      </c>
      <c r="G723" s="11" t="str" cm="1">
        <f t="array" ref="G723">_xlfn.XLOOKUP(fsales[[#This Row],[ProductID]],dProduct[[#All],[ProductID]],dProduct[[#All],[Supplier]])</f>
        <v>Gel Booms</v>
      </c>
      <c r="H723" s="11" t="str" cm="1">
        <f t="array" ref="H723">_xlfn.XLOOKUP(fsales[[#This Row],[SalesRepID]],dSalesRep[[#All],[SalesRepID]],dSalesRep[[#All],[Region]])</f>
        <v>WA</v>
      </c>
    </row>
    <row r="724" spans="1:8" x14ac:dyDescent="0.3">
      <c r="A724" s="1">
        <v>45403</v>
      </c>
      <c r="B724">
        <v>4</v>
      </c>
      <c r="C724">
        <v>2</v>
      </c>
      <c r="D724">
        <v>4</v>
      </c>
      <c r="E724" s="11" cm="1">
        <f t="array" ref="E724">_xlfn.XLOOKUP(fsales[[#This Row],[ProductID]],dProduct[[#All],[ProductID]],dProduct[[#All],[Price]])*fsales[[#This Row],[Units]]</f>
        <v>95.8</v>
      </c>
      <c r="F724" s="11" t="str" cm="1">
        <f t="array" ref="F724">_xlfn.XLOOKUP(fsales[[#This Row],[ProductID]],dProduct[[#All],[ProductID]],dProduct[[#All],[Product]])</f>
        <v>Yanaki</v>
      </c>
      <c r="G724" s="11" t="str" cm="1">
        <f t="array" ref="G724">_xlfn.XLOOKUP(fsales[[#This Row],[ProductID]],dProduct[[#All],[ProductID]],dProduct[[#All],[Supplier]])</f>
        <v>Colorado Booms</v>
      </c>
      <c r="H724" s="11" t="str" cm="1">
        <f t="array" ref="H724">_xlfn.XLOOKUP(fsales[[#This Row],[SalesRepID]],dSalesRep[[#All],[SalesRepID]],dSalesRep[[#All],[Region]])</f>
        <v>CA</v>
      </c>
    </row>
    <row r="725" spans="1:8" x14ac:dyDescent="0.3">
      <c r="A725" s="1">
        <v>45624</v>
      </c>
      <c r="B725">
        <v>2</v>
      </c>
      <c r="C725">
        <v>2</v>
      </c>
      <c r="D725">
        <v>94</v>
      </c>
      <c r="E725" s="11" cm="1">
        <f t="array" ref="E725">_xlfn.XLOOKUP(fsales[[#This Row],[ProductID]],dProduct[[#All],[ProductID]],dProduct[[#All],[Price]])*fsales[[#This Row],[Units]]</f>
        <v>2815.2999999999997</v>
      </c>
      <c r="F725" s="11" t="str" cm="1">
        <f t="array" ref="F725">_xlfn.XLOOKUP(fsales[[#This Row],[ProductID]],dProduct[[#All],[ProductID]],dProduct[[#All],[Product]])</f>
        <v>Carlota</v>
      </c>
      <c r="G725" s="11" t="str" cm="1">
        <f t="array" ref="G725">_xlfn.XLOOKUP(fsales[[#This Row],[ProductID]],dProduct[[#All],[ProductID]],dProduct[[#All],[Supplier]])</f>
        <v>Gel Booms</v>
      </c>
      <c r="H725" s="11" t="str" cm="1">
        <f t="array" ref="H725">_xlfn.XLOOKUP(fsales[[#This Row],[SalesRepID]],dSalesRep[[#All],[SalesRepID]],dSalesRep[[#All],[Region]])</f>
        <v>CA</v>
      </c>
    </row>
    <row r="726" spans="1:8" x14ac:dyDescent="0.3">
      <c r="A726" s="1">
        <v>45650</v>
      </c>
      <c r="B726">
        <v>1</v>
      </c>
      <c r="C726">
        <v>4</v>
      </c>
      <c r="D726">
        <v>4</v>
      </c>
      <c r="E726" s="11" cm="1">
        <f t="array" ref="E726">_xlfn.XLOOKUP(fsales[[#This Row],[ProductID]],dProduct[[#All],[ProductID]],dProduct[[#All],[Price]])*fsales[[#This Row],[Units]]</f>
        <v>175.8</v>
      </c>
      <c r="F726" s="11" t="str" cm="1">
        <f t="array" ref="F726">_xlfn.XLOOKUP(fsales[[#This Row],[ProductID]],dProduct[[#All],[ProductID]],dProduct[[#All],[Product]])</f>
        <v>Quad</v>
      </c>
      <c r="G726" s="11" t="str" cm="1">
        <f t="array" ref="G726">_xlfn.XLOOKUP(fsales[[#This Row],[ProductID]],dProduct[[#All],[ProductID]],dProduct[[#All],[Supplier]])</f>
        <v>Gel Booms</v>
      </c>
      <c r="H726" s="11" t="str" cm="1">
        <f t="array" ref="H726">_xlfn.XLOOKUP(fsales[[#This Row],[SalesRepID]],dSalesRep[[#All],[SalesRepID]],dSalesRep[[#All],[Region]])</f>
        <v>WA</v>
      </c>
    </row>
    <row r="727" spans="1:8" x14ac:dyDescent="0.3">
      <c r="A727" s="1">
        <v>45651</v>
      </c>
      <c r="B727">
        <v>3</v>
      </c>
      <c r="C727">
        <v>2</v>
      </c>
      <c r="D727">
        <v>64</v>
      </c>
      <c r="E727" s="11" cm="1">
        <f t="array" ref="E727">_xlfn.XLOOKUP(fsales[[#This Row],[ProductID]],dProduct[[#All],[ProductID]],dProduct[[#All],[Price]])*fsales[[#This Row],[Units]]</f>
        <v>1660.8</v>
      </c>
      <c r="F727" s="11" t="str" cm="1">
        <f t="array" ref="F727">_xlfn.XLOOKUP(fsales[[#This Row],[ProductID]],dProduct[[#All],[ProductID]],dProduct[[#All],[Product]])</f>
        <v>Aspen</v>
      </c>
      <c r="G727" s="11" t="str" cm="1">
        <f t="array" ref="G727">_xlfn.XLOOKUP(fsales[[#This Row],[ProductID]],dProduct[[#All],[ProductID]],dProduct[[#All],[Supplier]])</f>
        <v>Colorado Booms</v>
      </c>
      <c r="H727" s="11" t="str" cm="1">
        <f t="array" ref="H727">_xlfn.XLOOKUP(fsales[[#This Row],[SalesRepID]],dSalesRep[[#All],[SalesRepID]],dSalesRep[[#All],[Region]])</f>
        <v>CA</v>
      </c>
    </row>
    <row r="728" spans="1:8" x14ac:dyDescent="0.3">
      <c r="A728" s="1">
        <v>45520</v>
      </c>
      <c r="B728">
        <v>2</v>
      </c>
      <c r="C728">
        <v>1</v>
      </c>
      <c r="D728">
        <v>2</v>
      </c>
      <c r="E728" s="11" cm="1">
        <f t="array" ref="E728">_xlfn.XLOOKUP(fsales[[#This Row],[ProductID]],dProduct[[#All],[ProductID]],dProduct[[#All],[Price]])*fsales[[#This Row],[Units]]</f>
        <v>59.9</v>
      </c>
      <c r="F728" s="11" t="str" cm="1">
        <f t="array" ref="F728">_xlfn.XLOOKUP(fsales[[#This Row],[ProductID]],dProduct[[#All],[ProductID]],dProduct[[#All],[Product]])</f>
        <v>Carlota</v>
      </c>
      <c r="G728" s="11" t="str" cm="1">
        <f t="array" ref="G728">_xlfn.XLOOKUP(fsales[[#This Row],[ProductID]],dProduct[[#All],[ProductID]],dProduct[[#All],[Supplier]])</f>
        <v>Gel Booms</v>
      </c>
      <c r="H728" s="11" t="str" cm="1">
        <f t="array" ref="H728">_xlfn.XLOOKUP(fsales[[#This Row],[SalesRepID]],dSalesRep[[#All],[SalesRepID]],dSalesRep[[#All],[Region]])</f>
        <v>CA</v>
      </c>
    </row>
    <row r="729" spans="1:8" x14ac:dyDescent="0.3">
      <c r="A729" s="1">
        <v>45424</v>
      </c>
      <c r="B729">
        <v>4</v>
      </c>
      <c r="C729">
        <v>4</v>
      </c>
      <c r="D729">
        <v>80</v>
      </c>
      <c r="E729" s="11" cm="1">
        <f t="array" ref="E729">_xlfn.XLOOKUP(fsales[[#This Row],[ProductID]],dProduct[[#All],[ProductID]],dProduct[[#All],[Price]])*fsales[[#This Row],[Units]]</f>
        <v>1916</v>
      </c>
      <c r="F729" s="11" t="str" cm="1">
        <f t="array" ref="F729">_xlfn.XLOOKUP(fsales[[#This Row],[ProductID]],dProduct[[#All],[ProductID]],dProduct[[#All],[Product]])</f>
        <v>Yanaki</v>
      </c>
      <c r="G729" s="11" t="str" cm="1">
        <f t="array" ref="G729">_xlfn.XLOOKUP(fsales[[#This Row],[ProductID]],dProduct[[#All],[ProductID]],dProduct[[#All],[Supplier]])</f>
        <v>Colorado Booms</v>
      </c>
      <c r="H729" s="11" t="str" cm="1">
        <f t="array" ref="H729">_xlfn.XLOOKUP(fsales[[#This Row],[SalesRepID]],dSalesRep[[#All],[SalesRepID]],dSalesRep[[#All],[Region]])</f>
        <v>WA</v>
      </c>
    </row>
    <row r="730" spans="1:8" x14ac:dyDescent="0.3">
      <c r="A730" s="1">
        <v>45401</v>
      </c>
      <c r="B730">
        <v>2</v>
      </c>
      <c r="C730">
        <v>1</v>
      </c>
      <c r="D730">
        <v>155</v>
      </c>
      <c r="E730" s="11" cm="1">
        <f t="array" ref="E730">_xlfn.XLOOKUP(fsales[[#This Row],[ProductID]],dProduct[[#All],[ProductID]],dProduct[[#All],[Price]])*fsales[[#This Row],[Units]]</f>
        <v>4642.25</v>
      </c>
      <c r="F730" s="11" t="str" cm="1">
        <f t="array" ref="F730">_xlfn.XLOOKUP(fsales[[#This Row],[ProductID]],dProduct[[#All],[ProductID]],dProduct[[#All],[Product]])</f>
        <v>Carlota</v>
      </c>
      <c r="G730" s="11" t="str" cm="1">
        <f t="array" ref="G730">_xlfn.XLOOKUP(fsales[[#This Row],[ProductID]],dProduct[[#All],[ProductID]],dProduct[[#All],[Supplier]])</f>
        <v>Gel Booms</v>
      </c>
      <c r="H730" s="11" t="str" cm="1">
        <f t="array" ref="H730">_xlfn.XLOOKUP(fsales[[#This Row],[SalesRepID]],dSalesRep[[#All],[SalesRepID]],dSalesRep[[#All],[Region]])</f>
        <v>CA</v>
      </c>
    </row>
    <row r="731" spans="1:8" x14ac:dyDescent="0.3">
      <c r="A731" s="1">
        <v>45436</v>
      </c>
      <c r="B731">
        <v>2</v>
      </c>
      <c r="C731">
        <v>4</v>
      </c>
      <c r="D731">
        <v>64</v>
      </c>
      <c r="E731" s="11" cm="1">
        <f t="array" ref="E731">_xlfn.XLOOKUP(fsales[[#This Row],[ProductID]],dProduct[[#All],[ProductID]],dProduct[[#All],[Price]])*fsales[[#This Row],[Units]]</f>
        <v>1916.8</v>
      </c>
      <c r="F731" s="11" t="str" cm="1">
        <f t="array" ref="F731">_xlfn.XLOOKUP(fsales[[#This Row],[ProductID]],dProduct[[#All],[ProductID]],dProduct[[#All],[Product]])</f>
        <v>Carlota</v>
      </c>
      <c r="G731" s="11" t="str" cm="1">
        <f t="array" ref="G731">_xlfn.XLOOKUP(fsales[[#This Row],[ProductID]],dProduct[[#All],[ProductID]],dProduct[[#All],[Supplier]])</f>
        <v>Gel Booms</v>
      </c>
      <c r="H731" s="11" t="str" cm="1">
        <f t="array" ref="H731">_xlfn.XLOOKUP(fsales[[#This Row],[SalesRepID]],dSalesRep[[#All],[SalesRepID]],dSalesRep[[#All],[Region]])</f>
        <v>WA</v>
      </c>
    </row>
    <row r="732" spans="1:8" x14ac:dyDescent="0.3">
      <c r="A732" s="1">
        <v>45411</v>
      </c>
      <c r="B732">
        <v>2</v>
      </c>
      <c r="C732">
        <v>4</v>
      </c>
      <c r="D732">
        <v>86</v>
      </c>
      <c r="E732" s="11" cm="1">
        <f t="array" ref="E732">_xlfn.XLOOKUP(fsales[[#This Row],[ProductID]],dProduct[[#All],[ProductID]],dProduct[[#All],[Price]])*fsales[[#This Row],[Units]]</f>
        <v>2575.6999999999998</v>
      </c>
      <c r="F732" s="11" t="str" cm="1">
        <f t="array" ref="F732">_xlfn.XLOOKUP(fsales[[#This Row],[ProductID]],dProduct[[#All],[ProductID]],dProduct[[#All],[Product]])</f>
        <v>Carlota</v>
      </c>
      <c r="G732" s="11" t="str" cm="1">
        <f t="array" ref="G732">_xlfn.XLOOKUP(fsales[[#This Row],[ProductID]],dProduct[[#All],[ProductID]],dProduct[[#All],[Supplier]])</f>
        <v>Gel Booms</v>
      </c>
      <c r="H732" s="11" t="str" cm="1">
        <f t="array" ref="H732">_xlfn.XLOOKUP(fsales[[#This Row],[SalesRepID]],dSalesRep[[#All],[SalesRepID]],dSalesRep[[#All],[Region]])</f>
        <v>WA</v>
      </c>
    </row>
    <row r="733" spans="1:8" x14ac:dyDescent="0.3">
      <c r="A733" s="1">
        <v>45537</v>
      </c>
      <c r="B733">
        <v>2</v>
      </c>
      <c r="C733">
        <v>2</v>
      </c>
      <c r="D733">
        <v>49</v>
      </c>
      <c r="E733" s="11" cm="1">
        <f t="array" ref="E733">_xlfn.XLOOKUP(fsales[[#This Row],[ProductID]],dProduct[[#All],[ProductID]],dProduct[[#All],[Price]])*fsales[[#This Row],[Units]]</f>
        <v>1467.55</v>
      </c>
      <c r="F733" s="11" t="str" cm="1">
        <f t="array" ref="F733">_xlfn.XLOOKUP(fsales[[#This Row],[ProductID]],dProduct[[#All],[ProductID]],dProduct[[#All],[Product]])</f>
        <v>Carlota</v>
      </c>
      <c r="G733" s="11" t="str" cm="1">
        <f t="array" ref="G733">_xlfn.XLOOKUP(fsales[[#This Row],[ProductID]],dProduct[[#All],[ProductID]],dProduct[[#All],[Supplier]])</f>
        <v>Gel Booms</v>
      </c>
      <c r="H733" s="11" t="str" cm="1">
        <f t="array" ref="H733">_xlfn.XLOOKUP(fsales[[#This Row],[SalesRepID]],dSalesRep[[#All],[SalesRepID]],dSalesRep[[#All],[Region]])</f>
        <v>CA</v>
      </c>
    </row>
    <row r="734" spans="1:8" x14ac:dyDescent="0.3">
      <c r="A734" s="1">
        <v>45654</v>
      </c>
      <c r="B734">
        <v>2</v>
      </c>
      <c r="C734">
        <v>4</v>
      </c>
      <c r="D734">
        <v>153</v>
      </c>
      <c r="E734" s="11" cm="1">
        <f t="array" ref="E734">_xlfn.XLOOKUP(fsales[[#This Row],[ProductID]],dProduct[[#All],[ProductID]],dProduct[[#All],[Price]])*fsales[[#This Row],[Units]]</f>
        <v>4582.3499999999995</v>
      </c>
      <c r="F734" s="11" t="str" cm="1">
        <f t="array" ref="F734">_xlfn.XLOOKUP(fsales[[#This Row],[ProductID]],dProduct[[#All],[ProductID]],dProduct[[#All],[Product]])</f>
        <v>Carlota</v>
      </c>
      <c r="G734" s="11" t="str" cm="1">
        <f t="array" ref="G734">_xlfn.XLOOKUP(fsales[[#This Row],[ProductID]],dProduct[[#All],[ProductID]],dProduct[[#All],[Supplier]])</f>
        <v>Gel Booms</v>
      </c>
      <c r="H734" s="11" t="str" cm="1">
        <f t="array" ref="H734">_xlfn.XLOOKUP(fsales[[#This Row],[SalesRepID]],dSalesRep[[#All],[SalesRepID]],dSalesRep[[#All],[Region]])</f>
        <v>WA</v>
      </c>
    </row>
    <row r="735" spans="1:8" x14ac:dyDescent="0.3">
      <c r="A735" s="1">
        <v>45618</v>
      </c>
      <c r="B735">
        <v>2</v>
      </c>
      <c r="C735">
        <v>1</v>
      </c>
      <c r="D735">
        <v>110</v>
      </c>
      <c r="E735" s="11" cm="1">
        <f t="array" ref="E735">_xlfn.XLOOKUP(fsales[[#This Row],[ProductID]],dProduct[[#All],[ProductID]],dProduct[[#All],[Price]])*fsales[[#This Row],[Units]]</f>
        <v>3294.5</v>
      </c>
      <c r="F735" s="11" t="str" cm="1">
        <f t="array" ref="F735">_xlfn.XLOOKUP(fsales[[#This Row],[ProductID]],dProduct[[#All],[ProductID]],dProduct[[#All],[Product]])</f>
        <v>Carlota</v>
      </c>
      <c r="G735" s="11" t="str" cm="1">
        <f t="array" ref="G735">_xlfn.XLOOKUP(fsales[[#This Row],[ProductID]],dProduct[[#All],[ProductID]],dProduct[[#All],[Supplier]])</f>
        <v>Gel Booms</v>
      </c>
      <c r="H735" s="11" t="str" cm="1">
        <f t="array" ref="H735">_xlfn.XLOOKUP(fsales[[#This Row],[SalesRepID]],dSalesRep[[#All],[SalesRepID]],dSalesRep[[#All],[Region]])</f>
        <v>CA</v>
      </c>
    </row>
    <row r="736" spans="1:8" x14ac:dyDescent="0.3">
      <c r="A736" s="1">
        <v>45609</v>
      </c>
      <c r="B736">
        <v>3</v>
      </c>
      <c r="C736">
        <v>2</v>
      </c>
      <c r="D736">
        <v>291</v>
      </c>
      <c r="E736" s="11" cm="1">
        <f t="array" ref="E736">_xlfn.XLOOKUP(fsales[[#This Row],[ProductID]],dProduct[[#All],[ProductID]],dProduct[[#All],[Price]])*fsales[[#This Row],[Units]]</f>
        <v>7551.45</v>
      </c>
      <c r="F736" s="11" t="str" cm="1">
        <f t="array" ref="F736">_xlfn.XLOOKUP(fsales[[#This Row],[ProductID]],dProduct[[#All],[ProductID]],dProduct[[#All],[Product]])</f>
        <v>Aspen</v>
      </c>
      <c r="G736" s="11" t="str" cm="1">
        <f t="array" ref="G736">_xlfn.XLOOKUP(fsales[[#This Row],[ProductID]],dProduct[[#All],[ProductID]],dProduct[[#All],[Supplier]])</f>
        <v>Colorado Booms</v>
      </c>
      <c r="H736" s="11" t="str" cm="1">
        <f t="array" ref="H736">_xlfn.XLOOKUP(fsales[[#This Row],[SalesRepID]],dSalesRep[[#All],[SalesRepID]],dSalesRep[[#All],[Region]])</f>
        <v>CA</v>
      </c>
    </row>
    <row r="737" spans="1:8" x14ac:dyDescent="0.3">
      <c r="A737" s="1">
        <v>45612</v>
      </c>
      <c r="B737">
        <v>2</v>
      </c>
      <c r="C737">
        <v>4</v>
      </c>
      <c r="D737">
        <v>131</v>
      </c>
      <c r="E737" s="11" cm="1">
        <f t="array" ref="E737">_xlfn.XLOOKUP(fsales[[#This Row],[ProductID]],dProduct[[#All],[ProductID]],dProduct[[#All],[Price]])*fsales[[#This Row],[Units]]</f>
        <v>3923.45</v>
      </c>
      <c r="F737" s="11" t="str" cm="1">
        <f t="array" ref="F737">_xlfn.XLOOKUP(fsales[[#This Row],[ProductID]],dProduct[[#All],[ProductID]],dProduct[[#All],[Product]])</f>
        <v>Carlota</v>
      </c>
      <c r="G737" s="11" t="str" cm="1">
        <f t="array" ref="G737">_xlfn.XLOOKUP(fsales[[#This Row],[ProductID]],dProduct[[#All],[ProductID]],dProduct[[#All],[Supplier]])</f>
        <v>Gel Booms</v>
      </c>
      <c r="H737" s="11" t="str" cm="1">
        <f t="array" ref="H737">_xlfn.XLOOKUP(fsales[[#This Row],[SalesRepID]],dSalesRep[[#All],[SalesRepID]],dSalesRep[[#All],[Region]])</f>
        <v>WA</v>
      </c>
    </row>
    <row r="738" spans="1:8" x14ac:dyDescent="0.3">
      <c r="A738" s="1">
        <v>45630</v>
      </c>
      <c r="B738">
        <v>2</v>
      </c>
      <c r="C738">
        <v>4</v>
      </c>
      <c r="D738">
        <v>87</v>
      </c>
      <c r="E738" s="11" cm="1">
        <f t="array" ref="E738">_xlfn.XLOOKUP(fsales[[#This Row],[ProductID]],dProduct[[#All],[ProductID]],dProduct[[#All],[Price]])*fsales[[#This Row],[Units]]</f>
        <v>2605.65</v>
      </c>
      <c r="F738" s="11" t="str" cm="1">
        <f t="array" ref="F738">_xlfn.XLOOKUP(fsales[[#This Row],[ProductID]],dProduct[[#All],[ProductID]],dProduct[[#All],[Product]])</f>
        <v>Carlota</v>
      </c>
      <c r="G738" s="11" t="str" cm="1">
        <f t="array" ref="G738">_xlfn.XLOOKUP(fsales[[#This Row],[ProductID]],dProduct[[#All],[ProductID]],dProduct[[#All],[Supplier]])</f>
        <v>Gel Booms</v>
      </c>
      <c r="H738" s="11" t="str" cm="1">
        <f t="array" ref="H738">_xlfn.XLOOKUP(fsales[[#This Row],[SalesRepID]],dSalesRep[[#All],[SalesRepID]],dSalesRep[[#All],[Region]])</f>
        <v>WA</v>
      </c>
    </row>
    <row r="739" spans="1:8" x14ac:dyDescent="0.3">
      <c r="A739" s="1">
        <v>45600</v>
      </c>
      <c r="B739">
        <v>3</v>
      </c>
      <c r="C739">
        <v>4</v>
      </c>
      <c r="D739">
        <v>112</v>
      </c>
      <c r="E739" s="11" cm="1">
        <f t="array" ref="E739">_xlfn.XLOOKUP(fsales[[#This Row],[ProductID]],dProduct[[#All],[ProductID]],dProduct[[#All],[Price]])*fsales[[#This Row],[Units]]</f>
        <v>2906.4</v>
      </c>
      <c r="F739" s="11" t="str" cm="1">
        <f t="array" ref="F739">_xlfn.XLOOKUP(fsales[[#This Row],[ProductID]],dProduct[[#All],[ProductID]],dProduct[[#All],[Product]])</f>
        <v>Aspen</v>
      </c>
      <c r="G739" s="11" t="str" cm="1">
        <f t="array" ref="G739">_xlfn.XLOOKUP(fsales[[#This Row],[ProductID]],dProduct[[#All],[ProductID]],dProduct[[#All],[Supplier]])</f>
        <v>Colorado Booms</v>
      </c>
      <c r="H739" s="11" t="str" cm="1">
        <f t="array" ref="H739">_xlfn.XLOOKUP(fsales[[#This Row],[SalesRepID]],dSalesRep[[#All],[SalesRepID]],dSalesRep[[#All],[Region]])</f>
        <v>WA</v>
      </c>
    </row>
    <row r="740" spans="1:8" x14ac:dyDescent="0.3">
      <c r="A740" s="1">
        <v>45589</v>
      </c>
      <c r="B740">
        <v>1</v>
      </c>
      <c r="C740">
        <v>2</v>
      </c>
      <c r="D740">
        <v>83</v>
      </c>
      <c r="E740" s="11" cm="1">
        <f t="array" ref="E740">_xlfn.XLOOKUP(fsales[[#This Row],[ProductID]],dProduct[[#All],[ProductID]],dProduct[[#All],[Price]])*fsales[[#This Row],[Units]]</f>
        <v>3647.8500000000004</v>
      </c>
      <c r="F740" s="11" t="str" cm="1">
        <f t="array" ref="F740">_xlfn.XLOOKUP(fsales[[#This Row],[ProductID]],dProduct[[#All],[ProductID]],dProduct[[#All],[Product]])</f>
        <v>Quad</v>
      </c>
      <c r="G740" s="11" t="str" cm="1">
        <f t="array" ref="G740">_xlfn.XLOOKUP(fsales[[#This Row],[ProductID]],dProduct[[#All],[ProductID]],dProduct[[#All],[Supplier]])</f>
        <v>Gel Booms</v>
      </c>
      <c r="H740" s="11" t="str" cm="1">
        <f t="array" ref="H740">_xlfn.XLOOKUP(fsales[[#This Row],[SalesRepID]],dSalesRep[[#All],[SalesRepID]],dSalesRep[[#All],[Region]])</f>
        <v>CA</v>
      </c>
    </row>
    <row r="741" spans="1:8" x14ac:dyDescent="0.3">
      <c r="A741" s="1">
        <v>45582</v>
      </c>
      <c r="B741">
        <v>2</v>
      </c>
      <c r="C741">
        <v>2</v>
      </c>
      <c r="D741">
        <v>4</v>
      </c>
      <c r="E741" s="11" cm="1">
        <f t="array" ref="E741">_xlfn.XLOOKUP(fsales[[#This Row],[ProductID]],dProduct[[#All],[ProductID]],dProduct[[#All],[Price]])*fsales[[#This Row],[Units]]</f>
        <v>119.8</v>
      </c>
      <c r="F741" s="11" t="str" cm="1">
        <f t="array" ref="F741">_xlfn.XLOOKUP(fsales[[#This Row],[ProductID]],dProduct[[#All],[ProductID]],dProduct[[#All],[Product]])</f>
        <v>Carlota</v>
      </c>
      <c r="G741" s="11" t="str" cm="1">
        <f t="array" ref="G741">_xlfn.XLOOKUP(fsales[[#This Row],[ProductID]],dProduct[[#All],[ProductID]],dProduct[[#All],[Supplier]])</f>
        <v>Gel Booms</v>
      </c>
      <c r="H741" s="11" t="str" cm="1">
        <f t="array" ref="H741">_xlfn.XLOOKUP(fsales[[#This Row],[SalesRepID]],dSalesRep[[#All],[SalesRepID]],dSalesRep[[#All],[Region]])</f>
        <v>CA</v>
      </c>
    </row>
    <row r="742" spans="1:8" x14ac:dyDescent="0.3">
      <c r="A742" s="1">
        <v>45638</v>
      </c>
      <c r="B742">
        <v>3</v>
      </c>
      <c r="C742">
        <v>2</v>
      </c>
      <c r="D742">
        <v>102</v>
      </c>
      <c r="E742" s="11" cm="1">
        <f t="array" ref="E742">_xlfn.XLOOKUP(fsales[[#This Row],[ProductID]],dProduct[[#All],[ProductID]],dProduct[[#All],[Price]])*fsales[[#This Row],[Units]]</f>
        <v>2646.9</v>
      </c>
      <c r="F742" s="11" t="str" cm="1">
        <f t="array" ref="F742">_xlfn.XLOOKUP(fsales[[#This Row],[ProductID]],dProduct[[#All],[ProductID]],dProduct[[#All],[Product]])</f>
        <v>Aspen</v>
      </c>
      <c r="G742" s="11" t="str" cm="1">
        <f t="array" ref="G742">_xlfn.XLOOKUP(fsales[[#This Row],[ProductID]],dProduct[[#All],[ProductID]],dProduct[[#All],[Supplier]])</f>
        <v>Colorado Booms</v>
      </c>
      <c r="H742" s="11" t="str" cm="1">
        <f t="array" ref="H742">_xlfn.XLOOKUP(fsales[[#This Row],[SalesRepID]],dSalesRep[[#All],[SalesRepID]],dSalesRep[[#All],[Region]])</f>
        <v>CA</v>
      </c>
    </row>
    <row r="743" spans="1:8" x14ac:dyDescent="0.3">
      <c r="A743" s="1">
        <v>45595</v>
      </c>
      <c r="B743">
        <v>2</v>
      </c>
      <c r="C743">
        <v>4</v>
      </c>
      <c r="D743">
        <v>6</v>
      </c>
      <c r="E743" s="11" cm="1">
        <f t="array" ref="E743">_xlfn.XLOOKUP(fsales[[#This Row],[ProductID]],dProduct[[#All],[ProductID]],dProduct[[#All],[Price]])*fsales[[#This Row],[Units]]</f>
        <v>179.7</v>
      </c>
      <c r="F743" s="11" t="str" cm="1">
        <f t="array" ref="F743">_xlfn.XLOOKUP(fsales[[#This Row],[ProductID]],dProduct[[#All],[ProductID]],dProduct[[#All],[Product]])</f>
        <v>Carlota</v>
      </c>
      <c r="G743" s="11" t="str" cm="1">
        <f t="array" ref="G743">_xlfn.XLOOKUP(fsales[[#This Row],[ProductID]],dProduct[[#All],[ProductID]],dProduct[[#All],[Supplier]])</f>
        <v>Gel Booms</v>
      </c>
      <c r="H743" s="11" t="str" cm="1">
        <f t="array" ref="H743">_xlfn.XLOOKUP(fsales[[#This Row],[SalesRepID]],dSalesRep[[#All],[SalesRepID]],dSalesRep[[#All],[Region]])</f>
        <v>WA</v>
      </c>
    </row>
    <row r="744" spans="1:8" x14ac:dyDescent="0.3">
      <c r="A744" s="1">
        <v>45502</v>
      </c>
      <c r="B744">
        <v>2</v>
      </c>
      <c r="C744">
        <v>4</v>
      </c>
      <c r="D744">
        <v>92</v>
      </c>
      <c r="E744" s="11" cm="1">
        <f t="array" ref="E744">_xlfn.XLOOKUP(fsales[[#This Row],[ProductID]],dProduct[[#All],[ProductID]],dProduct[[#All],[Price]])*fsales[[#This Row],[Units]]</f>
        <v>2755.4</v>
      </c>
      <c r="F744" s="11" t="str" cm="1">
        <f t="array" ref="F744">_xlfn.XLOOKUP(fsales[[#This Row],[ProductID]],dProduct[[#All],[ProductID]],dProduct[[#All],[Product]])</f>
        <v>Carlota</v>
      </c>
      <c r="G744" s="11" t="str" cm="1">
        <f t="array" ref="G744">_xlfn.XLOOKUP(fsales[[#This Row],[ProductID]],dProduct[[#All],[ProductID]],dProduct[[#All],[Supplier]])</f>
        <v>Gel Booms</v>
      </c>
      <c r="H744" s="11" t="str" cm="1">
        <f t="array" ref="H744">_xlfn.XLOOKUP(fsales[[#This Row],[SalesRepID]],dSalesRep[[#All],[SalesRepID]],dSalesRep[[#All],[Region]])</f>
        <v>WA</v>
      </c>
    </row>
    <row r="745" spans="1:8" x14ac:dyDescent="0.3">
      <c r="A745" s="1">
        <v>45434</v>
      </c>
      <c r="B745">
        <v>2</v>
      </c>
      <c r="C745">
        <v>4</v>
      </c>
      <c r="D745">
        <v>121</v>
      </c>
      <c r="E745" s="11" cm="1">
        <f t="array" ref="E745">_xlfn.XLOOKUP(fsales[[#This Row],[ProductID]],dProduct[[#All],[ProductID]],dProduct[[#All],[Price]])*fsales[[#This Row],[Units]]</f>
        <v>3623.95</v>
      </c>
      <c r="F745" s="11" t="str" cm="1">
        <f t="array" ref="F745">_xlfn.XLOOKUP(fsales[[#This Row],[ProductID]],dProduct[[#All],[ProductID]],dProduct[[#All],[Product]])</f>
        <v>Carlota</v>
      </c>
      <c r="G745" s="11" t="str" cm="1">
        <f t="array" ref="G745">_xlfn.XLOOKUP(fsales[[#This Row],[ProductID]],dProduct[[#All],[ProductID]],dProduct[[#All],[Supplier]])</f>
        <v>Gel Booms</v>
      </c>
      <c r="H745" s="11" t="str" cm="1">
        <f t="array" ref="H745">_xlfn.XLOOKUP(fsales[[#This Row],[SalesRepID]],dSalesRep[[#All],[SalesRepID]],dSalesRep[[#All],[Region]])</f>
        <v>WA</v>
      </c>
    </row>
    <row r="746" spans="1:8" x14ac:dyDescent="0.3">
      <c r="A746" s="1">
        <v>45536</v>
      </c>
      <c r="B746">
        <v>2</v>
      </c>
      <c r="C746">
        <v>2</v>
      </c>
      <c r="D746">
        <v>122</v>
      </c>
      <c r="E746" s="11" cm="1">
        <f t="array" ref="E746">_xlfn.XLOOKUP(fsales[[#This Row],[ProductID]],dProduct[[#All],[ProductID]],dProduct[[#All],[Price]])*fsales[[#This Row],[Units]]</f>
        <v>3653.9</v>
      </c>
      <c r="F746" s="11" t="str" cm="1">
        <f t="array" ref="F746">_xlfn.XLOOKUP(fsales[[#This Row],[ProductID]],dProduct[[#All],[ProductID]],dProduct[[#All],[Product]])</f>
        <v>Carlota</v>
      </c>
      <c r="G746" s="11" t="str" cm="1">
        <f t="array" ref="G746">_xlfn.XLOOKUP(fsales[[#This Row],[ProductID]],dProduct[[#All],[ProductID]],dProduct[[#All],[Supplier]])</f>
        <v>Gel Booms</v>
      </c>
      <c r="H746" s="11" t="str" cm="1">
        <f t="array" ref="H746">_xlfn.XLOOKUP(fsales[[#This Row],[SalesRepID]],dSalesRep[[#All],[SalesRepID]],dSalesRep[[#All],[Region]])</f>
        <v>CA</v>
      </c>
    </row>
    <row r="747" spans="1:8" x14ac:dyDescent="0.3">
      <c r="A747" s="1">
        <v>45379</v>
      </c>
      <c r="B747">
        <v>2</v>
      </c>
      <c r="C747">
        <v>2</v>
      </c>
      <c r="D747">
        <v>80</v>
      </c>
      <c r="E747" s="11" cm="1">
        <f t="array" ref="E747">_xlfn.XLOOKUP(fsales[[#This Row],[ProductID]],dProduct[[#All],[ProductID]],dProduct[[#All],[Price]])*fsales[[#This Row],[Units]]</f>
        <v>2396</v>
      </c>
      <c r="F747" s="11" t="str" cm="1">
        <f t="array" ref="F747">_xlfn.XLOOKUP(fsales[[#This Row],[ProductID]],dProduct[[#All],[ProductID]],dProduct[[#All],[Product]])</f>
        <v>Carlota</v>
      </c>
      <c r="G747" s="11" t="str" cm="1">
        <f t="array" ref="G747">_xlfn.XLOOKUP(fsales[[#This Row],[ProductID]],dProduct[[#All],[ProductID]],dProduct[[#All],[Supplier]])</f>
        <v>Gel Booms</v>
      </c>
      <c r="H747" s="11" t="str" cm="1">
        <f t="array" ref="H747">_xlfn.XLOOKUP(fsales[[#This Row],[SalesRepID]],dSalesRep[[#All],[SalesRepID]],dSalesRep[[#All],[Region]])</f>
        <v>CA</v>
      </c>
    </row>
    <row r="748" spans="1:8" x14ac:dyDescent="0.3">
      <c r="A748" s="1">
        <v>45512</v>
      </c>
      <c r="B748">
        <v>3</v>
      </c>
      <c r="C748">
        <v>3</v>
      </c>
      <c r="D748">
        <v>97</v>
      </c>
      <c r="E748" s="11" cm="1">
        <f t="array" ref="E748">_xlfn.XLOOKUP(fsales[[#This Row],[ProductID]],dProduct[[#All],[ProductID]],dProduct[[#All],[Price]])*fsales[[#This Row],[Units]]</f>
        <v>2517.15</v>
      </c>
      <c r="F748" s="11" t="str" cm="1">
        <f t="array" ref="F748">_xlfn.XLOOKUP(fsales[[#This Row],[ProductID]],dProduct[[#All],[ProductID]],dProduct[[#All],[Product]])</f>
        <v>Aspen</v>
      </c>
      <c r="G748" s="11" t="str" cm="1">
        <f t="array" ref="G748">_xlfn.XLOOKUP(fsales[[#This Row],[ProductID]],dProduct[[#All],[ProductID]],dProduct[[#All],[Supplier]])</f>
        <v>Colorado Booms</v>
      </c>
      <c r="H748" s="11" t="str" cm="1">
        <f t="array" ref="H748">_xlfn.XLOOKUP(fsales[[#This Row],[SalesRepID]],dSalesRep[[#All],[SalesRepID]],dSalesRep[[#All],[Region]])</f>
        <v>WA</v>
      </c>
    </row>
    <row r="749" spans="1:8" x14ac:dyDescent="0.3">
      <c r="A749" s="1">
        <v>45607</v>
      </c>
      <c r="B749">
        <v>2</v>
      </c>
      <c r="C749">
        <v>1</v>
      </c>
      <c r="D749">
        <v>91</v>
      </c>
      <c r="E749" s="11" cm="1">
        <f t="array" ref="E749">_xlfn.XLOOKUP(fsales[[#This Row],[ProductID]],dProduct[[#All],[ProductID]],dProduct[[#All],[Price]])*fsales[[#This Row],[Units]]</f>
        <v>2725.45</v>
      </c>
      <c r="F749" s="11" t="str" cm="1">
        <f t="array" ref="F749">_xlfn.XLOOKUP(fsales[[#This Row],[ProductID]],dProduct[[#All],[ProductID]],dProduct[[#All],[Product]])</f>
        <v>Carlota</v>
      </c>
      <c r="G749" s="11" t="str" cm="1">
        <f t="array" ref="G749">_xlfn.XLOOKUP(fsales[[#This Row],[ProductID]],dProduct[[#All],[ProductID]],dProduct[[#All],[Supplier]])</f>
        <v>Gel Booms</v>
      </c>
      <c r="H749" s="11" t="str" cm="1">
        <f t="array" ref="H749">_xlfn.XLOOKUP(fsales[[#This Row],[SalesRepID]],dSalesRep[[#All],[SalesRepID]],dSalesRep[[#All],[Region]])</f>
        <v>CA</v>
      </c>
    </row>
    <row r="750" spans="1:8" x14ac:dyDescent="0.3">
      <c r="A750" s="1">
        <v>45458</v>
      </c>
      <c r="B750">
        <v>2</v>
      </c>
      <c r="C750">
        <v>2</v>
      </c>
      <c r="D750">
        <v>2</v>
      </c>
      <c r="E750" s="11" cm="1">
        <f t="array" ref="E750">_xlfn.XLOOKUP(fsales[[#This Row],[ProductID]],dProduct[[#All],[ProductID]],dProduct[[#All],[Price]])*fsales[[#This Row],[Units]]</f>
        <v>59.9</v>
      </c>
      <c r="F750" s="11" t="str" cm="1">
        <f t="array" ref="F750">_xlfn.XLOOKUP(fsales[[#This Row],[ProductID]],dProduct[[#All],[ProductID]],dProduct[[#All],[Product]])</f>
        <v>Carlota</v>
      </c>
      <c r="G750" s="11" t="str" cm="1">
        <f t="array" ref="G750">_xlfn.XLOOKUP(fsales[[#This Row],[ProductID]],dProduct[[#All],[ProductID]],dProduct[[#All],[Supplier]])</f>
        <v>Gel Booms</v>
      </c>
      <c r="H750" s="11" t="str" cm="1">
        <f t="array" ref="H750">_xlfn.XLOOKUP(fsales[[#This Row],[SalesRepID]],dSalesRep[[#All],[SalesRepID]],dSalesRep[[#All],[Region]])</f>
        <v>CA</v>
      </c>
    </row>
    <row r="751" spans="1:8" x14ac:dyDescent="0.3">
      <c r="A751" s="1">
        <v>45584</v>
      </c>
      <c r="B751">
        <v>3</v>
      </c>
      <c r="C751">
        <v>2</v>
      </c>
      <c r="D751">
        <v>1</v>
      </c>
      <c r="E751" s="11" cm="1">
        <f t="array" ref="E751">_xlfn.XLOOKUP(fsales[[#This Row],[ProductID]],dProduct[[#All],[ProductID]],dProduct[[#All],[Price]])*fsales[[#This Row],[Units]]</f>
        <v>25.95</v>
      </c>
      <c r="F751" s="11" t="str" cm="1">
        <f t="array" ref="F751">_xlfn.XLOOKUP(fsales[[#This Row],[ProductID]],dProduct[[#All],[ProductID]],dProduct[[#All],[Product]])</f>
        <v>Aspen</v>
      </c>
      <c r="G751" s="11" t="str" cm="1">
        <f t="array" ref="G751">_xlfn.XLOOKUP(fsales[[#This Row],[ProductID]],dProduct[[#All],[ProductID]],dProduct[[#All],[Supplier]])</f>
        <v>Colorado Booms</v>
      </c>
      <c r="H751" s="11" t="str" cm="1">
        <f t="array" ref="H751">_xlfn.XLOOKUP(fsales[[#This Row],[SalesRepID]],dSalesRep[[#All],[SalesRepID]],dSalesRep[[#All],[Region]])</f>
        <v>CA</v>
      </c>
    </row>
    <row r="752" spans="1:8" x14ac:dyDescent="0.3">
      <c r="A752" s="1">
        <v>45611</v>
      </c>
      <c r="B752">
        <v>2</v>
      </c>
      <c r="C752">
        <v>4</v>
      </c>
      <c r="D752">
        <v>68</v>
      </c>
      <c r="E752" s="11" cm="1">
        <f t="array" ref="E752">_xlfn.XLOOKUP(fsales[[#This Row],[ProductID]],dProduct[[#All],[ProductID]],dProduct[[#All],[Price]])*fsales[[#This Row],[Units]]</f>
        <v>2036.6</v>
      </c>
      <c r="F752" s="11" t="str" cm="1">
        <f t="array" ref="F752">_xlfn.XLOOKUP(fsales[[#This Row],[ProductID]],dProduct[[#All],[ProductID]],dProduct[[#All],[Product]])</f>
        <v>Carlota</v>
      </c>
      <c r="G752" s="11" t="str" cm="1">
        <f t="array" ref="G752">_xlfn.XLOOKUP(fsales[[#This Row],[ProductID]],dProduct[[#All],[ProductID]],dProduct[[#All],[Supplier]])</f>
        <v>Gel Booms</v>
      </c>
      <c r="H752" s="11" t="str" cm="1">
        <f t="array" ref="H752">_xlfn.XLOOKUP(fsales[[#This Row],[SalesRepID]],dSalesRep[[#All],[SalesRepID]],dSalesRep[[#All],[Region]])</f>
        <v>WA</v>
      </c>
    </row>
    <row r="753" spans="1:8" x14ac:dyDescent="0.3">
      <c r="A753" s="1">
        <v>45632</v>
      </c>
      <c r="B753">
        <v>4</v>
      </c>
      <c r="C753">
        <v>2</v>
      </c>
      <c r="D753">
        <v>1</v>
      </c>
      <c r="E753" s="11" cm="1">
        <f t="array" ref="E753">_xlfn.XLOOKUP(fsales[[#This Row],[ProductID]],dProduct[[#All],[ProductID]],dProduct[[#All],[Price]])*fsales[[#This Row],[Units]]</f>
        <v>23.95</v>
      </c>
      <c r="F753" s="11" t="str" cm="1">
        <f t="array" ref="F753">_xlfn.XLOOKUP(fsales[[#This Row],[ProductID]],dProduct[[#All],[ProductID]],dProduct[[#All],[Product]])</f>
        <v>Yanaki</v>
      </c>
      <c r="G753" s="11" t="str" cm="1">
        <f t="array" ref="G753">_xlfn.XLOOKUP(fsales[[#This Row],[ProductID]],dProduct[[#All],[ProductID]],dProduct[[#All],[Supplier]])</f>
        <v>Colorado Booms</v>
      </c>
      <c r="H753" s="11" t="str" cm="1">
        <f t="array" ref="H753">_xlfn.XLOOKUP(fsales[[#This Row],[SalesRepID]],dSalesRep[[#All],[SalesRepID]],dSalesRep[[#All],[Region]])</f>
        <v>CA</v>
      </c>
    </row>
    <row r="754" spans="1:8" x14ac:dyDescent="0.3">
      <c r="A754" s="1">
        <v>45610</v>
      </c>
      <c r="B754">
        <v>3</v>
      </c>
      <c r="C754">
        <v>4</v>
      </c>
      <c r="D754">
        <v>6</v>
      </c>
      <c r="E754" s="11" cm="1">
        <f t="array" ref="E754">_xlfn.XLOOKUP(fsales[[#This Row],[ProductID]],dProduct[[#All],[ProductID]],dProduct[[#All],[Price]])*fsales[[#This Row],[Units]]</f>
        <v>155.69999999999999</v>
      </c>
      <c r="F754" s="11" t="str" cm="1">
        <f t="array" ref="F754">_xlfn.XLOOKUP(fsales[[#This Row],[ProductID]],dProduct[[#All],[ProductID]],dProduct[[#All],[Product]])</f>
        <v>Aspen</v>
      </c>
      <c r="G754" s="11" t="str" cm="1">
        <f t="array" ref="G754">_xlfn.XLOOKUP(fsales[[#This Row],[ProductID]],dProduct[[#All],[ProductID]],dProduct[[#All],[Supplier]])</f>
        <v>Colorado Booms</v>
      </c>
      <c r="H754" s="11" t="str" cm="1">
        <f t="array" ref="H754">_xlfn.XLOOKUP(fsales[[#This Row],[SalesRepID]],dSalesRep[[#All],[SalesRepID]],dSalesRep[[#All],[Region]])</f>
        <v>WA</v>
      </c>
    </row>
    <row r="755" spans="1:8" x14ac:dyDescent="0.3">
      <c r="A755" s="1">
        <v>45564</v>
      </c>
      <c r="B755">
        <v>4</v>
      </c>
      <c r="C755">
        <v>2</v>
      </c>
      <c r="D755">
        <v>56</v>
      </c>
      <c r="E755" s="11" cm="1">
        <f t="array" ref="E755">_xlfn.XLOOKUP(fsales[[#This Row],[ProductID]],dProduct[[#All],[ProductID]],dProduct[[#All],[Price]])*fsales[[#This Row],[Units]]</f>
        <v>1341.2</v>
      </c>
      <c r="F755" s="11" t="str" cm="1">
        <f t="array" ref="F755">_xlfn.XLOOKUP(fsales[[#This Row],[ProductID]],dProduct[[#All],[ProductID]],dProduct[[#All],[Product]])</f>
        <v>Yanaki</v>
      </c>
      <c r="G755" s="11" t="str" cm="1">
        <f t="array" ref="G755">_xlfn.XLOOKUP(fsales[[#This Row],[ProductID]],dProduct[[#All],[ProductID]],dProduct[[#All],[Supplier]])</f>
        <v>Colorado Booms</v>
      </c>
      <c r="H755" s="11" t="str" cm="1">
        <f t="array" ref="H755">_xlfn.XLOOKUP(fsales[[#This Row],[SalesRepID]],dSalesRep[[#All],[SalesRepID]],dSalesRep[[#All],[Region]])</f>
        <v>CA</v>
      </c>
    </row>
    <row r="756" spans="1:8" x14ac:dyDescent="0.3">
      <c r="A756" s="1">
        <v>45532</v>
      </c>
      <c r="B756">
        <v>2</v>
      </c>
      <c r="C756">
        <v>4</v>
      </c>
      <c r="D756">
        <v>149</v>
      </c>
      <c r="E756" s="11" cm="1">
        <f t="array" ref="E756">_xlfn.XLOOKUP(fsales[[#This Row],[ProductID]],dProduct[[#All],[ProductID]],dProduct[[#All],[Price]])*fsales[[#This Row],[Units]]</f>
        <v>4462.55</v>
      </c>
      <c r="F756" s="11" t="str" cm="1">
        <f t="array" ref="F756">_xlfn.XLOOKUP(fsales[[#This Row],[ProductID]],dProduct[[#All],[ProductID]],dProduct[[#All],[Product]])</f>
        <v>Carlota</v>
      </c>
      <c r="G756" s="11" t="str" cm="1">
        <f t="array" ref="G756">_xlfn.XLOOKUP(fsales[[#This Row],[ProductID]],dProduct[[#All],[ProductID]],dProduct[[#All],[Supplier]])</f>
        <v>Gel Booms</v>
      </c>
      <c r="H756" s="11" t="str" cm="1">
        <f t="array" ref="H756">_xlfn.XLOOKUP(fsales[[#This Row],[SalesRepID]],dSalesRep[[#All],[SalesRepID]],dSalesRep[[#All],[Region]])</f>
        <v>WA</v>
      </c>
    </row>
    <row r="757" spans="1:8" x14ac:dyDescent="0.3">
      <c r="A757" s="1">
        <v>45399</v>
      </c>
      <c r="B757">
        <v>2</v>
      </c>
      <c r="C757">
        <v>1</v>
      </c>
      <c r="D757">
        <v>3</v>
      </c>
      <c r="E757" s="11" cm="1">
        <f t="array" ref="E757">_xlfn.XLOOKUP(fsales[[#This Row],[ProductID]],dProduct[[#All],[ProductID]],dProduct[[#All],[Price]])*fsales[[#This Row],[Units]]</f>
        <v>89.85</v>
      </c>
      <c r="F757" s="11" t="str" cm="1">
        <f t="array" ref="F757">_xlfn.XLOOKUP(fsales[[#This Row],[ProductID]],dProduct[[#All],[ProductID]],dProduct[[#All],[Product]])</f>
        <v>Carlota</v>
      </c>
      <c r="G757" s="11" t="str" cm="1">
        <f t="array" ref="G757">_xlfn.XLOOKUP(fsales[[#This Row],[ProductID]],dProduct[[#All],[ProductID]],dProduct[[#All],[Supplier]])</f>
        <v>Gel Booms</v>
      </c>
      <c r="H757" s="11" t="str" cm="1">
        <f t="array" ref="H757">_xlfn.XLOOKUP(fsales[[#This Row],[SalesRepID]],dSalesRep[[#All],[SalesRepID]],dSalesRep[[#All],[Region]])</f>
        <v>CA</v>
      </c>
    </row>
    <row r="758" spans="1:8" x14ac:dyDescent="0.3">
      <c r="A758" s="1">
        <v>45566</v>
      </c>
      <c r="B758">
        <v>2</v>
      </c>
      <c r="C758">
        <v>4</v>
      </c>
      <c r="D758">
        <v>3</v>
      </c>
      <c r="E758" s="11" cm="1">
        <f t="array" ref="E758">_xlfn.XLOOKUP(fsales[[#This Row],[ProductID]],dProduct[[#All],[ProductID]],dProduct[[#All],[Price]])*fsales[[#This Row],[Units]]</f>
        <v>89.85</v>
      </c>
      <c r="F758" s="11" t="str" cm="1">
        <f t="array" ref="F758">_xlfn.XLOOKUP(fsales[[#This Row],[ProductID]],dProduct[[#All],[ProductID]],dProduct[[#All],[Product]])</f>
        <v>Carlota</v>
      </c>
      <c r="G758" s="11" t="str" cm="1">
        <f t="array" ref="G758">_xlfn.XLOOKUP(fsales[[#This Row],[ProductID]],dProduct[[#All],[ProductID]],dProduct[[#All],[Supplier]])</f>
        <v>Gel Booms</v>
      </c>
      <c r="H758" s="11" t="str" cm="1">
        <f t="array" ref="H758">_xlfn.XLOOKUP(fsales[[#This Row],[SalesRepID]],dSalesRep[[#All],[SalesRepID]],dSalesRep[[#All],[Region]])</f>
        <v>WA</v>
      </c>
    </row>
    <row r="759" spans="1:8" x14ac:dyDescent="0.3">
      <c r="A759" s="1">
        <v>45596</v>
      </c>
      <c r="B759">
        <v>1</v>
      </c>
      <c r="C759">
        <v>4</v>
      </c>
      <c r="D759">
        <v>1</v>
      </c>
      <c r="E759" s="11" cm="1">
        <f t="array" ref="E759">_xlfn.XLOOKUP(fsales[[#This Row],[ProductID]],dProduct[[#All],[ProductID]],dProduct[[#All],[Price]])*fsales[[#This Row],[Units]]</f>
        <v>43.95</v>
      </c>
      <c r="F759" s="11" t="str" cm="1">
        <f t="array" ref="F759">_xlfn.XLOOKUP(fsales[[#This Row],[ProductID]],dProduct[[#All],[ProductID]],dProduct[[#All],[Product]])</f>
        <v>Quad</v>
      </c>
      <c r="G759" s="11" t="str" cm="1">
        <f t="array" ref="G759">_xlfn.XLOOKUP(fsales[[#This Row],[ProductID]],dProduct[[#All],[ProductID]],dProduct[[#All],[Supplier]])</f>
        <v>Gel Booms</v>
      </c>
      <c r="H759" s="11" t="str" cm="1">
        <f t="array" ref="H759">_xlfn.XLOOKUP(fsales[[#This Row],[SalesRepID]],dSalesRep[[#All],[SalesRepID]],dSalesRep[[#All],[Region]])</f>
        <v>WA</v>
      </c>
    </row>
    <row r="760" spans="1:8" x14ac:dyDescent="0.3">
      <c r="A760" s="1">
        <v>45594</v>
      </c>
      <c r="B760">
        <v>3</v>
      </c>
      <c r="C760">
        <v>2</v>
      </c>
      <c r="D760">
        <v>94</v>
      </c>
      <c r="E760" s="11" cm="1">
        <f t="array" ref="E760">_xlfn.XLOOKUP(fsales[[#This Row],[ProductID]],dProduct[[#All],[ProductID]],dProduct[[#All],[Price]])*fsales[[#This Row],[Units]]</f>
        <v>2439.2999999999997</v>
      </c>
      <c r="F760" s="11" t="str" cm="1">
        <f t="array" ref="F760">_xlfn.XLOOKUP(fsales[[#This Row],[ProductID]],dProduct[[#All],[ProductID]],dProduct[[#All],[Product]])</f>
        <v>Aspen</v>
      </c>
      <c r="G760" s="11" t="str" cm="1">
        <f t="array" ref="G760">_xlfn.XLOOKUP(fsales[[#This Row],[ProductID]],dProduct[[#All],[ProductID]],dProduct[[#All],[Supplier]])</f>
        <v>Colorado Booms</v>
      </c>
      <c r="H760" s="11" t="str" cm="1">
        <f t="array" ref="H760">_xlfn.XLOOKUP(fsales[[#This Row],[SalesRepID]],dSalesRep[[#All],[SalesRepID]],dSalesRep[[#All],[Region]])</f>
        <v>CA</v>
      </c>
    </row>
    <row r="761" spans="1:8" x14ac:dyDescent="0.3">
      <c r="A761" s="1">
        <v>45307</v>
      </c>
      <c r="B761">
        <v>2</v>
      </c>
      <c r="C761">
        <v>2</v>
      </c>
      <c r="D761">
        <v>247</v>
      </c>
      <c r="E761" s="11" cm="1">
        <f t="array" ref="E761">_xlfn.XLOOKUP(fsales[[#This Row],[ProductID]],dProduct[[#All],[ProductID]],dProduct[[#All],[Price]])*fsales[[#This Row],[Units]]</f>
        <v>7397.65</v>
      </c>
      <c r="F761" s="11" t="str" cm="1">
        <f t="array" ref="F761">_xlfn.XLOOKUP(fsales[[#This Row],[ProductID]],dProduct[[#All],[ProductID]],dProduct[[#All],[Product]])</f>
        <v>Carlota</v>
      </c>
      <c r="G761" s="11" t="str" cm="1">
        <f t="array" ref="G761">_xlfn.XLOOKUP(fsales[[#This Row],[ProductID]],dProduct[[#All],[ProductID]],dProduct[[#All],[Supplier]])</f>
        <v>Gel Booms</v>
      </c>
      <c r="H761" s="11" t="str" cm="1">
        <f t="array" ref="H761">_xlfn.XLOOKUP(fsales[[#This Row],[SalesRepID]],dSalesRep[[#All],[SalesRepID]],dSalesRep[[#All],[Region]])</f>
        <v>CA</v>
      </c>
    </row>
    <row r="762" spans="1:8" x14ac:dyDescent="0.3">
      <c r="A762" s="1">
        <v>45451</v>
      </c>
      <c r="B762">
        <v>2</v>
      </c>
      <c r="C762">
        <v>2</v>
      </c>
      <c r="D762">
        <v>73</v>
      </c>
      <c r="E762" s="11" cm="1">
        <f t="array" ref="E762">_xlfn.XLOOKUP(fsales[[#This Row],[ProductID]],dProduct[[#All],[ProductID]],dProduct[[#All],[Price]])*fsales[[#This Row],[Units]]</f>
        <v>2186.35</v>
      </c>
      <c r="F762" s="11" t="str" cm="1">
        <f t="array" ref="F762">_xlfn.XLOOKUP(fsales[[#This Row],[ProductID]],dProduct[[#All],[ProductID]],dProduct[[#All],[Product]])</f>
        <v>Carlota</v>
      </c>
      <c r="G762" s="11" t="str" cm="1">
        <f t="array" ref="G762">_xlfn.XLOOKUP(fsales[[#This Row],[ProductID]],dProduct[[#All],[ProductID]],dProduct[[#All],[Supplier]])</f>
        <v>Gel Booms</v>
      </c>
      <c r="H762" s="11" t="str" cm="1">
        <f t="array" ref="H762">_xlfn.XLOOKUP(fsales[[#This Row],[SalesRepID]],dSalesRep[[#All],[SalesRepID]],dSalesRep[[#All],[Region]])</f>
        <v>CA</v>
      </c>
    </row>
    <row r="763" spans="1:8" x14ac:dyDescent="0.3">
      <c r="A763" s="1">
        <v>45649</v>
      </c>
      <c r="B763">
        <v>3</v>
      </c>
      <c r="C763">
        <v>2</v>
      </c>
      <c r="D763">
        <v>40</v>
      </c>
      <c r="E763" s="11" cm="1">
        <f t="array" ref="E763">_xlfn.XLOOKUP(fsales[[#This Row],[ProductID]],dProduct[[#All],[ProductID]],dProduct[[#All],[Price]])*fsales[[#This Row],[Units]]</f>
        <v>1038</v>
      </c>
      <c r="F763" s="11" t="str" cm="1">
        <f t="array" ref="F763">_xlfn.XLOOKUP(fsales[[#This Row],[ProductID]],dProduct[[#All],[ProductID]],dProduct[[#All],[Product]])</f>
        <v>Aspen</v>
      </c>
      <c r="G763" s="11" t="str" cm="1">
        <f t="array" ref="G763">_xlfn.XLOOKUP(fsales[[#This Row],[ProductID]],dProduct[[#All],[ProductID]],dProduct[[#All],[Supplier]])</f>
        <v>Colorado Booms</v>
      </c>
      <c r="H763" s="11" t="str" cm="1">
        <f t="array" ref="H763">_xlfn.XLOOKUP(fsales[[#This Row],[SalesRepID]],dSalesRep[[#All],[SalesRepID]],dSalesRep[[#All],[Region]])</f>
        <v>CA</v>
      </c>
    </row>
    <row r="764" spans="1:8" x14ac:dyDescent="0.3">
      <c r="A764" s="1">
        <v>45656</v>
      </c>
      <c r="B764">
        <v>2</v>
      </c>
      <c r="C764">
        <v>4</v>
      </c>
      <c r="D764">
        <v>111</v>
      </c>
      <c r="E764" s="11" cm="1">
        <f t="array" ref="E764">_xlfn.XLOOKUP(fsales[[#This Row],[ProductID]],dProduct[[#All],[ProductID]],dProduct[[#All],[Price]])*fsales[[#This Row],[Units]]</f>
        <v>3324.45</v>
      </c>
      <c r="F764" s="11" t="str" cm="1">
        <f t="array" ref="F764">_xlfn.XLOOKUP(fsales[[#This Row],[ProductID]],dProduct[[#All],[ProductID]],dProduct[[#All],[Product]])</f>
        <v>Carlota</v>
      </c>
      <c r="G764" s="11" t="str" cm="1">
        <f t="array" ref="G764">_xlfn.XLOOKUP(fsales[[#This Row],[ProductID]],dProduct[[#All],[ProductID]],dProduct[[#All],[Supplier]])</f>
        <v>Gel Booms</v>
      </c>
      <c r="H764" s="11" t="str" cm="1">
        <f t="array" ref="H764">_xlfn.XLOOKUP(fsales[[#This Row],[SalesRepID]],dSalesRep[[#All],[SalesRepID]],dSalesRep[[#All],[Region]])</f>
        <v>WA</v>
      </c>
    </row>
    <row r="765" spans="1:8" x14ac:dyDescent="0.3">
      <c r="A765" s="1">
        <v>45436</v>
      </c>
      <c r="B765">
        <v>2</v>
      </c>
      <c r="C765">
        <v>2</v>
      </c>
      <c r="D765">
        <v>162</v>
      </c>
      <c r="E765" s="11" cm="1">
        <f t="array" ref="E765">_xlfn.XLOOKUP(fsales[[#This Row],[ProductID]],dProduct[[#All],[ProductID]],dProduct[[#All],[Price]])*fsales[[#This Row],[Units]]</f>
        <v>4851.8999999999996</v>
      </c>
      <c r="F765" s="11" t="str" cm="1">
        <f t="array" ref="F765">_xlfn.XLOOKUP(fsales[[#This Row],[ProductID]],dProduct[[#All],[ProductID]],dProduct[[#All],[Product]])</f>
        <v>Carlota</v>
      </c>
      <c r="G765" s="11" t="str" cm="1">
        <f t="array" ref="G765">_xlfn.XLOOKUP(fsales[[#This Row],[ProductID]],dProduct[[#All],[ProductID]],dProduct[[#All],[Supplier]])</f>
        <v>Gel Booms</v>
      </c>
      <c r="H765" s="11" t="str" cm="1">
        <f t="array" ref="H765">_xlfn.XLOOKUP(fsales[[#This Row],[SalesRepID]],dSalesRep[[#All],[SalesRepID]],dSalesRep[[#All],[Region]])</f>
        <v>CA</v>
      </c>
    </row>
    <row r="766" spans="1:8" x14ac:dyDescent="0.3">
      <c r="A766" s="1">
        <v>45654</v>
      </c>
      <c r="B766">
        <v>2</v>
      </c>
      <c r="C766">
        <v>1</v>
      </c>
      <c r="D766">
        <v>78</v>
      </c>
      <c r="E766" s="11" cm="1">
        <f t="array" ref="E766">_xlfn.XLOOKUP(fsales[[#This Row],[ProductID]],dProduct[[#All],[ProductID]],dProduct[[#All],[Price]])*fsales[[#This Row],[Units]]</f>
        <v>2336.1</v>
      </c>
      <c r="F766" s="11" t="str" cm="1">
        <f t="array" ref="F766">_xlfn.XLOOKUP(fsales[[#This Row],[ProductID]],dProduct[[#All],[ProductID]],dProduct[[#All],[Product]])</f>
        <v>Carlota</v>
      </c>
      <c r="G766" s="11" t="str" cm="1">
        <f t="array" ref="G766">_xlfn.XLOOKUP(fsales[[#This Row],[ProductID]],dProduct[[#All],[ProductID]],dProduct[[#All],[Supplier]])</f>
        <v>Gel Booms</v>
      </c>
      <c r="H766" s="11" t="str" cm="1">
        <f t="array" ref="H766">_xlfn.XLOOKUP(fsales[[#This Row],[SalesRepID]],dSalesRep[[#All],[SalesRepID]],dSalesRep[[#All],[Region]])</f>
        <v>CA</v>
      </c>
    </row>
    <row r="767" spans="1:8" x14ac:dyDescent="0.3">
      <c r="A767" s="1">
        <v>45498</v>
      </c>
      <c r="B767">
        <v>3</v>
      </c>
      <c r="C767">
        <v>4</v>
      </c>
      <c r="D767">
        <v>83</v>
      </c>
      <c r="E767" s="11" cm="1">
        <f t="array" ref="E767">_xlfn.XLOOKUP(fsales[[#This Row],[ProductID]],dProduct[[#All],[ProductID]],dProduct[[#All],[Price]])*fsales[[#This Row],[Units]]</f>
        <v>2153.85</v>
      </c>
      <c r="F767" s="11" t="str" cm="1">
        <f t="array" ref="F767">_xlfn.XLOOKUP(fsales[[#This Row],[ProductID]],dProduct[[#All],[ProductID]],dProduct[[#All],[Product]])</f>
        <v>Aspen</v>
      </c>
      <c r="G767" s="11" t="str" cm="1">
        <f t="array" ref="G767">_xlfn.XLOOKUP(fsales[[#This Row],[ProductID]],dProduct[[#All],[ProductID]],dProduct[[#All],[Supplier]])</f>
        <v>Colorado Booms</v>
      </c>
      <c r="H767" s="11" t="str" cm="1">
        <f t="array" ref="H767">_xlfn.XLOOKUP(fsales[[#This Row],[SalesRepID]],dSalesRep[[#All],[SalesRepID]],dSalesRep[[#All],[Region]])</f>
        <v>WA</v>
      </c>
    </row>
    <row r="768" spans="1:8" x14ac:dyDescent="0.3">
      <c r="A768" s="1">
        <v>45495</v>
      </c>
      <c r="B768">
        <v>3</v>
      </c>
      <c r="C768">
        <v>4</v>
      </c>
      <c r="D768">
        <v>5</v>
      </c>
      <c r="E768" s="11" cm="1">
        <f t="array" ref="E768">_xlfn.XLOOKUP(fsales[[#This Row],[ProductID]],dProduct[[#All],[ProductID]],dProduct[[#All],[Price]])*fsales[[#This Row],[Units]]</f>
        <v>129.75</v>
      </c>
      <c r="F768" s="11" t="str" cm="1">
        <f t="array" ref="F768">_xlfn.XLOOKUP(fsales[[#This Row],[ProductID]],dProduct[[#All],[ProductID]],dProduct[[#All],[Product]])</f>
        <v>Aspen</v>
      </c>
      <c r="G768" s="11" t="str" cm="1">
        <f t="array" ref="G768">_xlfn.XLOOKUP(fsales[[#This Row],[ProductID]],dProduct[[#All],[ProductID]],dProduct[[#All],[Supplier]])</f>
        <v>Colorado Booms</v>
      </c>
      <c r="H768" s="11" t="str" cm="1">
        <f t="array" ref="H768">_xlfn.XLOOKUP(fsales[[#This Row],[SalesRepID]],dSalesRep[[#All],[SalesRepID]],dSalesRep[[#All],[Region]])</f>
        <v>WA</v>
      </c>
    </row>
    <row r="769" spans="1:8" x14ac:dyDescent="0.3">
      <c r="A769" s="1">
        <v>45616</v>
      </c>
      <c r="B769">
        <v>2</v>
      </c>
      <c r="C769">
        <v>4</v>
      </c>
      <c r="D769">
        <v>84</v>
      </c>
      <c r="E769" s="11" cm="1">
        <f t="array" ref="E769">_xlfn.XLOOKUP(fsales[[#This Row],[ProductID]],dProduct[[#All],[ProductID]],dProduct[[#All],[Price]])*fsales[[#This Row],[Units]]</f>
        <v>2515.7999999999997</v>
      </c>
      <c r="F769" s="11" t="str" cm="1">
        <f t="array" ref="F769">_xlfn.XLOOKUP(fsales[[#This Row],[ProductID]],dProduct[[#All],[ProductID]],dProduct[[#All],[Product]])</f>
        <v>Carlota</v>
      </c>
      <c r="G769" s="11" t="str" cm="1">
        <f t="array" ref="G769">_xlfn.XLOOKUP(fsales[[#This Row],[ProductID]],dProduct[[#All],[ProductID]],dProduct[[#All],[Supplier]])</f>
        <v>Gel Booms</v>
      </c>
      <c r="H769" s="11" t="str" cm="1">
        <f t="array" ref="H769">_xlfn.XLOOKUP(fsales[[#This Row],[SalesRepID]],dSalesRep[[#All],[SalesRepID]],dSalesRep[[#All],[Region]])</f>
        <v>WA</v>
      </c>
    </row>
    <row r="770" spans="1:8" x14ac:dyDescent="0.3">
      <c r="A770" s="1">
        <v>45456</v>
      </c>
      <c r="B770">
        <v>3</v>
      </c>
      <c r="C770">
        <v>3</v>
      </c>
      <c r="D770">
        <v>267</v>
      </c>
      <c r="E770" s="11" cm="1">
        <f t="array" ref="E770">_xlfn.XLOOKUP(fsales[[#This Row],[ProductID]],dProduct[[#All],[ProductID]],dProduct[[#All],[Price]])*fsales[[#This Row],[Units]]</f>
        <v>6928.65</v>
      </c>
      <c r="F770" s="11" t="str" cm="1">
        <f t="array" ref="F770">_xlfn.XLOOKUP(fsales[[#This Row],[ProductID]],dProduct[[#All],[ProductID]],dProduct[[#All],[Product]])</f>
        <v>Aspen</v>
      </c>
      <c r="G770" s="11" t="str" cm="1">
        <f t="array" ref="G770">_xlfn.XLOOKUP(fsales[[#This Row],[ProductID]],dProduct[[#All],[ProductID]],dProduct[[#All],[Supplier]])</f>
        <v>Colorado Booms</v>
      </c>
      <c r="H770" s="11" t="str" cm="1">
        <f t="array" ref="H770">_xlfn.XLOOKUP(fsales[[#This Row],[SalesRepID]],dSalesRep[[#All],[SalesRepID]],dSalesRep[[#All],[Region]])</f>
        <v>WA</v>
      </c>
    </row>
    <row r="771" spans="1:8" x14ac:dyDescent="0.3">
      <c r="A771" s="1">
        <v>45571</v>
      </c>
      <c r="B771">
        <v>2</v>
      </c>
      <c r="C771">
        <v>2</v>
      </c>
      <c r="D771">
        <v>61</v>
      </c>
      <c r="E771" s="11" cm="1">
        <f t="array" ref="E771">_xlfn.XLOOKUP(fsales[[#This Row],[ProductID]],dProduct[[#All],[ProductID]],dProduct[[#All],[Price]])*fsales[[#This Row],[Units]]</f>
        <v>1826.95</v>
      </c>
      <c r="F771" s="11" t="str" cm="1">
        <f t="array" ref="F771">_xlfn.XLOOKUP(fsales[[#This Row],[ProductID]],dProduct[[#All],[ProductID]],dProduct[[#All],[Product]])</f>
        <v>Carlota</v>
      </c>
      <c r="G771" s="11" t="str" cm="1">
        <f t="array" ref="G771">_xlfn.XLOOKUP(fsales[[#This Row],[ProductID]],dProduct[[#All],[ProductID]],dProduct[[#All],[Supplier]])</f>
        <v>Gel Booms</v>
      </c>
      <c r="H771" s="11" t="str" cm="1">
        <f t="array" ref="H771">_xlfn.XLOOKUP(fsales[[#This Row],[SalesRepID]],dSalesRep[[#All],[SalesRepID]],dSalesRep[[#All],[Region]])</f>
        <v>CA</v>
      </c>
    </row>
    <row r="772" spans="1:8" x14ac:dyDescent="0.3">
      <c r="A772" s="1">
        <v>45405</v>
      </c>
      <c r="B772">
        <v>3</v>
      </c>
      <c r="C772">
        <v>2</v>
      </c>
      <c r="D772">
        <v>3</v>
      </c>
      <c r="E772" s="11" cm="1">
        <f t="array" ref="E772">_xlfn.XLOOKUP(fsales[[#This Row],[ProductID]],dProduct[[#All],[ProductID]],dProduct[[#All],[Price]])*fsales[[#This Row],[Units]]</f>
        <v>77.849999999999994</v>
      </c>
      <c r="F772" s="11" t="str" cm="1">
        <f t="array" ref="F772">_xlfn.XLOOKUP(fsales[[#This Row],[ProductID]],dProduct[[#All],[ProductID]],dProduct[[#All],[Product]])</f>
        <v>Aspen</v>
      </c>
      <c r="G772" s="11" t="str" cm="1">
        <f t="array" ref="G772">_xlfn.XLOOKUP(fsales[[#This Row],[ProductID]],dProduct[[#All],[ProductID]],dProduct[[#All],[Supplier]])</f>
        <v>Colorado Booms</v>
      </c>
      <c r="H772" s="11" t="str" cm="1">
        <f t="array" ref="H772">_xlfn.XLOOKUP(fsales[[#This Row],[SalesRepID]],dSalesRep[[#All],[SalesRepID]],dSalesRep[[#All],[Region]])</f>
        <v>CA</v>
      </c>
    </row>
    <row r="773" spans="1:8" x14ac:dyDescent="0.3">
      <c r="A773" s="1">
        <v>45602</v>
      </c>
      <c r="B773">
        <v>2</v>
      </c>
      <c r="C773">
        <v>4</v>
      </c>
      <c r="D773">
        <v>4</v>
      </c>
      <c r="E773" s="11" cm="1">
        <f t="array" ref="E773">_xlfn.XLOOKUP(fsales[[#This Row],[ProductID]],dProduct[[#All],[ProductID]],dProduct[[#All],[Price]])*fsales[[#This Row],[Units]]</f>
        <v>119.8</v>
      </c>
      <c r="F773" s="11" t="str" cm="1">
        <f t="array" ref="F773">_xlfn.XLOOKUP(fsales[[#This Row],[ProductID]],dProduct[[#All],[ProductID]],dProduct[[#All],[Product]])</f>
        <v>Carlota</v>
      </c>
      <c r="G773" s="11" t="str" cm="1">
        <f t="array" ref="G773">_xlfn.XLOOKUP(fsales[[#This Row],[ProductID]],dProduct[[#All],[ProductID]],dProduct[[#All],[Supplier]])</f>
        <v>Gel Booms</v>
      </c>
      <c r="H773" s="11" t="str" cm="1">
        <f t="array" ref="H773">_xlfn.XLOOKUP(fsales[[#This Row],[SalesRepID]],dSalesRep[[#All],[SalesRepID]],dSalesRep[[#All],[Region]])</f>
        <v>WA</v>
      </c>
    </row>
    <row r="774" spans="1:8" x14ac:dyDescent="0.3">
      <c r="A774" s="1">
        <v>45484</v>
      </c>
      <c r="B774">
        <v>2</v>
      </c>
      <c r="C774">
        <v>4</v>
      </c>
      <c r="D774">
        <v>113</v>
      </c>
      <c r="E774" s="11" cm="1">
        <f t="array" ref="E774">_xlfn.XLOOKUP(fsales[[#This Row],[ProductID]],dProduct[[#All],[ProductID]],dProduct[[#All],[Price]])*fsales[[#This Row],[Units]]</f>
        <v>3384.35</v>
      </c>
      <c r="F774" s="11" t="str" cm="1">
        <f t="array" ref="F774">_xlfn.XLOOKUP(fsales[[#This Row],[ProductID]],dProduct[[#All],[ProductID]],dProduct[[#All],[Product]])</f>
        <v>Carlota</v>
      </c>
      <c r="G774" s="11" t="str" cm="1">
        <f t="array" ref="G774">_xlfn.XLOOKUP(fsales[[#This Row],[ProductID]],dProduct[[#All],[ProductID]],dProduct[[#All],[Supplier]])</f>
        <v>Gel Booms</v>
      </c>
      <c r="H774" s="11" t="str" cm="1">
        <f t="array" ref="H774">_xlfn.XLOOKUP(fsales[[#This Row],[SalesRepID]],dSalesRep[[#All],[SalesRepID]],dSalesRep[[#All],[Region]])</f>
        <v>WA</v>
      </c>
    </row>
    <row r="775" spans="1:8" x14ac:dyDescent="0.3">
      <c r="A775" s="1">
        <v>45493</v>
      </c>
      <c r="B775">
        <v>2</v>
      </c>
      <c r="C775">
        <v>1</v>
      </c>
      <c r="D775">
        <v>83</v>
      </c>
      <c r="E775" s="11" cm="1">
        <f t="array" ref="E775">_xlfn.XLOOKUP(fsales[[#This Row],[ProductID]],dProduct[[#All],[ProductID]],dProduct[[#All],[Price]])*fsales[[#This Row],[Units]]</f>
        <v>2485.85</v>
      </c>
      <c r="F775" s="11" t="str" cm="1">
        <f t="array" ref="F775">_xlfn.XLOOKUP(fsales[[#This Row],[ProductID]],dProduct[[#All],[ProductID]],dProduct[[#All],[Product]])</f>
        <v>Carlota</v>
      </c>
      <c r="G775" s="11" t="str" cm="1">
        <f t="array" ref="G775">_xlfn.XLOOKUP(fsales[[#This Row],[ProductID]],dProduct[[#All],[ProductID]],dProduct[[#All],[Supplier]])</f>
        <v>Gel Booms</v>
      </c>
      <c r="H775" s="11" t="str" cm="1">
        <f t="array" ref="H775">_xlfn.XLOOKUP(fsales[[#This Row],[SalesRepID]],dSalesRep[[#All],[SalesRepID]],dSalesRep[[#All],[Region]])</f>
        <v>CA</v>
      </c>
    </row>
    <row r="776" spans="1:8" x14ac:dyDescent="0.3">
      <c r="A776" s="1">
        <v>45585</v>
      </c>
      <c r="B776">
        <v>3</v>
      </c>
      <c r="C776">
        <v>2</v>
      </c>
      <c r="D776">
        <v>23</v>
      </c>
      <c r="E776" s="11" cm="1">
        <f t="array" ref="E776">_xlfn.XLOOKUP(fsales[[#This Row],[ProductID]],dProduct[[#All],[ProductID]],dProduct[[#All],[Price]])*fsales[[#This Row],[Units]]</f>
        <v>596.85</v>
      </c>
      <c r="F776" s="11" t="str" cm="1">
        <f t="array" ref="F776">_xlfn.XLOOKUP(fsales[[#This Row],[ProductID]],dProduct[[#All],[ProductID]],dProduct[[#All],[Product]])</f>
        <v>Aspen</v>
      </c>
      <c r="G776" s="11" t="str" cm="1">
        <f t="array" ref="G776">_xlfn.XLOOKUP(fsales[[#This Row],[ProductID]],dProduct[[#All],[ProductID]],dProduct[[#All],[Supplier]])</f>
        <v>Colorado Booms</v>
      </c>
      <c r="H776" s="11" t="str" cm="1">
        <f t="array" ref="H776">_xlfn.XLOOKUP(fsales[[#This Row],[SalesRepID]],dSalesRep[[#All],[SalesRepID]],dSalesRep[[#All],[Region]])</f>
        <v>CA</v>
      </c>
    </row>
    <row r="777" spans="1:8" x14ac:dyDescent="0.3">
      <c r="A777" s="1">
        <v>45387</v>
      </c>
      <c r="B777">
        <v>1</v>
      </c>
      <c r="C777">
        <v>4</v>
      </c>
      <c r="D777">
        <v>300</v>
      </c>
      <c r="E777" s="11" cm="1">
        <f t="array" ref="E777">_xlfn.XLOOKUP(fsales[[#This Row],[ProductID]],dProduct[[#All],[ProductID]],dProduct[[#All],[Price]])*fsales[[#This Row],[Units]]</f>
        <v>13185</v>
      </c>
      <c r="F777" s="11" t="str" cm="1">
        <f t="array" ref="F777">_xlfn.XLOOKUP(fsales[[#This Row],[ProductID]],dProduct[[#All],[ProductID]],dProduct[[#All],[Product]])</f>
        <v>Quad</v>
      </c>
      <c r="G777" s="11" t="str" cm="1">
        <f t="array" ref="G777">_xlfn.XLOOKUP(fsales[[#This Row],[ProductID]],dProduct[[#All],[ProductID]],dProduct[[#All],[Supplier]])</f>
        <v>Gel Booms</v>
      </c>
      <c r="H777" s="11" t="str" cm="1">
        <f t="array" ref="H777">_xlfn.XLOOKUP(fsales[[#This Row],[SalesRepID]],dSalesRep[[#All],[SalesRepID]],dSalesRep[[#All],[Region]])</f>
        <v>WA</v>
      </c>
    </row>
    <row r="778" spans="1:8" x14ac:dyDescent="0.3">
      <c r="A778" s="1">
        <v>45553</v>
      </c>
      <c r="B778">
        <v>2</v>
      </c>
      <c r="C778">
        <v>2</v>
      </c>
      <c r="D778">
        <v>4</v>
      </c>
      <c r="E778" s="11" cm="1">
        <f t="array" ref="E778">_xlfn.XLOOKUP(fsales[[#This Row],[ProductID]],dProduct[[#All],[ProductID]],dProduct[[#All],[Price]])*fsales[[#This Row],[Units]]</f>
        <v>119.8</v>
      </c>
      <c r="F778" s="11" t="str" cm="1">
        <f t="array" ref="F778">_xlfn.XLOOKUP(fsales[[#This Row],[ProductID]],dProduct[[#All],[ProductID]],dProduct[[#All],[Product]])</f>
        <v>Carlota</v>
      </c>
      <c r="G778" s="11" t="str" cm="1">
        <f t="array" ref="G778">_xlfn.XLOOKUP(fsales[[#This Row],[ProductID]],dProduct[[#All],[ProductID]],dProduct[[#All],[Supplier]])</f>
        <v>Gel Booms</v>
      </c>
      <c r="H778" s="11" t="str" cm="1">
        <f t="array" ref="H778">_xlfn.XLOOKUP(fsales[[#This Row],[SalesRepID]],dSalesRep[[#All],[SalesRepID]],dSalesRep[[#All],[Region]])</f>
        <v>CA</v>
      </c>
    </row>
    <row r="779" spans="1:8" x14ac:dyDescent="0.3">
      <c r="A779" s="1">
        <v>45614</v>
      </c>
      <c r="B779">
        <v>2</v>
      </c>
      <c r="C779">
        <v>2</v>
      </c>
      <c r="D779">
        <v>2</v>
      </c>
      <c r="E779" s="11" cm="1">
        <f t="array" ref="E779">_xlfn.XLOOKUP(fsales[[#This Row],[ProductID]],dProduct[[#All],[ProductID]],dProduct[[#All],[Price]])*fsales[[#This Row],[Units]]</f>
        <v>59.9</v>
      </c>
      <c r="F779" s="11" t="str" cm="1">
        <f t="array" ref="F779">_xlfn.XLOOKUP(fsales[[#This Row],[ProductID]],dProduct[[#All],[ProductID]],dProduct[[#All],[Product]])</f>
        <v>Carlota</v>
      </c>
      <c r="G779" s="11" t="str" cm="1">
        <f t="array" ref="G779">_xlfn.XLOOKUP(fsales[[#This Row],[ProductID]],dProduct[[#All],[ProductID]],dProduct[[#All],[Supplier]])</f>
        <v>Gel Booms</v>
      </c>
      <c r="H779" s="11" t="str" cm="1">
        <f t="array" ref="H779">_xlfn.XLOOKUP(fsales[[#This Row],[SalesRepID]],dSalesRep[[#All],[SalesRepID]],dSalesRep[[#All],[Region]])</f>
        <v>CA</v>
      </c>
    </row>
    <row r="780" spans="1:8" x14ac:dyDescent="0.3">
      <c r="A780" s="1">
        <v>45584</v>
      </c>
      <c r="B780">
        <v>1</v>
      </c>
      <c r="C780">
        <v>1</v>
      </c>
      <c r="D780">
        <v>5</v>
      </c>
      <c r="E780" s="11" cm="1">
        <f t="array" ref="E780">_xlfn.XLOOKUP(fsales[[#This Row],[ProductID]],dProduct[[#All],[ProductID]],dProduct[[#All],[Price]])*fsales[[#This Row],[Units]]</f>
        <v>219.75</v>
      </c>
      <c r="F780" s="11" t="str" cm="1">
        <f t="array" ref="F780">_xlfn.XLOOKUP(fsales[[#This Row],[ProductID]],dProduct[[#All],[ProductID]],dProduct[[#All],[Product]])</f>
        <v>Quad</v>
      </c>
      <c r="G780" s="11" t="str" cm="1">
        <f t="array" ref="G780">_xlfn.XLOOKUP(fsales[[#This Row],[ProductID]],dProduct[[#All],[ProductID]],dProduct[[#All],[Supplier]])</f>
        <v>Gel Booms</v>
      </c>
      <c r="H780" s="11" t="str" cm="1">
        <f t="array" ref="H780">_xlfn.XLOOKUP(fsales[[#This Row],[SalesRepID]],dSalesRep[[#All],[SalesRepID]],dSalesRep[[#All],[Region]])</f>
        <v>CA</v>
      </c>
    </row>
    <row r="781" spans="1:8" x14ac:dyDescent="0.3">
      <c r="A781" s="1">
        <v>45330</v>
      </c>
      <c r="B781">
        <v>1</v>
      </c>
      <c r="C781">
        <v>2</v>
      </c>
      <c r="D781">
        <v>6</v>
      </c>
      <c r="E781" s="11" cm="1">
        <f t="array" ref="E781">_xlfn.XLOOKUP(fsales[[#This Row],[ProductID]],dProduct[[#All],[ProductID]],dProduct[[#All],[Price]])*fsales[[#This Row],[Units]]</f>
        <v>263.70000000000005</v>
      </c>
      <c r="F781" s="11" t="str" cm="1">
        <f t="array" ref="F781">_xlfn.XLOOKUP(fsales[[#This Row],[ProductID]],dProduct[[#All],[ProductID]],dProduct[[#All],[Product]])</f>
        <v>Quad</v>
      </c>
      <c r="G781" s="11" t="str" cm="1">
        <f t="array" ref="G781">_xlfn.XLOOKUP(fsales[[#This Row],[ProductID]],dProduct[[#All],[ProductID]],dProduct[[#All],[Supplier]])</f>
        <v>Gel Booms</v>
      </c>
      <c r="H781" s="11" t="str" cm="1">
        <f t="array" ref="H781">_xlfn.XLOOKUP(fsales[[#This Row],[SalesRepID]],dSalesRep[[#All],[SalesRepID]],dSalesRep[[#All],[Region]])</f>
        <v>CA</v>
      </c>
    </row>
    <row r="782" spans="1:8" x14ac:dyDescent="0.3">
      <c r="A782" s="1">
        <v>45353</v>
      </c>
      <c r="B782">
        <v>2</v>
      </c>
      <c r="C782">
        <v>2</v>
      </c>
      <c r="D782">
        <v>94</v>
      </c>
      <c r="E782" s="11" cm="1">
        <f t="array" ref="E782">_xlfn.XLOOKUP(fsales[[#This Row],[ProductID]],dProduct[[#All],[ProductID]],dProduct[[#All],[Price]])*fsales[[#This Row],[Units]]</f>
        <v>2815.2999999999997</v>
      </c>
      <c r="F782" s="11" t="str" cm="1">
        <f t="array" ref="F782">_xlfn.XLOOKUP(fsales[[#This Row],[ProductID]],dProduct[[#All],[ProductID]],dProduct[[#All],[Product]])</f>
        <v>Carlota</v>
      </c>
      <c r="G782" s="11" t="str" cm="1">
        <f t="array" ref="G782">_xlfn.XLOOKUP(fsales[[#This Row],[ProductID]],dProduct[[#All],[ProductID]],dProduct[[#All],[Supplier]])</f>
        <v>Gel Booms</v>
      </c>
      <c r="H782" s="11" t="str" cm="1">
        <f t="array" ref="H782">_xlfn.XLOOKUP(fsales[[#This Row],[SalesRepID]],dSalesRep[[#All],[SalesRepID]],dSalesRep[[#All],[Region]])</f>
        <v>CA</v>
      </c>
    </row>
    <row r="783" spans="1:8" x14ac:dyDescent="0.3">
      <c r="A783" s="1">
        <v>45635</v>
      </c>
      <c r="B783">
        <v>2</v>
      </c>
      <c r="C783">
        <v>4</v>
      </c>
      <c r="D783">
        <v>1</v>
      </c>
      <c r="E783" s="11" cm="1">
        <f t="array" ref="E783">_xlfn.XLOOKUP(fsales[[#This Row],[ProductID]],dProduct[[#All],[ProductID]],dProduct[[#All],[Price]])*fsales[[#This Row],[Units]]</f>
        <v>29.95</v>
      </c>
      <c r="F783" s="11" t="str" cm="1">
        <f t="array" ref="F783">_xlfn.XLOOKUP(fsales[[#This Row],[ProductID]],dProduct[[#All],[ProductID]],dProduct[[#All],[Product]])</f>
        <v>Carlota</v>
      </c>
      <c r="G783" s="11" t="str" cm="1">
        <f t="array" ref="G783">_xlfn.XLOOKUP(fsales[[#This Row],[ProductID]],dProduct[[#All],[ProductID]],dProduct[[#All],[Supplier]])</f>
        <v>Gel Booms</v>
      </c>
      <c r="H783" s="11" t="str" cm="1">
        <f t="array" ref="H783">_xlfn.XLOOKUP(fsales[[#This Row],[SalesRepID]],dSalesRep[[#All],[SalesRepID]],dSalesRep[[#All],[Region]])</f>
        <v>WA</v>
      </c>
    </row>
    <row r="784" spans="1:8" x14ac:dyDescent="0.3">
      <c r="A784" s="1">
        <v>45657</v>
      </c>
      <c r="B784">
        <v>2</v>
      </c>
      <c r="C784">
        <v>4</v>
      </c>
      <c r="D784">
        <v>74</v>
      </c>
      <c r="E784" s="11" cm="1">
        <f t="array" ref="E784">_xlfn.XLOOKUP(fsales[[#This Row],[ProductID]],dProduct[[#All],[ProductID]],dProduct[[#All],[Price]])*fsales[[#This Row],[Units]]</f>
        <v>2216.2999999999997</v>
      </c>
      <c r="F784" s="11" t="str" cm="1">
        <f t="array" ref="F784">_xlfn.XLOOKUP(fsales[[#This Row],[ProductID]],dProduct[[#All],[ProductID]],dProduct[[#All],[Product]])</f>
        <v>Carlota</v>
      </c>
      <c r="G784" s="11" t="str" cm="1">
        <f t="array" ref="G784">_xlfn.XLOOKUP(fsales[[#This Row],[ProductID]],dProduct[[#All],[ProductID]],dProduct[[#All],[Supplier]])</f>
        <v>Gel Booms</v>
      </c>
      <c r="H784" s="11" t="str" cm="1">
        <f t="array" ref="H784">_xlfn.XLOOKUP(fsales[[#This Row],[SalesRepID]],dSalesRep[[#All],[SalesRepID]],dSalesRep[[#All],[Region]])</f>
        <v>WA</v>
      </c>
    </row>
    <row r="785" spans="1:8" x14ac:dyDescent="0.3">
      <c r="A785" s="1">
        <v>45587</v>
      </c>
      <c r="B785">
        <v>2</v>
      </c>
      <c r="C785">
        <v>4</v>
      </c>
      <c r="D785">
        <v>23</v>
      </c>
      <c r="E785" s="11" cm="1">
        <f t="array" ref="E785">_xlfn.XLOOKUP(fsales[[#This Row],[ProductID]],dProduct[[#All],[ProductID]],dProduct[[#All],[Price]])*fsales[[#This Row],[Units]]</f>
        <v>688.85</v>
      </c>
      <c r="F785" s="11" t="str" cm="1">
        <f t="array" ref="F785">_xlfn.XLOOKUP(fsales[[#This Row],[ProductID]],dProduct[[#All],[ProductID]],dProduct[[#All],[Product]])</f>
        <v>Carlota</v>
      </c>
      <c r="G785" s="11" t="str" cm="1">
        <f t="array" ref="G785">_xlfn.XLOOKUP(fsales[[#This Row],[ProductID]],dProduct[[#All],[ProductID]],dProduct[[#All],[Supplier]])</f>
        <v>Gel Booms</v>
      </c>
      <c r="H785" s="11" t="str" cm="1">
        <f t="array" ref="H785">_xlfn.XLOOKUP(fsales[[#This Row],[SalesRepID]],dSalesRep[[#All],[SalesRepID]],dSalesRep[[#All],[Region]])</f>
        <v>WA</v>
      </c>
    </row>
    <row r="786" spans="1:8" x14ac:dyDescent="0.3">
      <c r="A786" s="1">
        <v>45540</v>
      </c>
      <c r="B786">
        <v>2</v>
      </c>
      <c r="C786">
        <v>4</v>
      </c>
      <c r="D786">
        <v>4</v>
      </c>
      <c r="E786" s="11" cm="1">
        <f t="array" ref="E786">_xlfn.XLOOKUP(fsales[[#This Row],[ProductID]],dProduct[[#All],[ProductID]],dProduct[[#All],[Price]])*fsales[[#This Row],[Units]]</f>
        <v>119.8</v>
      </c>
      <c r="F786" s="11" t="str" cm="1">
        <f t="array" ref="F786">_xlfn.XLOOKUP(fsales[[#This Row],[ProductID]],dProduct[[#All],[ProductID]],dProduct[[#All],[Product]])</f>
        <v>Carlota</v>
      </c>
      <c r="G786" s="11" t="str" cm="1">
        <f t="array" ref="G786">_xlfn.XLOOKUP(fsales[[#This Row],[ProductID]],dProduct[[#All],[ProductID]],dProduct[[#All],[Supplier]])</f>
        <v>Gel Booms</v>
      </c>
      <c r="H786" s="11" t="str" cm="1">
        <f t="array" ref="H786">_xlfn.XLOOKUP(fsales[[#This Row],[SalesRepID]],dSalesRep[[#All],[SalesRepID]],dSalesRep[[#All],[Region]])</f>
        <v>WA</v>
      </c>
    </row>
    <row r="787" spans="1:8" x14ac:dyDescent="0.3">
      <c r="A787" s="1">
        <v>45651</v>
      </c>
      <c r="B787">
        <v>2</v>
      </c>
      <c r="C787">
        <v>2</v>
      </c>
      <c r="D787">
        <v>111</v>
      </c>
      <c r="E787" s="11" cm="1">
        <f t="array" ref="E787">_xlfn.XLOOKUP(fsales[[#This Row],[ProductID]],dProduct[[#All],[ProductID]],dProduct[[#All],[Price]])*fsales[[#This Row],[Units]]</f>
        <v>3324.45</v>
      </c>
      <c r="F787" s="11" t="str" cm="1">
        <f t="array" ref="F787">_xlfn.XLOOKUP(fsales[[#This Row],[ProductID]],dProduct[[#All],[ProductID]],dProduct[[#All],[Product]])</f>
        <v>Carlota</v>
      </c>
      <c r="G787" s="11" t="str" cm="1">
        <f t="array" ref="G787">_xlfn.XLOOKUP(fsales[[#This Row],[ProductID]],dProduct[[#All],[ProductID]],dProduct[[#All],[Supplier]])</f>
        <v>Gel Booms</v>
      </c>
      <c r="H787" s="11" t="str" cm="1">
        <f t="array" ref="H787">_xlfn.XLOOKUP(fsales[[#This Row],[SalesRepID]],dSalesRep[[#All],[SalesRepID]],dSalesRep[[#All],[Region]])</f>
        <v>CA</v>
      </c>
    </row>
    <row r="788" spans="1:8" x14ac:dyDescent="0.3">
      <c r="A788" s="1">
        <v>45513</v>
      </c>
      <c r="B788">
        <v>3</v>
      </c>
      <c r="C788">
        <v>1</v>
      </c>
      <c r="D788">
        <v>93</v>
      </c>
      <c r="E788" s="11" cm="1">
        <f t="array" ref="E788">_xlfn.XLOOKUP(fsales[[#This Row],[ProductID]],dProduct[[#All],[ProductID]],dProduct[[#All],[Price]])*fsales[[#This Row],[Units]]</f>
        <v>2413.35</v>
      </c>
      <c r="F788" s="11" t="str" cm="1">
        <f t="array" ref="F788">_xlfn.XLOOKUP(fsales[[#This Row],[ProductID]],dProduct[[#All],[ProductID]],dProduct[[#All],[Product]])</f>
        <v>Aspen</v>
      </c>
      <c r="G788" s="11" t="str" cm="1">
        <f t="array" ref="G788">_xlfn.XLOOKUP(fsales[[#This Row],[ProductID]],dProduct[[#All],[ProductID]],dProduct[[#All],[Supplier]])</f>
        <v>Colorado Booms</v>
      </c>
      <c r="H788" s="11" t="str" cm="1">
        <f t="array" ref="H788">_xlfn.XLOOKUP(fsales[[#This Row],[SalesRepID]],dSalesRep[[#All],[SalesRepID]],dSalesRep[[#All],[Region]])</f>
        <v>CA</v>
      </c>
    </row>
    <row r="789" spans="1:8" x14ac:dyDescent="0.3">
      <c r="A789" s="1">
        <v>45592</v>
      </c>
      <c r="B789">
        <v>2</v>
      </c>
      <c r="C789">
        <v>2</v>
      </c>
      <c r="D789">
        <v>135</v>
      </c>
      <c r="E789" s="11" cm="1">
        <f t="array" ref="E789">_xlfn.XLOOKUP(fsales[[#This Row],[ProductID]],dProduct[[#All],[ProductID]],dProduct[[#All],[Price]])*fsales[[#This Row],[Units]]</f>
        <v>4043.25</v>
      </c>
      <c r="F789" s="11" t="str" cm="1">
        <f t="array" ref="F789">_xlfn.XLOOKUP(fsales[[#This Row],[ProductID]],dProduct[[#All],[ProductID]],dProduct[[#All],[Product]])</f>
        <v>Carlota</v>
      </c>
      <c r="G789" s="11" t="str" cm="1">
        <f t="array" ref="G789">_xlfn.XLOOKUP(fsales[[#This Row],[ProductID]],dProduct[[#All],[ProductID]],dProduct[[#All],[Supplier]])</f>
        <v>Gel Booms</v>
      </c>
      <c r="H789" s="11" t="str" cm="1">
        <f t="array" ref="H789">_xlfn.XLOOKUP(fsales[[#This Row],[SalesRepID]],dSalesRep[[#All],[SalesRepID]],dSalesRep[[#All],[Region]])</f>
        <v>CA</v>
      </c>
    </row>
    <row r="790" spans="1:8" x14ac:dyDescent="0.3">
      <c r="A790" s="1">
        <v>45626</v>
      </c>
      <c r="B790">
        <v>2</v>
      </c>
      <c r="C790">
        <v>2</v>
      </c>
      <c r="D790">
        <v>74</v>
      </c>
      <c r="E790" s="11" cm="1">
        <f t="array" ref="E790">_xlfn.XLOOKUP(fsales[[#This Row],[ProductID]],dProduct[[#All],[ProductID]],dProduct[[#All],[Price]])*fsales[[#This Row],[Units]]</f>
        <v>2216.2999999999997</v>
      </c>
      <c r="F790" s="11" t="str" cm="1">
        <f t="array" ref="F790">_xlfn.XLOOKUP(fsales[[#This Row],[ProductID]],dProduct[[#All],[ProductID]],dProduct[[#All],[Product]])</f>
        <v>Carlota</v>
      </c>
      <c r="G790" s="11" t="str" cm="1">
        <f t="array" ref="G790">_xlfn.XLOOKUP(fsales[[#This Row],[ProductID]],dProduct[[#All],[ProductID]],dProduct[[#All],[Supplier]])</f>
        <v>Gel Booms</v>
      </c>
      <c r="H790" s="11" t="str" cm="1">
        <f t="array" ref="H790">_xlfn.XLOOKUP(fsales[[#This Row],[SalesRepID]],dSalesRep[[#All],[SalesRepID]],dSalesRep[[#All],[Region]])</f>
        <v>CA</v>
      </c>
    </row>
    <row r="791" spans="1:8" x14ac:dyDescent="0.3">
      <c r="A791" s="1">
        <v>45561</v>
      </c>
      <c r="B791">
        <v>2</v>
      </c>
      <c r="C791">
        <v>4</v>
      </c>
      <c r="D791">
        <v>1</v>
      </c>
      <c r="E791" s="11" cm="1">
        <f t="array" ref="E791">_xlfn.XLOOKUP(fsales[[#This Row],[ProductID]],dProduct[[#All],[ProductID]],dProduct[[#All],[Price]])*fsales[[#This Row],[Units]]</f>
        <v>29.95</v>
      </c>
      <c r="F791" s="11" t="str" cm="1">
        <f t="array" ref="F791">_xlfn.XLOOKUP(fsales[[#This Row],[ProductID]],dProduct[[#All],[ProductID]],dProduct[[#All],[Product]])</f>
        <v>Carlota</v>
      </c>
      <c r="G791" s="11" t="str" cm="1">
        <f t="array" ref="G791">_xlfn.XLOOKUP(fsales[[#This Row],[ProductID]],dProduct[[#All],[ProductID]],dProduct[[#All],[Supplier]])</f>
        <v>Gel Booms</v>
      </c>
      <c r="H791" s="11" t="str" cm="1">
        <f t="array" ref="H791">_xlfn.XLOOKUP(fsales[[#This Row],[SalesRepID]],dSalesRep[[#All],[SalesRepID]],dSalesRep[[#All],[Region]])</f>
        <v>WA</v>
      </c>
    </row>
    <row r="792" spans="1:8" x14ac:dyDescent="0.3">
      <c r="A792" s="1">
        <v>45603</v>
      </c>
      <c r="B792">
        <v>2</v>
      </c>
      <c r="C792">
        <v>2</v>
      </c>
      <c r="D792">
        <v>3</v>
      </c>
      <c r="E792" s="11" cm="1">
        <f t="array" ref="E792">_xlfn.XLOOKUP(fsales[[#This Row],[ProductID]],dProduct[[#All],[ProductID]],dProduct[[#All],[Price]])*fsales[[#This Row],[Units]]</f>
        <v>89.85</v>
      </c>
      <c r="F792" s="11" t="str" cm="1">
        <f t="array" ref="F792">_xlfn.XLOOKUP(fsales[[#This Row],[ProductID]],dProduct[[#All],[ProductID]],dProduct[[#All],[Product]])</f>
        <v>Carlota</v>
      </c>
      <c r="G792" s="11" t="str" cm="1">
        <f t="array" ref="G792">_xlfn.XLOOKUP(fsales[[#This Row],[ProductID]],dProduct[[#All],[ProductID]],dProduct[[#All],[Supplier]])</f>
        <v>Gel Booms</v>
      </c>
      <c r="H792" s="11" t="str" cm="1">
        <f t="array" ref="H792">_xlfn.XLOOKUP(fsales[[#This Row],[SalesRepID]],dSalesRep[[#All],[SalesRepID]],dSalesRep[[#All],[Region]])</f>
        <v>CA</v>
      </c>
    </row>
    <row r="793" spans="1:8" x14ac:dyDescent="0.3">
      <c r="A793" s="1">
        <v>45348</v>
      </c>
      <c r="B793">
        <v>3</v>
      </c>
      <c r="C793">
        <v>4</v>
      </c>
      <c r="D793">
        <v>6</v>
      </c>
      <c r="E793" s="11" cm="1">
        <f t="array" ref="E793">_xlfn.XLOOKUP(fsales[[#This Row],[ProductID]],dProduct[[#All],[ProductID]],dProduct[[#All],[Price]])*fsales[[#This Row],[Units]]</f>
        <v>155.69999999999999</v>
      </c>
      <c r="F793" s="11" t="str" cm="1">
        <f t="array" ref="F793">_xlfn.XLOOKUP(fsales[[#This Row],[ProductID]],dProduct[[#All],[ProductID]],dProduct[[#All],[Product]])</f>
        <v>Aspen</v>
      </c>
      <c r="G793" s="11" t="str" cm="1">
        <f t="array" ref="G793">_xlfn.XLOOKUP(fsales[[#This Row],[ProductID]],dProduct[[#All],[ProductID]],dProduct[[#All],[Supplier]])</f>
        <v>Colorado Booms</v>
      </c>
      <c r="H793" s="11" t="str" cm="1">
        <f t="array" ref="H793">_xlfn.XLOOKUP(fsales[[#This Row],[SalesRepID]],dSalesRep[[#All],[SalesRepID]],dSalesRep[[#All],[Region]])</f>
        <v>WA</v>
      </c>
    </row>
    <row r="794" spans="1:8" x14ac:dyDescent="0.3">
      <c r="A794" s="1">
        <v>45574</v>
      </c>
      <c r="B794">
        <v>1</v>
      </c>
      <c r="C794">
        <v>1</v>
      </c>
      <c r="D794">
        <v>105</v>
      </c>
      <c r="E794" s="11" cm="1">
        <f t="array" ref="E794">_xlfn.XLOOKUP(fsales[[#This Row],[ProductID]],dProduct[[#All],[ProductID]],dProduct[[#All],[Price]])*fsales[[#This Row],[Units]]</f>
        <v>4614.75</v>
      </c>
      <c r="F794" s="11" t="str" cm="1">
        <f t="array" ref="F794">_xlfn.XLOOKUP(fsales[[#This Row],[ProductID]],dProduct[[#All],[ProductID]],dProduct[[#All],[Product]])</f>
        <v>Quad</v>
      </c>
      <c r="G794" s="11" t="str" cm="1">
        <f t="array" ref="G794">_xlfn.XLOOKUP(fsales[[#This Row],[ProductID]],dProduct[[#All],[ProductID]],dProduct[[#All],[Supplier]])</f>
        <v>Gel Booms</v>
      </c>
      <c r="H794" s="11" t="str" cm="1">
        <f t="array" ref="H794">_xlfn.XLOOKUP(fsales[[#This Row],[SalesRepID]],dSalesRep[[#All],[SalesRepID]],dSalesRep[[#All],[Region]])</f>
        <v>CA</v>
      </c>
    </row>
    <row r="795" spans="1:8" x14ac:dyDescent="0.3">
      <c r="A795" s="1">
        <v>45655</v>
      </c>
      <c r="B795">
        <v>2</v>
      </c>
      <c r="C795">
        <v>2</v>
      </c>
      <c r="D795">
        <v>2</v>
      </c>
      <c r="E795" s="11" cm="1">
        <f t="array" ref="E795">_xlfn.XLOOKUP(fsales[[#This Row],[ProductID]],dProduct[[#All],[ProductID]],dProduct[[#All],[Price]])*fsales[[#This Row],[Units]]</f>
        <v>59.9</v>
      </c>
      <c r="F795" s="11" t="str" cm="1">
        <f t="array" ref="F795">_xlfn.XLOOKUP(fsales[[#This Row],[ProductID]],dProduct[[#All],[ProductID]],dProduct[[#All],[Product]])</f>
        <v>Carlota</v>
      </c>
      <c r="G795" s="11" t="str" cm="1">
        <f t="array" ref="G795">_xlfn.XLOOKUP(fsales[[#This Row],[ProductID]],dProduct[[#All],[ProductID]],dProduct[[#All],[Supplier]])</f>
        <v>Gel Booms</v>
      </c>
      <c r="H795" s="11" t="str" cm="1">
        <f t="array" ref="H795">_xlfn.XLOOKUP(fsales[[#This Row],[SalesRepID]],dSalesRep[[#All],[SalesRepID]],dSalesRep[[#All],[Region]])</f>
        <v>CA</v>
      </c>
    </row>
    <row r="796" spans="1:8" x14ac:dyDescent="0.3">
      <c r="A796" s="1">
        <v>45508</v>
      </c>
      <c r="B796">
        <v>2</v>
      </c>
      <c r="C796">
        <v>4</v>
      </c>
      <c r="D796">
        <v>3</v>
      </c>
      <c r="E796" s="11" cm="1">
        <f t="array" ref="E796">_xlfn.XLOOKUP(fsales[[#This Row],[ProductID]],dProduct[[#All],[ProductID]],dProduct[[#All],[Price]])*fsales[[#This Row],[Units]]</f>
        <v>89.85</v>
      </c>
      <c r="F796" s="11" t="str" cm="1">
        <f t="array" ref="F796">_xlfn.XLOOKUP(fsales[[#This Row],[ProductID]],dProduct[[#All],[ProductID]],dProduct[[#All],[Product]])</f>
        <v>Carlota</v>
      </c>
      <c r="G796" s="11" t="str" cm="1">
        <f t="array" ref="G796">_xlfn.XLOOKUP(fsales[[#This Row],[ProductID]],dProduct[[#All],[ProductID]],dProduct[[#All],[Supplier]])</f>
        <v>Gel Booms</v>
      </c>
      <c r="H796" s="11" t="str" cm="1">
        <f t="array" ref="H796">_xlfn.XLOOKUP(fsales[[#This Row],[SalesRepID]],dSalesRep[[#All],[SalesRepID]],dSalesRep[[#All],[Region]])</f>
        <v>WA</v>
      </c>
    </row>
    <row r="797" spans="1:8" x14ac:dyDescent="0.3">
      <c r="A797" s="1">
        <v>45478</v>
      </c>
      <c r="B797">
        <v>3</v>
      </c>
      <c r="C797">
        <v>2</v>
      </c>
      <c r="D797">
        <v>259</v>
      </c>
      <c r="E797" s="11" cm="1">
        <f t="array" ref="E797">_xlfn.XLOOKUP(fsales[[#This Row],[ProductID]],dProduct[[#All],[ProductID]],dProduct[[#All],[Price]])*fsales[[#This Row],[Units]]</f>
        <v>6721.05</v>
      </c>
      <c r="F797" s="11" t="str" cm="1">
        <f t="array" ref="F797">_xlfn.XLOOKUP(fsales[[#This Row],[ProductID]],dProduct[[#All],[ProductID]],dProduct[[#All],[Product]])</f>
        <v>Aspen</v>
      </c>
      <c r="G797" s="11" t="str" cm="1">
        <f t="array" ref="G797">_xlfn.XLOOKUP(fsales[[#This Row],[ProductID]],dProduct[[#All],[ProductID]],dProduct[[#All],[Supplier]])</f>
        <v>Colorado Booms</v>
      </c>
      <c r="H797" s="11" t="str" cm="1">
        <f t="array" ref="H797">_xlfn.XLOOKUP(fsales[[#This Row],[SalesRepID]],dSalesRep[[#All],[SalesRepID]],dSalesRep[[#All],[Region]])</f>
        <v>CA</v>
      </c>
    </row>
    <row r="798" spans="1:8" x14ac:dyDescent="0.3">
      <c r="A798" s="1">
        <v>45574</v>
      </c>
      <c r="B798">
        <v>2</v>
      </c>
      <c r="C798">
        <v>2</v>
      </c>
      <c r="D798">
        <v>4</v>
      </c>
      <c r="E798" s="11" cm="1">
        <f t="array" ref="E798">_xlfn.XLOOKUP(fsales[[#This Row],[ProductID]],dProduct[[#All],[ProductID]],dProduct[[#All],[Price]])*fsales[[#This Row],[Units]]</f>
        <v>119.8</v>
      </c>
      <c r="F798" s="11" t="str" cm="1">
        <f t="array" ref="F798">_xlfn.XLOOKUP(fsales[[#This Row],[ProductID]],dProduct[[#All],[ProductID]],dProduct[[#All],[Product]])</f>
        <v>Carlota</v>
      </c>
      <c r="G798" s="11" t="str" cm="1">
        <f t="array" ref="G798">_xlfn.XLOOKUP(fsales[[#This Row],[ProductID]],dProduct[[#All],[ProductID]],dProduct[[#All],[Supplier]])</f>
        <v>Gel Booms</v>
      </c>
      <c r="H798" s="11" t="str" cm="1">
        <f t="array" ref="H798">_xlfn.XLOOKUP(fsales[[#This Row],[SalesRepID]],dSalesRep[[#All],[SalesRepID]],dSalesRep[[#All],[Region]])</f>
        <v>CA</v>
      </c>
    </row>
    <row r="799" spans="1:8" x14ac:dyDescent="0.3">
      <c r="A799" s="1">
        <v>45641</v>
      </c>
      <c r="B799">
        <v>2</v>
      </c>
      <c r="C799">
        <v>2</v>
      </c>
      <c r="D799">
        <v>58</v>
      </c>
      <c r="E799" s="11" cm="1">
        <f t="array" ref="E799">_xlfn.XLOOKUP(fsales[[#This Row],[ProductID]],dProduct[[#All],[ProductID]],dProduct[[#All],[Price]])*fsales[[#This Row],[Units]]</f>
        <v>1737.1</v>
      </c>
      <c r="F799" s="11" t="str" cm="1">
        <f t="array" ref="F799">_xlfn.XLOOKUP(fsales[[#This Row],[ProductID]],dProduct[[#All],[ProductID]],dProduct[[#All],[Product]])</f>
        <v>Carlota</v>
      </c>
      <c r="G799" s="11" t="str" cm="1">
        <f t="array" ref="G799">_xlfn.XLOOKUP(fsales[[#This Row],[ProductID]],dProduct[[#All],[ProductID]],dProduct[[#All],[Supplier]])</f>
        <v>Gel Booms</v>
      </c>
      <c r="H799" s="11" t="str" cm="1">
        <f t="array" ref="H799">_xlfn.XLOOKUP(fsales[[#This Row],[SalesRepID]],dSalesRep[[#All],[SalesRepID]],dSalesRep[[#All],[Region]])</f>
        <v>CA</v>
      </c>
    </row>
    <row r="800" spans="1:8" x14ac:dyDescent="0.3">
      <c r="A800" s="1">
        <v>45616</v>
      </c>
      <c r="B800">
        <v>2</v>
      </c>
      <c r="C800">
        <v>2</v>
      </c>
      <c r="D800">
        <v>3</v>
      </c>
      <c r="E800" s="11" cm="1">
        <f t="array" ref="E800">_xlfn.XLOOKUP(fsales[[#This Row],[ProductID]],dProduct[[#All],[ProductID]],dProduct[[#All],[Price]])*fsales[[#This Row],[Units]]</f>
        <v>89.85</v>
      </c>
      <c r="F800" s="11" t="str" cm="1">
        <f t="array" ref="F800">_xlfn.XLOOKUP(fsales[[#This Row],[ProductID]],dProduct[[#All],[ProductID]],dProduct[[#All],[Product]])</f>
        <v>Carlota</v>
      </c>
      <c r="G800" s="11" t="str" cm="1">
        <f t="array" ref="G800">_xlfn.XLOOKUP(fsales[[#This Row],[ProductID]],dProduct[[#All],[ProductID]],dProduct[[#All],[Supplier]])</f>
        <v>Gel Booms</v>
      </c>
      <c r="H800" s="11" t="str" cm="1">
        <f t="array" ref="H800">_xlfn.XLOOKUP(fsales[[#This Row],[SalesRepID]],dSalesRep[[#All],[SalesRepID]],dSalesRep[[#All],[Region]])</f>
        <v>CA</v>
      </c>
    </row>
    <row r="801" spans="1:8" x14ac:dyDescent="0.3">
      <c r="A801" s="1">
        <v>45644</v>
      </c>
      <c r="B801">
        <v>1</v>
      </c>
      <c r="C801">
        <v>2</v>
      </c>
      <c r="D801">
        <v>1</v>
      </c>
      <c r="E801" s="11" cm="1">
        <f t="array" ref="E801">_xlfn.XLOOKUP(fsales[[#This Row],[ProductID]],dProduct[[#All],[ProductID]],dProduct[[#All],[Price]])*fsales[[#This Row],[Units]]</f>
        <v>43.95</v>
      </c>
      <c r="F801" s="11" t="str" cm="1">
        <f t="array" ref="F801">_xlfn.XLOOKUP(fsales[[#This Row],[ProductID]],dProduct[[#All],[ProductID]],dProduct[[#All],[Product]])</f>
        <v>Quad</v>
      </c>
      <c r="G801" s="11" t="str" cm="1">
        <f t="array" ref="G801">_xlfn.XLOOKUP(fsales[[#This Row],[ProductID]],dProduct[[#All],[ProductID]],dProduct[[#All],[Supplier]])</f>
        <v>Gel Booms</v>
      </c>
      <c r="H801" s="11" t="str" cm="1">
        <f t="array" ref="H801">_xlfn.XLOOKUP(fsales[[#This Row],[SalesRepID]],dSalesRep[[#All],[SalesRepID]],dSalesRep[[#All],[Region]])</f>
        <v>CA</v>
      </c>
    </row>
    <row r="802" spans="1:8" x14ac:dyDescent="0.3">
      <c r="A802" s="1">
        <v>45473</v>
      </c>
      <c r="B802">
        <v>2</v>
      </c>
      <c r="C802">
        <v>2</v>
      </c>
      <c r="D802">
        <v>4</v>
      </c>
      <c r="E802" s="11" cm="1">
        <f t="array" ref="E802">_xlfn.XLOOKUP(fsales[[#This Row],[ProductID]],dProduct[[#All],[ProductID]],dProduct[[#All],[Price]])*fsales[[#This Row],[Units]]</f>
        <v>119.8</v>
      </c>
      <c r="F802" s="11" t="str" cm="1">
        <f t="array" ref="F802">_xlfn.XLOOKUP(fsales[[#This Row],[ProductID]],dProduct[[#All],[ProductID]],dProduct[[#All],[Product]])</f>
        <v>Carlota</v>
      </c>
      <c r="G802" s="11" t="str" cm="1">
        <f t="array" ref="G802">_xlfn.XLOOKUP(fsales[[#This Row],[ProductID]],dProduct[[#All],[ProductID]],dProduct[[#All],[Supplier]])</f>
        <v>Gel Booms</v>
      </c>
      <c r="H802" s="11" t="str" cm="1">
        <f t="array" ref="H802">_xlfn.XLOOKUP(fsales[[#This Row],[SalesRepID]],dSalesRep[[#All],[SalesRepID]],dSalesRep[[#All],[Region]])</f>
        <v>CA</v>
      </c>
    </row>
    <row r="803" spans="1:8" x14ac:dyDescent="0.3">
      <c r="A803" s="1">
        <v>45485</v>
      </c>
      <c r="B803">
        <v>2</v>
      </c>
      <c r="C803">
        <v>2</v>
      </c>
      <c r="D803">
        <v>88</v>
      </c>
      <c r="E803" s="11" cm="1">
        <f t="array" ref="E803">_xlfn.XLOOKUP(fsales[[#This Row],[ProductID]],dProduct[[#All],[ProductID]],dProduct[[#All],[Price]])*fsales[[#This Row],[Units]]</f>
        <v>2635.6</v>
      </c>
      <c r="F803" s="11" t="str" cm="1">
        <f t="array" ref="F803">_xlfn.XLOOKUP(fsales[[#This Row],[ProductID]],dProduct[[#All],[ProductID]],dProduct[[#All],[Product]])</f>
        <v>Carlota</v>
      </c>
      <c r="G803" s="11" t="str" cm="1">
        <f t="array" ref="G803">_xlfn.XLOOKUP(fsales[[#This Row],[ProductID]],dProduct[[#All],[ProductID]],dProduct[[#All],[Supplier]])</f>
        <v>Gel Booms</v>
      </c>
      <c r="H803" s="11" t="str" cm="1">
        <f t="array" ref="H803">_xlfn.XLOOKUP(fsales[[#This Row],[SalesRepID]],dSalesRep[[#All],[SalesRepID]],dSalesRep[[#All],[Region]])</f>
        <v>CA</v>
      </c>
    </row>
    <row r="804" spans="1:8" x14ac:dyDescent="0.3">
      <c r="A804" s="1">
        <v>45402</v>
      </c>
      <c r="B804">
        <v>2</v>
      </c>
      <c r="C804">
        <v>2</v>
      </c>
      <c r="D804">
        <v>160</v>
      </c>
      <c r="E804" s="11" cm="1">
        <f t="array" ref="E804">_xlfn.XLOOKUP(fsales[[#This Row],[ProductID]],dProduct[[#All],[ProductID]],dProduct[[#All],[Price]])*fsales[[#This Row],[Units]]</f>
        <v>4792</v>
      </c>
      <c r="F804" s="11" t="str" cm="1">
        <f t="array" ref="F804">_xlfn.XLOOKUP(fsales[[#This Row],[ProductID]],dProduct[[#All],[ProductID]],dProduct[[#All],[Product]])</f>
        <v>Carlota</v>
      </c>
      <c r="G804" s="11" t="str" cm="1">
        <f t="array" ref="G804">_xlfn.XLOOKUP(fsales[[#This Row],[ProductID]],dProduct[[#All],[ProductID]],dProduct[[#All],[Supplier]])</f>
        <v>Gel Booms</v>
      </c>
      <c r="H804" s="11" t="str" cm="1">
        <f t="array" ref="H804">_xlfn.XLOOKUP(fsales[[#This Row],[SalesRepID]],dSalesRep[[#All],[SalesRepID]],dSalesRep[[#All],[Region]])</f>
        <v>CA</v>
      </c>
    </row>
    <row r="805" spans="1:8" x14ac:dyDescent="0.3">
      <c r="A805" s="1">
        <v>45445</v>
      </c>
      <c r="B805">
        <v>1</v>
      </c>
      <c r="C805">
        <v>2</v>
      </c>
      <c r="D805">
        <v>2</v>
      </c>
      <c r="E805" s="11" cm="1">
        <f t="array" ref="E805">_xlfn.XLOOKUP(fsales[[#This Row],[ProductID]],dProduct[[#All],[ProductID]],dProduct[[#All],[Price]])*fsales[[#This Row],[Units]]</f>
        <v>87.9</v>
      </c>
      <c r="F805" s="11" t="str" cm="1">
        <f t="array" ref="F805">_xlfn.XLOOKUP(fsales[[#This Row],[ProductID]],dProduct[[#All],[ProductID]],dProduct[[#All],[Product]])</f>
        <v>Quad</v>
      </c>
      <c r="G805" s="11" t="str" cm="1">
        <f t="array" ref="G805">_xlfn.XLOOKUP(fsales[[#This Row],[ProductID]],dProduct[[#All],[ProductID]],dProduct[[#All],[Supplier]])</f>
        <v>Gel Booms</v>
      </c>
      <c r="H805" s="11" t="str" cm="1">
        <f t="array" ref="H805">_xlfn.XLOOKUP(fsales[[#This Row],[SalesRepID]],dSalesRep[[#All],[SalesRepID]],dSalesRep[[#All],[Region]])</f>
        <v>CA</v>
      </c>
    </row>
    <row r="806" spans="1:8" x14ac:dyDescent="0.3">
      <c r="A806" s="1">
        <v>45627</v>
      </c>
      <c r="B806">
        <v>2</v>
      </c>
      <c r="C806">
        <v>2</v>
      </c>
      <c r="D806">
        <v>6</v>
      </c>
      <c r="E806" s="11" cm="1">
        <f t="array" ref="E806">_xlfn.XLOOKUP(fsales[[#This Row],[ProductID]],dProduct[[#All],[ProductID]],dProduct[[#All],[Price]])*fsales[[#This Row],[Units]]</f>
        <v>179.7</v>
      </c>
      <c r="F806" s="11" t="str" cm="1">
        <f t="array" ref="F806">_xlfn.XLOOKUP(fsales[[#This Row],[ProductID]],dProduct[[#All],[ProductID]],dProduct[[#All],[Product]])</f>
        <v>Carlota</v>
      </c>
      <c r="G806" s="11" t="str" cm="1">
        <f t="array" ref="G806">_xlfn.XLOOKUP(fsales[[#This Row],[ProductID]],dProduct[[#All],[ProductID]],dProduct[[#All],[Supplier]])</f>
        <v>Gel Booms</v>
      </c>
      <c r="H806" s="11" t="str" cm="1">
        <f t="array" ref="H806">_xlfn.XLOOKUP(fsales[[#This Row],[SalesRepID]],dSalesRep[[#All],[SalesRepID]],dSalesRep[[#All],[Region]])</f>
        <v>CA</v>
      </c>
    </row>
    <row r="807" spans="1:8" x14ac:dyDescent="0.3">
      <c r="A807" s="1">
        <v>45625</v>
      </c>
      <c r="B807">
        <v>1</v>
      </c>
      <c r="C807">
        <v>2</v>
      </c>
      <c r="D807">
        <v>83</v>
      </c>
      <c r="E807" s="11" cm="1">
        <f t="array" ref="E807">_xlfn.XLOOKUP(fsales[[#This Row],[ProductID]],dProduct[[#All],[ProductID]],dProduct[[#All],[Price]])*fsales[[#This Row],[Units]]</f>
        <v>3647.8500000000004</v>
      </c>
      <c r="F807" s="11" t="str" cm="1">
        <f t="array" ref="F807">_xlfn.XLOOKUP(fsales[[#This Row],[ProductID]],dProduct[[#All],[ProductID]],dProduct[[#All],[Product]])</f>
        <v>Quad</v>
      </c>
      <c r="G807" s="11" t="str" cm="1">
        <f t="array" ref="G807">_xlfn.XLOOKUP(fsales[[#This Row],[ProductID]],dProduct[[#All],[ProductID]],dProduct[[#All],[Supplier]])</f>
        <v>Gel Booms</v>
      </c>
      <c r="H807" s="11" t="str" cm="1">
        <f t="array" ref="H807">_xlfn.XLOOKUP(fsales[[#This Row],[SalesRepID]],dSalesRep[[#All],[SalesRepID]],dSalesRep[[#All],[Region]])</f>
        <v>CA</v>
      </c>
    </row>
    <row r="808" spans="1:8" x14ac:dyDescent="0.3">
      <c r="A808" s="1">
        <v>45610</v>
      </c>
      <c r="B808">
        <v>2</v>
      </c>
      <c r="C808">
        <v>2</v>
      </c>
      <c r="D808">
        <v>62</v>
      </c>
      <c r="E808" s="11" cm="1">
        <f t="array" ref="E808">_xlfn.XLOOKUP(fsales[[#This Row],[ProductID]],dProduct[[#All],[ProductID]],dProduct[[#All],[Price]])*fsales[[#This Row],[Units]]</f>
        <v>1856.8999999999999</v>
      </c>
      <c r="F808" s="11" t="str" cm="1">
        <f t="array" ref="F808">_xlfn.XLOOKUP(fsales[[#This Row],[ProductID]],dProduct[[#All],[ProductID]],dProduct[[#All],[Product]])</f>
        <v>Carlota</v>
      </c>
      <c r="G808" s="11" t="str" cm="1">
        <f t="array" ref="G808">_xlfn.XLOOKUP(fsales[[#This Row],[ProductID]],dProduct[[#All],[ProductID]],dProduct[[#All],[Supplier]])</f>
        <v>Gel Booms</v>
      </c>
      <c r="H808" s="11" t="str" cm="1">
        <f t="array" ref="H808">_xlfn.XLOOKUP(fsales[[#This Row],[SalesRepID]],dSalesRep[[#All],[SalesRepID]],dSalesRep[[#All],[Region]])</f>
        <v>CA</v>
      </c>
    </row>
    <row r="809" spans="1:8" x14ac:dyDescent="0.3">
      <c r="A809" s="1">
        <v>45640</v>
      </c>
      <c r="B809">
        <v>2</v>
      </c>
      <c r="C809">
        <v>2</v>
      </c>
      <c r="D809">
        <v>4</v>
      </c>
      <c r="E809" s="11" cm="1">
        <f t="array" ref="E809">_xlfn.XLOOKUP(fsales[[#This Row],[ProductID]],dProduct[[#All],[ProductID]],dProduct[[#All],[Price]])*fsales[[#This Row],[Units]]</f>
        <v>119.8</v>
      </c>
      <c r="F809" s="11" t="str" cm="1">
        <f t="array" ref="F809">_xlfn.XLOOKUP(fsales[[#This Row],[ProductID]],dProduct[[#All],[ProductID]],dProduct[[#All],[Product]])</f>
        <v>Carlota</v>
      </c>
      <c r="G809" s="11" t="str" cm="1">
        <f t="array" ref="G809">_xlfn.XLOOKUP(fsales[[#This Row],[ProductID]],dProduct[[#All],[ProductID]],dProduct[[#All],[Supplier]])</f>
        <v>Gel Booms</v>
      </c>
      <c r="H809" s="11" t="str" cm="1">
        <f t="array" ref="H809">_xlfn.XLOOKUP(fsales[[#This Row],[SalesRepID]],dSalesRep[[#All],[SalesRepID]],dSalesRep[[#All],[Region]])</f>
        <v>CA</v>
      </c>
    </row>
    <row r="810" spans="1:8" x14ac:dyDescent="0.3">
      <c r="A810" s="1">
        <v>45626</v>
      </c>
      <c r="B810">
        <v>2</v>
      </c>
      <c r="C810">
        <v>4</v>
      </c>
      <c r="D810">
        <v>190</v>
      </c>
      <c r="E810" s="11" cm="1">
        <f t="array" ref="E810">_xlfn.XLOOKUP(fsales[[#This Row],[ProductID]],dProduct[[#All],[ProductID]],dProduct[[#All],[Price]])*fsales[[#This Row],[Units]]</f>
        <v>5690.5</v>
      </c>
      <c r="F810" s="11" t="str" cm="1">
        <f t="array" ref="F810">_xlfn.XLOOKUP(fsales[[#This Row],[ProductID]],dProduct[[#All],[ProductID]],dProduct[[#All],[Product]])</f>
        <v>Carlota</v>
      </c>
      <c r="G810" s="11" t="str" cm="1">
        <f t="array" ref="G810">_xlfn.XLOOKUP(fsales[[#This Row],[ProductID]],dProduct[[#All],[ProductID]],dProduct[[#All],[Supplier]])</f>
        <v>Gel Booms</v>
      </c>
      <c r="H810" s="11" t="str" cm="1">
        <f t="array" ref="H810">_xlfn.XLOOKUP(fsales[[#This Row],[SalesRepID]],dSalesRep[[#All],[SalesRepID]],dSalesRep[[#All],[Region]])</f>
        <v>WA</v>
      </c>
    </row>
    <row r="811" spans="1:8" x14ac:dyDescent="0.3">
      <c r="A811" s="1">
        <v>45642</v>
      </c>
      <c r="B811">
        <v>1</v>
      </c>
      <c r="C811">
        <v>3</v>
      </c>
      <c r="D811">
        <v>87</v>
      </c>
      <c r="E811" s="11" cm="1">
        <f t="array" ref="E811">_xlfn.XLOOKUP(fsales[[#This Row],[ProductID]],dProduct[[#All],[ProductID]],dProduct[[#All],[Price]])*fsales[[#This Row],[Units]]</f>
        <v>3823.65</v>
      </c>
      <c r="F811" s="11" t="str" cm="1">
        <f t="array" ref="F811">_xlfn.XLOOKUP(fsales[[#This Row],[ProductID]],dProduct[[#All],[ProductID]],dProduct[[#All],[Product]])</f>
        <v>Quad</v>
      </c>
      <c r="G811" s="11" t="str" cm="1">
        <f t="array" ref="G811">_xlfn.XLOOKUP(fsales[[#This Row],[ProductID]],dProduct[[#All],[ProductID]],dProduct[[#All],[Supplier]])</f>
        <v>Gel Booms</v>
      </c>
      <c r="H811" s="11" t="str" cm="1">
        <f t="array" ref="H811">_xlfn.XLOOKUP(fsales[[#This Row],[SalesRepID]],dSalesRep[[#All],[SalesRepID]],dSalesRep[[#All],[Region]])</f>
        <v>WA</v>
      </c>
    </row>
    <row r="812" spans="1:8" x14ac:dyDescent="0.3">
      <c r="A812" s="1">
        <v>45412</v>
      </c>
      <c r="B812">
        <v>2</v>
      </c>
      <c r="C812">
        <v>4</v>
      </c>
      <c r="D812">
        <v>2</v>
      </c>
      <c r="E812" s="11" cm="1">
        <f t="array" ref="E812">_xlfn.XLOOKUP(fsales[[#This Row],[ProductID]],dProduct[[#All],[ProductID]],dProduct[[#All],[Price]])*fsales[[#This Row],[Units]]</f>
        <v>59.9</v>
      </c>
      <c r="F812" s="11" t="str" cm="1">
        <f t="array" ref="F812">_xlfn.XLOOKUP(fsales[[#This Row],[ProductID]],dProduct[[#All],[ProductID]],dProduct[[#All],[Product]])</f>
        <v>Carlota</v>
      </c>
      <c r="G812" s="11" t="str" cm="1">
        <f t="array" ref="G812">_xlfn.XLOOKUP(fsales[[#This Row],[ProductID]],dProduct[[#All],[ProductID]],dProduct[[#All],[Supplier]])</f>
        <v>Gel Booms</v>
      </c>
      <c r="H812" s="11" t="str" cm="1">
        <f t="array" ref="H812">_xlfn.XLOOKUP(fsales[[#This Row],[SalesRepID]],dSalesRep[[#All],[SalesRepID]],dSalesRep[[#All],[Region]])</f>
        <v>WA</v>
      </c>
    </row>
    <row r="813" spans="1:8" x14ac:dyDescent="0.3">
      <c r="A813" s="1">
        <v>45603</v>
      </c>
      <c r="B813">
        <v>3</v>
      </c>
      <c r="C813">
        <v>2</v>
      </c>
      <c r="D813">
        <v>107</v>
      </c>
      <c r="E813" s="11" cm="1">
        <f t="array" ref="E813">_xlfn.XLOOKUP(fsales[[#This Row],[ProductID]],dProduct[[#All],[ProductID]],dProduct[[#All],[Price]])*fsales[[#This Row],[Units]]</f>
        <v>2776.65</v>
      </c>
      <c r="F813" s="11" t="str" cm="1">
        <f t="array" ref="F813">_xlfn.XLOOKUP(fsales[[#This Row],[ProductID]],dProduct[[#All],[ProductID]],dProduct[[#All],[Product]])</f>
        <v>Aspen</v>
      </c>
      <c r="G813" s="11" t="str" cm="1">
        <f t="array" ref="G813">_xlfn.XLOOKUP(fsales[[#This Row],[ProductID]],dProduct[[#All],[ProductID]],dProduct[[#All],[Supplier]])</f>
        <v>Colorado Booms</v>
      </c>
      <c r="H813" s="11" t="str" cm="1">
        <f t="array" ref="H813">_xlfn.XLOOKUP(fsales[[#This Row],[SalesRepID]],dSalesRep[[#All],[SalesRepID]],dSalesRep[[#All],[Region]])</f>
        <v>CA</v>
      </c>
    </row>
    <row r="814" spans="1:8" x14ac:dyDescent="0.3">
      <c r="A814" s="1">
        <v>45610</v>
      </c>
      <c r="B814">
        <v>4</v>
      </c>
      <c r="C814">
        <v>4</v>
      </c>
      <c r="D814">
        <v>199</v>
      </c>
      <c r="E814" s="11" cm="1">
        <f t="array" ref="E814">_xlfn.XLOOKUP(fsales[[#This Row],[ProductID]],dProduct[[#All],[ProductID]],dProduct[[#All],[Price]])*fsales[[#This Row],[Units]]</f>
        <v>4766.05</v>
      </c>
      <c r="F814" s="11" t="str" cm="1">
        <f t="array" ref="F814">_xlfn.XLOOKUP(fsales[[#This Row],[ProductID]],dProduct[[#All],[ProductID]],dProduct[[#All],[Product]])</f>
        <v>Yanaki</v>
      </c>
      <c r="G814" s="11" t="str" cm="1">
        <f t="array" ref="G814">_xlfn.XLOOKUP(fsales[[#This Row],[ProductID]],dProduct[[#All],[ProductID]],dProduct[[#All],[Supplier]])</f>
        <v>Colorado Booms</v>
      </c>
      <c r="H814" s="11" t="str" cm="1">
        <f t="array" ref="H814">_xlfn.XLOOKUP(fsales[[#This Row],[SalesRepID]],dSalesRep[[#All],[SalesRepID]],dSalesRep[[#All],[Region]])</f>
        <v>WA</v>
      </c>
    </row>
    <row r="815" spans="1:8" x14ac:dyDescent="0.3">
      <c r="A815" s="1">
        <v>45403</v>
      </c>
      <c r="B815">
        <v>2</v>
      </c>
      <c r="C815">
        <v>2</v>
      </c>
      <c r="D815">
        <v>5</v>
      </c>
      <c r="E815" s="11" cm="1">
        <f t="array" ref="E815">_xlfn.XLOOKUP(fsales[[#This Row],[ProductID]],dProduct[[#All],[ProductID]],dProduct[[#All],[Price]])*fsales[[#This Row],[Units]]</f>
        <v>149.75</v>
      </c>
      <c r="F815" s="11" t="str" cm="1">
        <f t="array" ref="F815">_xlfn.XLOOKUP(fsales[[#This Row],[ProductID]],dProduct[[#All],[ProductID]],dProduct[[#All],[Product]])</f>
        <v>Carlota</v>
      </c>
      <c r="G815" s="11" t="str" cm="1">
        <f t="array" ref="G815">_xlfn.XLOOKUP(fsales[[#This Row],[ProductID]],dProduct[[#All],[ProductID]],dProduct[[#All],[Supplier]])</f>
        <v>Gel Booms</v>
      </c>
      <c r="H815" s="11" t="str" cm="1">
        <f t="array" ref="H815">_xlfn.XLOOKUP(fsales[[#This Row],[SalesRepID]],dSalesRep[[#All],[SalesRepID]],dSalesRep[[#All],[Region]])</f>
        <v>CA</v>
      </c>
    </row>
    <row r="816" spans="1:8" x14ac:dyDescent="0.3">
      <c r="A816" s="1">
        <v>45627</v>
      </c>
      <c r="B816">
        <v>3</v>
      </c>
      <c r="C816">
        <v>4</v>
      </c>
      <c r="D816">
        <v>89</v>
      </c>
      <c r="E816" s="11" cm="1">
        <f t="array" ref="E816">_xlfn.XLOOKUP(fsales[[#This Row],[ProductID]],dProduct[[#All],[ProductID]],dProduct[[#All],[Price]])*fsales[[#This Row],[Units]]</f>
        <v>2309.5499999999997</v>
      </c>
      <c r="F816" s="11" t="str" cm="1">
        <f t="array" ref="F816">_xlfn.XLOOKUP(fsales[[#This Row],[ProductID]],dProduct[[#All],[ProductID]],dProduct[[#All],[Product]])</f>
        <v>Aspen</v>
      </c>
      <c r="G816" s="11" t="str" cm="1">
        <f t="array" ref="G816">_xlfn.XLOOKUP(fsales[[#This Row],[ProductID]],dProduct[[#All],[ProductID]],dProduct[[#All],[Supplier]])</f>
        <v>Colorado Booms</v>
      </c>
      <c r="H816" s="11" t="str" cm="1">
        <f t="array" ref="H816">_xlfn.XLOOKUP(fsales[[#This Row],[SalesRepID]],dSalesRep[[#All],[SalesRepID]],dSalesRep[[#All],[Region]])</f>
        <v>WA</v>
      </c>
    </row>
    <row r="817" spans="1:8" x14ac:dyDescent="0.3">
      <c r="A817" s="1">
        <v>45593</v>
      </c>
      <c r="B817">
        <v>2</v>
      </c>
      <c r="C817">
        <v>2</v>
      </c>
      <c r="D817">
        <v>86</v>
      </c>
      <c r="E817" s="11" cm="1">
        <f t="array" ref="E817">_xlfn.XLOOKUP(fsales[[#This Row],[ProductID]],dProduct[[#All],[ProductID]],dProduct[[#All],[Price]])*fsales[[#This Row],[Units]]</f>
        <v>2575.6999999999998</v>
      </c>
      <c r="F817" s="11" t="str" cm="1">
        <f t="array" ref="F817">_xlfn.XLOOKUP(fsales[[#This Row],[ProductID]],dProduct[[#All],[ProductID]],dProduct[[#All],[Product]])</f>
        <v>Carlota</v>
      </c>
      <c r="G817" s="11" t="str" cm="1">
        <f t="array" ref="G817">_xlfn.XLOOKUP(fsales[[#This Row],[ProductID]],dProduct[[#All],[ProductID]],dProduct[[#All],[Supplier]])</f>
        <v>Gel Booms</v>
      </c>
      <c r="H817" s="11" t="str" cm="1">
        <f t="array" ref="H817">_xlfn.XLOOKUP(fsales[[#This Row],[SalesRepID]],dSalesRep[[#All],[SalesRepID]],dSalesRep[[#All],[Region]])</f>
        <v>CA</v>
      </c>
    </row>
    <row r="818" spans="1:8" x14ac:dyDescent="0.3">
      <c r="A818" s="1">
        <v>45563</v>
      </c>
      <c r="B818">
        <v>2</v>
      </c>
      <c r="C818">
        <v>4</v>
      </c>
      <c r="D818">
        <v>42</v>
      </c>
      <c r="E818" s="11" cm="1">
        <f t="array" ref="E818">_xlfn.XLOOKUP(fsales[[#This Row],[ProductID]],dProduct[[#All],[ProductID]],dProduct[[#All],[Price]])*fsales[[#This Row],[Units]]</f>
        <v>1257.8999999999999</v>
      </c>
      <c r="F818" s="11" t="str" cm="1">
        <f t="array" ref="F818">_xlfn.XLOOKUP(fsales[[#This Row],[ProductID]],dProduct[[#All],[ProductID]],dProduct[[#All],[Product]])</f>
        <v>Carlota</v>
      </c>
      <c r="G818" s="11" t="str" cm="1">
        <f t="array" ref="G818">_xlfn.XLOOKUP(fsales[[#This Row],[ProductID]],dProduct[[#All],[ProductID]],dProduct[[#All],[Supplier]])</f>
        <v>Gel Booms</v>
      </c>
      <c r="H818" s="11" t="str" cm="1">
        <f t="array" ref="H818">_xlfn.XLOOKUP(fsales[[#This Row],[SalesRepID]],dSalesRep[[#All],[SalesRepID]],dSalesRep[[#All],[Region]])</f>
        <v>WA</v>
      </c>
    </row>
    <row r="819" spans="1:8" x14ac:dyDescent="0.3">
      <c r="A819" s="1">
        <v>45653</v>
      </c>
      <c r="B819">
        <v>2</v>
      </c>
      <c r="C819">
        <v>2</v>
      </c>
      <c r="D819">
        <v>59</v>
      </c>
      <c r="E819" s="11" cm="1">
        <f t="array" ref="E819">_xlfn.XLOOKUP(fsales[[#This Row],[ProductID]],dProduct[[#All],[ProductID]],dProduct[[#All],[Price]])*fsales[[#This Row],[Units]]</f>
        <v>1767.05</v>
      </c>
      <c r="F819" s="11" t="str" cm="1">
        <f t="array" ref="F819">_xlfn.XLOOKUP(fsales[[#This Row],[ProductID]],dProduct[[#All],[ProductID]],dProduct[[#All],[Product]])</f>
        <v>Carlota</v>
      </c>
      <c r="G819" s="11" t="str" cm="1">
        <f t="array" ref="G819">_xlfn.XLOOKUP(fsales[[#This Row],[ProductID]],dProduct[[#All],[ProductID]],dProduct[[#All],[Supplier]])</f>
        <v>Gel Booms</v>
      </c>
      <c r="H819" s="11" t="str" cm="1">
        <f t="array" ref="H819">_xlfn.XLOOKUP(fsales[[#This Row],[SalesRepID]],dSalesRep[[#All],[SalesRepID]],dSalesRep[[#All],[Region]])</f>
        <v>CA</v>
      </c>
    </row>
    <row r="820" spans="1:8" x14ac:dyDescent="0.3">
      <c r="A820" s="1">
        <v>45630</v>
      </c>
      <c r="B820">
        <v>2</v>
      </c>
      <c r="C820">
        <v>2</v>
      </c>
      <c r="D820">
        <v>168</v>
      </c>
      <c r="E820" s="11" cm="1">
        <f t="array" ref="E820">_xlfn.XLOOKUP(fsales[[#This Row],[ProductID]],dProduct[[#All],[ProductID]],dProduct[[#All],[Price]])*fsales[[#This Row],[Units]]</f>
        <v>5031.5999999999995</v>
      </c>
      <c r="F820" s="11" t="str" cm="1">
        <f t="array" ref="F820">_xlfn.XLOOKUP(fsales[[#This Row],[ProductID]],dProduct[[#All],[ProductID]],dProduct[[#All],[Product]])</f>
        <v>Carlota</v>
      </c>
      <c r="G820" s="11" t="str" cm="1">
        <f t="array" ref="G820">_xlfn.XLOOKUP(fsales[[#This Row],[ProductID]],dProduct[[#All],[ProductID]],dProduct[[#All],[Supplier]])</f>
        <v>Gel Booms</v>
      </c>
      <c r="H820" s="11" t="str" cm="1">
        <f t="array" ref="H820">_xlfn.XLOOKUP(fsales[[#This Row],[SalesRepID]],dSalesRep[[#All],[SalesRepID]],dSalesRep[[#All],[Region]])</f>
        <v>CA</v>
      </c>
    </row>
    <row r="821" spans="1:8" x14ac:dyDescent="0.3">
      <c r="A821" s="1">
        <v>45579</v>
      </c>
      <c r="B821">
        <v>2</v>
      </c>
      <c r="C821">
        <v>2</v>
      </c>
      <c r="D821">
        <v>252</v>
      </c>
      <c r="E821" s="11" cm="1">
        <f t="array" ref="E821">_xlfn.XLOOKUP(fsales[[#This Row],[ProductID]],dProduct[[#All],[ProductID]],dProduct[[#All],[Price]])*fsales[[#This Row],[Units]]</f>
        <v>7547.4</v>
      </c>
      <c r="F821" s="11" t="str" cm="1">
        <f t="array" ref="F821">_xlfn.XLOOKUP(fsales[[#This Row],[ProductID]],dProduct[[#All],[ProductID]],dProduct[[#All],[Product]])</f>
        <v>Carlota</v>
      </c>
      <c r="G821" s="11" t="str" cm="1">
        <f t="array" ref="G821">_xlfn.XLOOKUP(fsales[[#This Row],[ProductID]],dProduct[[#All],[ProductID]],dProduct[[#All],[Supplier]])</f>
        <v>Gel Booms</v>
      </c>
      <c r="H821" s="11" t="str" cm="1">
        <f t="array" ref="H821">_xlfn.XLOOKUP(fsales[[#This Row],[SalesRepID]],dSalesRep[[#All],[SalesRepID]],dSalesRep[[#All],[Region]])</f>
        <v>CA</v>
      </c>
    </row>
    <row r="822" spans="1:8" x14ac:dyDescent="0.3">
      <c r="A822" s="1">
        <v>45511</v>
      </c>
      <c r="B822">
        <v>1</v>
      </c>
      <c r="C822">
        <v>2</v>
      </c>
      <c r="D822">
        <v>3</v>
      </c>
      <c r="E822" s="11" cm="1">
        <f t="array" ref="E822">_xlfn.XLOOKUP(fsales[[#This Row],[ProductID]],dProduct[[#All],[ProductID]],dProduct[[#All],[Price]])*fsales[[#This Row],[Units]]</f>
        <v>131.85000000000002</v>
      </c>
      <c r="F822" s="11" t="str" cm="1">
        <f t="array" ref="F822">_xlfn.XLOOKUP(fsales[[#This Row],[ProductID]],dProduct[[#All],[ProductID]],dProduct[[#All],[Product]])</f>
        <v>Quad</v>
      </c>
      <c r="G822" s="11" t="str" cm="1">
        <f t="array" ref="G822">_xlfn.XLOOKUP(fsales[[#This Row],[ProductID]],dProduct[[#All],[ProductID]],dProduct[[#All],[Supplier]])</f>
        <v>Gel Booms</v>
      </c>
      <c r="H822" s="11" t="str" cm="1">
        <f t="array" ref="H822">_xlfn.XLOOKUP(fsales[[#This Row],[SalesRepID]],dSalesRep[[#All],[SalesRepID]],dSalesRep[[#All],[Region]])</f>
        <v>CA</v>
      </c>
    </row>
    <row r="823" spans="1:8" x14ac:dyDescent="0.3">
      <c r="A823" s="1">
        <v>45543</v>
      </c>
      <c r="B823">
        <v>3</v>
      </c>
      <c r="C823">
        <v>2</v>
      </c>
      <c r="D823">
        <v>58</v>
      </c>
      <c r="E823" s="11" cm="1">
        <f t="array" ref="E823">_xlfn.XLOOKUP(fsales[[#This Row],[ProductID]],dProduct[[#All],[ProductID]],dProduct[[#All],[Price]])*fsales[[#This Row],[Units]]</f>
        <v>1505.1</v>
      </c>
      <c r="F823" s="11" t="str" cm="1">
        <f t="array" ref="F823">_xlfn.XLOOKUP(fsales[[#This Row],[ProductID]],dProduct[[#All],[ProductID]],dProduct[[#All],[Product]])</f>
        <v>Aspen</v>
      </c>
      <c r="G823" s="11" t="str" cm="1">
        <f t="array" ref="G823">_xlfn.XLOOKUP(fsales[[#This Row],[ProductID]],dProduct[[#All],[ProductID]],dProduct[[#All],[Supplier]])</f>
        <v>Colorado Booms</v>
      </c>
      <c r="H823" s="11" t="str" cm="1">
        <f t="array" ref="H823">_xlfn.XLOOKUP(fsales[[#This Row],[SalesRepID]],dSalesRep[[#All],[SalesRepID]],dSalesRep[[#All],[Region]])</f>
        <v>CA</v>
      </c>
    </row>
    <row r="824" spans="1:8" x14ac:dyDescent="0.3">
      <c r="A824" s="1">
        <v>45652</v>
      </c>
      <c r="B824">
        <v>2</v>
      </c>
      <c r="C824">
        <v>4</v>
      </c>
      <c r="D824">
        <v>26</v>
      </c>
      <c r="E824" s="11" cm="1">
        <f t="array" ref="E824">_xlfn.XLOOKUP(fsales[[#This Row],[ProductID]],dProduct[[#All],[ProductID]],dProduct[[#All],[Price]])*fsales[[#This Row],[Units]]</f>
        <v>778.69999999999993</v>
      </c>
      <c r="F824" s="11" t="str" cm="1">
        <f t="array" ref="F824">_xlfn.XLOOKUP(fsales[[#This Row],[ProductID]],dProduct[[#All],[ProductID]],dProduct[[#All],[Product]])</f>
        <v>Carlota</v>
      </c>
      <c r="G824" s="11" t="str" cm="1">
        <f t="array" ref="G824">_xlfn.XLOOKUP(fsales[[#This Row],[ProductID]],dProduct[[#All],[ProductID]],dProduct[[#All],[Supplier]])</f>
        <v>Gel Booms</v>
      </c>
      <c r="H824" s="11" t="str" cm="1">
        <f t="array" ref="H824">_xlfn.XLOOKUP(fsales[[#This Row],[SalesRepID]],dSalesRep[[#All],[SalesRepID]],dSalesRep[[#All],[Region]])</f>
        <v>WA</v>
      </c>
    </row>
    <row r="825" spans="1:8" x14ac:dyDescent="0.3">
      <c r="A825" s="1">
        <v>45652</v>
      </c>
      <c r="B825">
        <v>2</v>
      </c>
      <c r="C825">
        <v>4</v>
      </c>
      <c r="D825">
        <v>2</v>
      </c>
      <c r="E825" s="11" cm="1">
        <f t="array" ref="E825">_xlfn.XLOOKUP(fsales[[#This Row],[ProductID]],dProduct[[#All],[ProductID]],dProduct[[#All],[Price]])*fsales[[#This Row],[Units]]</f>
        <v>59.9</v>
      </c>
      <c r="F825" s="11" t="str" cm="1">
        <f t="array" ref="F825">_xlfn.XLOOKUP(fsales[[#This Row],[ProductID]],dProduct[[#All],[ProductID]],dProduct[[#All],[Product]])</f>
        <v>Carlota</v>
      </c>
      <c r="G825" s="11" t="str" cm="1">
        <f t="array" ref="G825">_xlfn.XLOOKUP(fsales[[#This Row],[ProductID]],dProduct[[#All],[ProductID]],dProduct[[#All],[Supplier]])</f>
        <v>Gel Booms</v>
      </c>
      <c r="H825" s="11" t="str" cm="1">
        <f t="array" ref="H825">_xlfn.XLOOKUP(fsales[[#This Row],[SalesRepID]],dSalesRep[[#All],[SalesRepID]],dSalesRep[[#All],[Region]])</f>
        <v>WA</v>
      </c>
    </row>
    <row r="826" spans="1:8" x14ac:dyDescent="0.3">
      <c r="A826" s="1">
        <v>45336</v>
      </c>
      <c r="B826">
        <v>2</v>
      </c>
      <c r="C826">
        <v>4</v>
      </c>
      <c r="D826">
        <v>5</v>
      </c>
      <c r="E826" s="11" cm="1">
        <f t="array" ref="E826">_xlfn.XLOOKUP(fsales[[#This Row],[ProductID]],dProduct[[#All],[ProductID]],dProduct[[#All],[Price]])*fsales[[#This Row],[Units]]</f>
        <v>149.75</v>
      </c>
      <c r="F826" s="11" t="str" cm="1">
        <f t="array" ref="F826">_xlfn.XLOOKUP(fsales[[#This Row],[ProductID]],dProduct[[#All],[ProductID]],dProduct[[#All],[Product]])</f>
        <v>Carlota</v>
      </c>
      <c r="G826" s="11" t="str" cm="1">
        <f t="array" ref="G826">_xlfn.XLOOKUP(fsales[[#This Row],[ProductID]],dProduct[[#All],[ProductID]],dProduct[[#All],[Supplier]])</f>
        <v>Gel Booms</v>
      </c>
      <c r="H826" s="11" t="str" cm="1">
        <f t="array" ref="H826">_xlfn.XLOOKUP(fsales[[#This Row],[SalesRepID]],dSalesRep[[#All],[SalesRepID]],dSalesRep[[#All],[Region]])</f>
        <v>WA</v>
      </c>
    </row>
    <row r="827" spans="1:8" x14ac:dyDescent="0.3">
      <c r="A827" s="1">
        <v>45536</v>
      </c>
      <c r="B827">
        <v>3</v>
      </c>
      <c r="C827">
        <v>4</v>
      </c>
      <c r="D827">
        <v>6</v>
      </c>
      <c r="E827" s="11" cm="1">
        <f t="array" ref="E827">_xlfn.XLOOKUP(fsales[[#This Row],[ProductID]],dProduct[[#All],[ProductID]],dProduct[[#All],[Price]])*fsales[[#This Row],[Units]]</f>
        <v>155.69999999999999</v>
      </c>
      <c r="F827" s="11" t="str" cm="1">
        <f t="array" ref="F827">_xlfn.XLOOKUP(fsales[[#This Row],[ProductID]],dProduct[[#All],[ProductID]],dProduct[[#All],[Product]])</f>
        <v>Aspen</v>
      </c>
      <c r="G827" s="11" t="str" cm="1">
        <f t="array" ref="G827">_xlfn.XLOOKUP(fsales[[#This Row],[ProductID]],dProduct[[#All],[ProductID]],dProduct[[#All],[Supplier]])</f>
        <v>Colorado Booms</v>
      </c>
      <c r="H827" s="11" t="str" cm="1">
        <f t="array" ref="H827">_xlfn.XLOOKUP(fsales[[#This Row],[SalesRepID]],dSalesRep[[#All],[SalesRepID]],dSalesRep[[#All],[Region]])</f>
        <v>WA</v>
      </c>
    </row>
    <row r="828" spans="1:8" x14ac:dyDescent="0.3">
      <c r="A828" s="1">
        <v>45494</v>
      </c>
      <c r="B828">
        <v>2</v>
      </c>
      <c r="C828">
        <v>2</v>
      </c>
      <c r="D828">
        <v>72</v>
      </c>
      <c r="E828" s="11" cm="1">
        <f t="array" ref="E828">_xlfn.XLOOKUP(fsales[[#This Row],[ProductID]],dProduct[[#All],[ProductID]],dProduct[[#All],[Price]])*fsales[[#This Row],[Units]]</f>
        <v>2156.4</v>
      </c>
      <c r="F828" s="11" t="str" cm="1">
        <f t="array" ref="F828">_xlfn.XLOOKUP(fsales[[#This Row],[ProductID]],dProduct[[#All],[ProductID]],dProduct[[#All],[Product]])</f>
        <v>Carlota</v>
      </c>
      <c r="G828" s="11" t="str" cm="1">
        <f t="array" ref="G828">_xlfn.XLOOKUP(fsales[[#This Row],[ProductID]],dProduct[[#All],[ProductID]],dProduct[[#All],[Supplier]])</f>
        <v>Gel Booms</v>
      </c>
      <c r="H828" s="11" t="str" cm="1">
        <f t="array" ref="H828">_xlfn.XLOOKUP(fsales[[#This Row],[SalesRepID]],dSalesRep[[#All],[SalesRepID]],dSalesRep[[#All],[Region]])</f>
        <v>CA</v>
      </c>
    </row>
    <row r="829" spans="1:8" x14ac:dyDescent="0.3">
      <c r="A829" s="1">
        <v>45463</v>
      </c>
      <c r="B829">
        <v>4</v>
      </c>
      <c r="C829">
        <v>4</v>
      </c>
      <c r="D829">
        <v>116</v>
      </c>
      <c r="E829" s="11" cm="1">
        <f t="array" ref="E829">_xlfn.XLOOKUP(fsales[[#This Row],[ProductID]],dProduct[[#All],[ProductID]],dProduct[[#All],[Price]])*fsales[[#This Row],[Units]]</f>
        <v>2778.2</v>
      </c>
      <c r="F829" s="11" t="str" cm="1">
        <f t="array" ref="F829">_xlfn.XLOOKUP(fsales[[#This Row],[ProductID]],dProduct[[#All],[ProductID]],dProduct[[#All],[Product]])</f>
        <v>Yanaki</v>
      </c>
      <c r="G829" s="11" t="str" cm="1">
        <f t="array" ref="G829">_xlfn.XLOOKUP(fsales[[#This Row],[ProductID]],dProduct[[#All],[ProductID]],dProduct[[#All],[Supplier]])</f>
        <v>Colorado Booms</v>
      </c>
      <c r="H829" s="11" t="str" cm="1">
        <f t="array" ref="H829">_xlfn.XLOOKUP(fsales[[#This Row],[SalesRepID]],dSalesRep[[#All],[SalesRepID]],dSalesRep[[#All],[Region]])</f>
        <v>WA</v>
      </c>
    </row>
    <row r="830" spans="1:8" x14ac:dyDescent="0.3">
      <c r="A830" s="1">
        <v>45519</v>
      </c>
      <c r="B830">
        <v>2</v>
      </c>
      <c r="C830">
        <v>2</v>
      </c>
      <c r="D830">
        <v>30</v>
      </c>
      <c r="E830" s="11" cm="1">
        <f t="array" ref="E830">_xlfn.XLOOKUP(fsales[[#This Row],[ProductID]],dProduct[[#All],[ProductID]],dProduct[[#All],[Price]])*fsales[[#This Row],[Units]]</f>
        <v>898.5</v>
      </c>
      <c r="F830" s="11" t="str" cm="1">
        <f t="array" ref="F830">_xlfn.XLOOKUP(fsales[[#This Row],[ProductID]],dProduct[[#All],[ProductID]],dProduct[[#All],[Product]])</f>
        <v>Carlota</v>
      </c>
      <c r="G830" s="11" t="str" cm="1">
        <f t="array" ref="G830">_xlfn.XLOOKUP(fsales[[#This Row],[ProductID]],dProduct[[#All],[ProductID]],dProduct[[#All],[Supplier]])</f>
        <v>Gel Booms</v>
      </c>
      <c r="H830" s="11" t="str" cm="1">
        <f t="array" ref="H830">_xlfn.XLOOKUP(fsales[[#This Row],[SalesRepID]],dSalesRep[[#All],[SalesRepID]],dSalesRep[[#All],[Region]])</f>
        <v>CA</v>
      </c>
    </row>
    <row r="831" spans="1:8" x14ac:dyDescent="0.3">
      <c r="A831" s="1">
        <v>45353</v>
      </c>
      <c r="B831">
        <v>3</v>
      </c>
      <c r="C831">
        <v>1</v>
      </c>
      <c r="D831">
        <v>107</v>
      </c>
      <c r="E831" s="11" cm="1">
        <f t="array" ref="E831">_xlfn.XLOOKUP(fsales[[#This Row],[ProductID]],dProduct[[#All],[ProductID]],dProduct[[#All],[Price]])*fsales[[#This Row],[Units]]</f>
        <v>2776.65</v>
      </c>
      <c r="F831" s="11" t="str" cm="1">
        <f t="array" ref="F831">_xlfn.XLOOKUP(fsales[[#This Row],[ProductID]],dProduct[[#All],[ProductID]],dProduct[[#All],[Product]])</f>
        <v>Aspen</v>
      </c>
      <c r="G831" s="11" t="str" cm="1">
        <f t="array" ref="G831">_xlfn.XLOOKUP(fsales[[#This Row],[ProductID]],dProduct[[#All],[ProductID]],dProduct[[#All],[Supplier]])</f>
        <v>Colorado Booms</v>
      </c>
      <c r="H831" s="11" t="str" cm="1">
        <f t="array" ref="H831">_xlfn.XLOOKUP(fsales[[#This Row],[SalesRepID]],dSalesRep[[#All],[SalesRepID]],dSalesRep[[#All],[Region]])</f>
        <v>CA</v>
      </c>
    </row>
    <row r="832" spans="1:8" x14ac:dyDescent="0.3">
      <c r="A832" s="1">
        <v>45613</v>
      </c>
      <c r="B832">
        <v>2</v>
      </c>
      <c r="C832">
        <v>4</v>
      </c>
      <c r="D832">
        <v>252</v>
      </c>
      <c r="E832" s="11" cm="1">
        <f t="array" ref="E832">_xlfn.XLOOKUP(fsales[[#This Row],[ProductID]],dProduct[[#All],[ProductID]],dProduct[[#All],[Price]])*fsales[[#This Row],[Units]]</f>
        <v>7547.4</v>
      </c>
      <c r="F832" s="11" t="str" cm="1">
        <f t="array" ref="F832">_xlfn.XLOOKUP(fsales[[#This Row],[ProductID]],dProduct[[#All],[ProductID]],dProduct[[#All],[Product]])</f>
        <v>Carlota</v>
      </c>
      <c r="G832" s="11" t="str" cm="1">
        <f t="array" ref="G832">_xlfn.XLOOKUP(fsales[[#This Row],[ProductID]],dProduct[[#All],[ProductID]],dProduct[[#All],[Supplier]])</f>
        <v>Gel Booms</v>
      </c>
      <c r="H832" s="11" t="str" cm="1">
        <f t="array" ref="H832">_xlfn.XLOOKUP(fsales[[#This Row],[SalesRepID]],dSalesRep[[#All],[SalesRepID]],dSalesRep[[#All],[Region]])</f>
        <v>WA</v>
      </c>
    </row>
    <row r="833" spans="1:8" x14ac:dyDescent="0.3">
      <c r="A833" s="1">
        <v>45573</v>
      </c>
      <c r="B833">
        <v>3</v>
      </c>
      <c r="C833">
        <v>4</v>
      </c>
      <c r="D833">
        <v>3</v>
      </c>
      <c r="E833" s="11" cm="1">
        <f t="array" ref="E833">_xlfn.XLOOKUP(fsales[[#This Row],[ProductID]],dProduct[[#All],[ProductID]],dProduct[[#All],[Price]])*fsales[[#This Row],[Units]]</f>
        <v>77.849999999999994</v>
      </c>
      <c r="F833" s="11" t="str" cm="1">
        <f t="array" ref="F833">_xlfn.XLOOKUP(fsales[[#This Row],[ProductID]],dProduct[[#All],[ProductID]],dProduct[[#All],[Product]])</f>
        <v>Aspen</v>
      </c>
      <c r="G833" s="11" t="str" cm="1">
        <f t="array" ref="G833">_xlfn.XLOOKUP(fsales[[#This Row],[ProductID]],dProduct[[#All],[ProductID]],dProduct[[#All],[Supplier]])</f>
        <v>Colorado Booms</v>
      </c>
      <c r="H833" s="11" t="str" cm="1">
        <f t="array" ref="H833">_xlfn.XLOOKUP(fsales[[#This Row],[SalesRepID]],dSalesRep[[#All],[SalesRepID]],dSalesRep[[#All],[Region]])</f>
        <v>WA</v>
      </c>
    </row>
    <row r="834" spans="1:8" x14ac:dyDescent="0.3">
      <c r="A834" s="1">
        <v>45595</v>
      </c>
      <c r="B834">
        <v>1</v>
      </c>
      <c r="C834">
        <v>4</v>
      </c>
      <c r="D834">
        <v>4</v>
      </c>
      <c r="E834" s="11" cm="1">
        <f t="array" ref="E834">_xlfn.XLOOKUP(fsales[[#This Row],[ProductID]],dProduct[[#All],[ProductID]],dProduct[[#All],[Price]])*fsales[[#This Row],[Units]]</f>
        <v>175.8</v>
      </c>
      <c r="F834" s="11" t="str" cm="1">
        <f t="array" ref="F834">_xlfn.XLOOKUP(fsales[[#This Row],[ProductID]],dProduct[[#All],[ProductID]],dProduct[[#All],[Product]])</f>
        <v>Quad</v>
      </c>
      <c r="G834" s="11" t="str" cm="1">
        <f t="array" ref="G834">_xlfn.XLOOKUP(fsales[[#This Row],[ProductID]],dProduct[[#All],[ProductID]],dProduct[[#All],[Supplier]])</f>
        <v>Gel Booms</v>
      </c>
      <c r="H834" s="11" t="str" cm="1">
        <f t="array" ref="H834">_xlfn.XLOOKUP(fsales[[#This Row],[SalesRepID]],dSalesRep[[#All],[SalesRepID]],dSalesRep[[#All],[Region]])</f>
        <v>WA</v>
      </c>
    </row>
    <row r="835" spans="1:8" x14ac:dyDescent="0.3">
      <c r="A835" s="1">
        <v>45310</v>
      </c>
      <c r="B835">
        <v>2</v>
      </c>
      <c r="C835">
        <v>4</v>
      </c>
      <c r="D835">
        <v>63</v>
      </c>
      <c r="E835" s="11" cm="1">
        <f t="array" ref="E835">_xlfn.XLOOKUP(fsales[[#This Row],[ProductID]],dProduct[[#All],[ProductID]],dProduct[[#All],[Price]])*fsales[[#This Row],[Units]]</f>
        <v>1886.85</v>
      </c>
      <c r="F835" s="11" t="str" cm="1">
        <f t="array" ref="F835">_xlfn.XLOOKUP(fsales[[#This Row],[ProductID]],dProduct[[#All],[ProductID]],dProduct[[#All],[Product]])</f>
        <v>Carlota</v>
      </c>
      <c r="G835" s="11" t="str" cm="1">
        <f t="array" ref="G835">_xlfn.XLOOKUP(fsales[[#This Row],[ProductID]],dProduct[[#All],[ProductID]],dProduct[[#All],[Supplier]])</f>
        <v>Gel Booms</v>
      </c>
      <c r="H835" s="11" t="str" cm="1">
        <f t="array" ref="H835">_xlfn.XLOOKUP(fsales[[#This Row],[SalesRepID]],dSalesRep[[#All],[SalesRepID]],dSalesRep[[#All],[Region]])</f>
        <v>WA</v>
      </c>
    </row>
    <row r="836" spans="1:8" x14ac:dyDescent="0.3">
      <c r="A836" s="1">
        <v>45554</v>
      </c>
      <c r="B836">
        <v>2</v>
      </c>
      <c r="C836">
        <v>2</v>
      </c>
      <c r="D836">
        <v>4</v>
      </c>
      <c r="E836" s="11" cm="1">
        <f t="array" ref="E836">_xlfn.XLOOKUP(fsales[[#This Row],[ProductID]],dProduct[[#All],[ProductID]],dProduct[[#All],[Price]])*fsales[[#This Row],[Units]]</f>
        <v>119.8</v>
      </c>
      <c r="F836" s="11" t="str" cm="1">
        <f t="array" ref="F836">_xlfn.XLOOKUP(fsales[[#This Row],[ProductID]],dProduct[[#All],[ProductID]],dProduct[[#All],[Product]])</f>
        <v>Carlota</v>
      </c>
      <c r="G836" s="11" t="str" cm="1">
        <f t="array" ref="G836">_xlfn.XLOOKUP(fsales[[#This Row],[ProductID]],dProduct[[#All],[ProductID]],dProduct[[#All],[Supplier]])</f>
        <v>Gel Booms</v>
      </c>
      <c r="H836" s="11" t="str" cm="1">
        <f t="array" ref="H836">_xlfn.XLOOKUP(fsales[[#This Row],[SalesRepID]],dSalesRep[[#All],[SalesRepID]],dSalesRep[[#All],[Region]])</f>
        <v>CA</v>
      </c>
    </row>
    <row r="837" spans="1:8" x14ac:dyDescent="0.3">
      <c r="A837" s="1">
        <v>45628</v>
      </c>
      <c r="B837">
        <v>2</v>
      </c>
      <c r="C837">
        <v>4</v>
      </c>
      <c r="D837">
        <v>5</v>
      </c>
      <c r="E837" s="11" cm="1">
        <f t="array" ref="E837">_xlfn.XLOOKUP(fsales[[#This Row],[ProductID]],dProduct[[#All],[ProductID]],dProduct[[#All],[Price]])*fsales[[#This Row],[Units]]</f>
        <v>149.75</v>
      </c>
      <c r="F837" s="11" t="str" cm="1">
        <f t="array" ref="F837">_xlfn.XLOOKUP(fsales[[#This Row],[ProductID]],dProduct[[#All],[ProductID]],dProduct[[#All],[Product]])</f>
        <v>Carlota</v>
      </c>
      <c r="G837" s="11" t="str" cm="1">
        <f t="array" ref="G837">_xlfn.XLOOKUP(fsales[[#This Row],[ProductID]],dProduct[[#All],[ProductID]],dProduct[[#All],[Supplier]])</f>
        <v>Gel Booms</v>
      </c>
      <c r="H837" s="11" t="str" cm="1">
        <f t="array" ref="H837">_xlfn.XLOOKUP(fsales[[#This Row],[SalesRepID]],dSalesRep[[#All],[SalesRepID]],dSalesRep[[#All],[Region]])</f>
        <v>WA</v>
      </c>
    </row>
    <row r="838" spans="1:8" x14ac:dyDescent="0.3">
      <c r="A838" s="1">
        <v>45635</v>
      </c>
      <c r="B838">
        <v>4</v>
      </c>
      <c r="C838">
        <v>2</v>
      </c>
      <c r="D838">
        <v>1</v>
      </c>
      <c r="E838" s="11" cm="1">
        <f t="array" ref="E838">_xlfn.XLOOKUP(fsales[[#This Row],[ProductID]],dProduct[[#All],[ProductID]],dProduct[[#All],[Price]])*fsales[[#This Row],[Units]]</f>
        <v>23.95</v>
      </c>
      <c r="F838" s="11" t="str" cm="1">
        <f t="array" ref="F838">_xlfn.XLOOKUP(fsales[[#This Row],[ProductID]],dProduct[[#All],[ProductID]],dProduct[[#All],[Product]])</f>
        <v>Yanaki</v>
      </c>
      <c r="G838" s="11" t="str" cm="1">
        <f t="array" ref="G838">_xlfn.XLOOKUP(fsales[[#This Row],[ProductID]],dProduct[[#All],[ProductID]],dProduct[[#All],[Supplier]])</f>
        <v>Colorado Booms</v>
      </c>
      <c r="H838" s="11" t="str" cm="1">
        <f t="array" ref="H838">_xlfn.XLOOKUP(fsales[[#This Row],[SalesRepID]],dSalesRep[[#All],[SalesRepID]],dSalesRep[[#All],[Region]])</f>
        <v>CA</v>
      </c>
    </row>
    <row r="839" spans="1:8" x14ac:dyDescent="0.3">
      <c r="A839" s="1">
        <v>45612</v>
      </c>
      <c r="B839">
        <v>2</v>
      </c>
      <c r="C839">
        <v>2</v>
      </c>
      <c r="D839">
        <v>62</v>
      </c>
      <c r="E839" s="11" cm="1">
        <f t="array" ref="E839">_xlfn.XLOOKUP(fsales[[#This Row],[ProductID]],dProduct[[#All],[ProductID]],dProduct[[#All],[Price]])*fsales[[#This Row],[Units]]</f>
        <v>1856.8999999999999</v>
      </c>
      <c r="F839" s="11" t="str" cm="1">
        <f t="array" ref="F839">_xlfn.XLOOKUP(fsales[[#This Row],[ProductID]],dProduct[[#All],[ProductID]],dProduct[[#All],[Product]])</f>
        <v>Carlota</v>
      </c>
      <c r="G839" s="11" t="str" cm="1">
        <f t="array" ref="G839">_xlfn.XLOOKUP(fsales[[#This Row],[ProductID]],dProduct[[#All],[ProductID]],dProduct[[#All],[Supplier]])</f>
        <v>Gel Booms</v>
      </c>
      <c r="H839" s="11" t="str" cm="1">
        <f t="array" ref="H839">_xlfn.XLOOKUP(fsales[[#This Row],[SalesRepID]],dSalesRep[[#All],[SalesRepID]],dSalesRep[[#All],[Region]])</f>
        <v>CA</v>
      </c>
    </row>
    <row r="840" spans="1:8" x14ac:dyDescent="0.3">
      <c r="A840" s="1">
        <v>45620</v>
      </c>
      <c r="B840">
        <v>2</v>
      </c>
      <c r="C840">
        <v>4</v>
      </c>
      <c r="D840">
        <v>163</v>
      </c>
      <c r="E840" s="11" cm="1">
        <f t="array" ref="E840">_xlfn.XLOOKUP(fsales[[#This Row],[ProductID]],dProduct[[#All],[ProductID]],dProduct[[#All],[Price]])*fsales[[#This Row],[Units]]</f>
        <v>4881.8499999999995</v>
      </c>
      <c r="F840" s="11" t="str" cm="1">
        <f t="array" ref="F840">_xlfn.XLOOKUP(fsales[[#This Row],[ProductID]],dProduct[[#All],[ProductID]],dProduct[[#All],[Product]])</f>
        <v>Carlota</v>
      </c>
      <c r="G840" s="11" t="str" cm="1">
        <f t="array" ref="G840">_xlfn.XLOOKUP(fsales[[#This Row],[ProductID]],dProduct[[#All],[ProductID]],dProduct[[#All],[Supplier]])</f>
        <v>Gel Booms</v>
      </c>
      <c r="H840" s="11" t="str" cm="1">
        <f t="array" ref="H840">_xlfn.XLOOKUP(fsales[[#This Row],[SalesRepID]],dSalesRep[[#All],[SalesRepID]],dSalesRep[[#All],[Region]])</f>
        <v>WA</v>
      </c>
    </row>
    <row r="841" spans="1:8" x14ac:dyDescent="0.3">
      <c r="A841" s="1">
        <v>45630</v>
      </c>
      <c r="B841">
        <v>2</v>
      </c>
      <c r="C841">
        <v>3</v>
      </c>
      <c r="D841">
        <v>85</v>
      </c>
      <c r="E841" s="11" cm="1">
        <f t="array" ref="E841">_xlfn.XLOOKUP(fsales[[#This Row],[ProductID]],dProduct[[#All],[ProductID]],dProduct[[#All],[Price]])*fsales[[#This Row],[Units]]</f>
        <v>2545.75</v>
      </c>
      <c r="F841" s="11" t="str" cm="1">
        <f t="array" ref="F841">_xlfn.XLOOKUP(fsales[[#This Row],[ProductID]],dProduct[[#All],[ProductID]],dProduct[[#All],[Product]])</f>
        <v>Carlota</v>
      </c>
      <c r="G841" s="11" t="str" cm="1">
        <f t="array" ref="G841">_xlfn.XLOOKUP(fsales[[#This Row],[ProductID]],dProduct[[#All],[ProductID]],dProduct[[#All],[Supplier]])</f>
        <v>Gel Booms</v>
      </c>
      <c r="H841" s="11" t="str" cm="1">
        <f t="array" ref="H841">_xlfn.XLOOKUP(fsales[[#This Row],[SalesRepID]],dSalesRep[[#All],[SalesRepID]],dSalesRep[[#All],[Region]])</f>
        <v>WA</v>
      </c>
    </row>
    <row r="842" spans="1:8" x14ac:dyDescent="0.3">
      <c r="A842" s="1">
        <v>45548</v>
      </c>
      <c r="B842">
        <v>2</v>
      </c>
      <c r="C842">
        <v>4</v>
      </c>
      <c r="D842">
        <v>2</v>
      </c>
      <c r="E842" s="11" cm="1">
        <f t="array" ref="E842">_xlfn.XLOOKUP(fsales[[#This Row],[ProductID]],dProduct[[#All],[ProductID]],dProduct[[#All],[Price]])*fsales[[#This Row],[Units]]</f>
        <v>59.9</v>
      </c>
      <c r="F842" s="11" t="str" cm="1">
        <f t="array" ref="F842">_xlfn.XLOOKUP(fsales[[#This Row],[ProductID]],dProduct[[#All],[ProductID]],dProduct[[#All],[Product]])</f>
        <v>Carlota</v>
      </c>
      <c r="G842" s="11" t="str" cm="1">
        <f t="array" ref="G842">_xlfn.XLOOKUP(fsales[[#This Row],[ProductID]],dProduct[[#All],[ProductID]],dProduct[[#All],[Supplier]])</f>
        <v>Gel Booms</v>
      </c>
      <c r="H842" s="11" t="str" cm="1">
        <f t="array" ref="H842">_xlfn.XLOOKUP(fsales[[#This Row],[SalesRepID]],dSalesRep[[#All],[SalesRepID]],dSalesRep[[#All],[Region]])</f>
        <v>WA</v>
      </c>
    </row>
    <row r="843" spans="1:8" x14ac:dyDescent="0.3">
      <c r="A843" s="1">
        <v>45340</v>
      </c>
      <c r="B843">
        <v>4</v>
      </c>
      <c r="C843">
        <v>2</v>
      </c>
      <c r="D843">
        <v>294</v>
      </c>
      <c r="E843" s="11" cm="1">
        <f t="array" ref="E843">_xlfn.XLOOKUP(fsales[[#This Row],[ProductID]],dProduct[[#All],[ProductID]],dProduct[[#All],[Price]])*fsales[[#This Row],[Units]]</f>
        <v>7041.3</v>
      </c>
      <c r="F843" s="11" t="str" cm="1">
        <f t="array" ref="F843">_xlfn.XLOOKUP(fsales[[#This Row],[ProductID]],dProduct[[#All],[ProductID]],dProduct[[#All],[Product]])</f>
        <v>Yanaki</v>
      </c>
      <c r="G843" s="11" t="str" cm="1">
        <f t="array" ref="G843">_xlfn.XLOOKUP(fsales[[#This Row],[ProductID]],dProduct[[#All],[ProductID]],dProduct[[#All],[Supplier]])</f>
        <v>Colorado Booms</v>
      </c>
      <c r="H843" s="11" t="str" cm="1">
        <f t="array" ref="H843">_xlfn.XLOOKUP(fsales[[#This Row],[SalesRepID]],dSalesRep[[#All],[SalesRepID]],dSalesRep[[#All],[Region]])</f>
        <v>CA</v>
      </c>
    </row>
    <row r="844" spans="1:8" x14ac:dyDescent="0.3">
      <c r="A844" s="1">
        <v>45492</v>
      </c>
      <c r="B844">
        <v>2</v>
      </c>
      <c r="C844">
        <v>2</v>
      </c>
      <c r="D844">
        <v>246</v>
      </c>
      <c r="E844" s="11" cm="1">
        <f t="array" ref="E844">_xlfn.XLOOKUP(fsales[[#This Row],[ProductID]],dProduct[[#All],[ProductID]],dProduct[[#All],[Price]])*fsales[[#This Row],[Units]]</f>
        <v>7367.7</v>
      </c>
      <c r="F844" s="11" t="str" cm="1">
        <f t="array" ref="F844">_xlfn.XLOOKUP(fsales[[#This Row],[ProductID]],dProduct[[#All],[ProductID]],dProduct[[#All],[Product]])</f>
        <v>Carlota</v>
      </c>
      <c r="G844" s="11" t="str" cm="1">
        <f t="array" ref="G844">_xlfn.XLOOKUP(fsales[[#This Row],[ProductID]],dProduct[[#All],[ProductID]],dProduct[[#All],[Supplier]])</f>
        <v>Gel Booms</v>
      </c>
      <c r="H844" s="11" t="str" cm="1">
        <f t="array" ref="H844">_xlfn.XLOOKUP(fsales[[#This Row],[SalesRepID]],dSalesRep[[#All],[SalesRepID]],dSalesRep[[#All],[Region]])</f>
        <v>CA</v>
      </c>
    </row>
    <row r="845" spans="1:8" x14ac:dyDescent="0.3">
      <c r="A845" s="1">
        <v>45365</v>
      </c>
      <c r="B845">
        <v>3</v>
      </c>
      <c r="C845">
        <v>2</v>
      </c>
      <c r="D845">
        <v>1</v>
      </c>
      <c r="E845" s="11" cm="1">
        <f t="array" ref="E845">_xlfn.XLOOKUP(fsales[[#This Row],[ProductID]],dProduct[[#All],[ProductID]],dProduct[[#All],[Price]])*fsales[[#This Row],[Units]]</f>
        <v>25.95</v>
      </c>
      <c r="F845" s="11" t="str" cm="1">
        <f t="array" ref="F845">_xlfn.XLOOKUP(fsales[[#This Row],[ProductID]],dProduct[[#All],[ProductID]],dProduct[[#All],[Product]])</f>
        <v>Aspen</v>
      </c>
      <c r="G845" s="11" t="str" cm="1">
        <f t="array" ref="G845">_xlfn.XLOOKUP(fsales[[#This Row],[ProductID]],dProduct[[#All],[ProductID]],dProduct[[#All],[Supplier]])</f>
        <v>Colorado Booms</v>
      </c>
      <c r="H845" s="11" t="str" cm="1">
        <f t="array" ref="H845">_xlfn.XLOOKUP(fsales[[#This Row],[SalesRepID]],dSalesRep[[#All],[SalesRepID]],dSalesRep[[#All],[Region]])</f>
        <v>CA</v>
      </c>
    </row>
    <row r="846" spans="1:8" x14ac:dyDescent="0.3">
      <c r="A846" s="1">
        <v>45510</v>
      </c>
      <c r="B846">
        <v>4</v>
      </c>
      <c r="C846">
        <v>2</v>
      </c>
      <c r="D846">
        <v>97</v>
      </c>
      <c r="E846" s="11" cm="1">
        <f t="array" ref="E846">_xlfn.XLOOKUP(fsales[[#This Row],[ProductID]],dProduct[[#All],[ProductID]],dProduct[[#All],[Price]])*fsales[[#This Row],[Units]]</f>
        <v>2323.15</v>
      </c>
      <c r="F846" s="11" t="str" cm="1">
        <f t="array" ref="F846">_xlfn.XLOOKUP(fsales[[#This Row],[ProductID]],dProduct[[#All],[ProductID]],dProduct[[#All],[Product]])</f>
        <v>Yanaki</v>
      </c>
      <c r="G846" s="11" t="str" cm="1">
        <f t="array" ref="G846">_xlfn.XLOOKUP(fsales[[#This Row],[ProductID]],dProduct[[#All],[ProductID]],dProduct[[#All],[Supplier]])</f>
        <v>Colorado Booms</v>
      </c>
      <c r="H846" s="11" t="str" cm="1">
        <f t="array" ref="H846">_xlfn.XLOOKUP(fsales[[#This Row],[SalesRepID]],dSalesRep[[#All],[SalesRepID]],dSalesRep[[#All],[Region]])</f>
        <v>CA</v>
      </c>
    </row>
    <row r="847" spans="1:8" x14ac:dyDescent="0.3">
      <c r="A847" s="1">
        <v>45614</v>
      </c>
      <c r="B847">
        <v>2</v>
      </c>
      <c r="C847">
        <v>2</v>
      </c>
      <c r="D847">
        <v>6</v>
      </c>
      <c r="E847" s="11" cm="1">
        <f t="array" ref="E847">_xlfn.XLOOKUP(fsales[[#This Row],[ProductID]],dProduct[[#All],[ProductID]],dProduct[[#All],[Price]])*fsales[[#This Row],[Units]]</f>
        <v>179.7</v>
      </c>
      <c r="F847" s="11" t="str" cm="1">
        <f t="array" ref="F847">_xlfn.XLOOKUP(fsales[[#This Row],[ProductID]],dProduct[[#All],[ProductID]],dProduct[[#All],[Product]])</f>
        <v>Carlota</v>
      </c>
      <c r="G847" s="11" t="str" cm="1">
        <f t="array" ref="G847">_xlfn.XLOOKUP(fsales[[#This Row],[ProductID]],dProduct[[#All],[ProductID]],dProduct[[#All],[Supplier]])</f>
        <v>Gel Booms</v>
      </c>
      <c r="H847" s="11" t="str" cm="1">
        <f t="array" ref="H847">_xlfn.XLOOKUP(fsales[[#This Row],[SalesRepID]],dSalesRep[[#All],[SalesRepID]],dSalesRep[[#All],[Region]])</f>
        <v>CA</v>
      </c>
    </row>
    <row r="848" spans="1:8" x14ac:dyDescent="0.3">
      <c r="A848" s="1">
        <v>45399</v>
      </c>
      <c r="B848">
        <v>2</v>
      </c>
      <c r="C848">
        <v>4</v>
      </c>
      <c r="D848">
        <v>5</v>
      </c>
      <c r="E848" s="11" cm="1">
        <f t="array" ref="E848">_xlfn.XLOOKUP(fsales[[#This Row],[ProductID]],dProduct[[#All],[ProductID]],dProduct[[#All],[Price]])*fsales[[#This Row],[Units]]</f>
        <v>149.75</v>
      </c>
      <c r="F848" s="11" t="str" cm="1">
        <f t="array" ref="F848">_xlfn.XLOOKUP(fsales[[#This Row],[ProductID]],dProduct[[#All],[ProductID]],dProduct[[#All],[Product]])</f>
        <v>Carlota</v>
      </c>
      <c r="G848" s="11" t="str" cm="1">
        <f t="array" ref="G848">_xlfn.XLOOKUP(fsales[[#This Row],[ProductID]],dProduct[[#All],[ProductID]],dProduct[[#All],[Supplier]])</f>
        <v>Gel Booms</v>
      </c>
      <c r="H848" s="11" t="str" cm="1">
        <f t="array" ref="H848">_xlfn.XLOOKUP(fsales[[#This Row],[SalesRepID]],dSalesRep[[#All],[SalesRepID]],dSalesRep[[#All],[Region]])</f>
        <v>WA</v>
      </c>
    </row>
    <row r="849" spans="1:8" x14ac:dyDescent="0.3">
      <c r="A849" s="1">
        <v>45609</v>
      </c>
      <c r="B849">
        <v>4</v>
      </c>
      <c r="C849">
        <v>2</v>
      </c>
      <c r="D849">
        <v>291</v>
      </c>
      <c r="E849" s="11" cm="1">
        <f t="array" ref="E849">_xlfn.XLOOKUP(fsales[[#This Row],[ProductID]],dProduct[[#All],[ProductID]],dProduct[[#All],[Price]])*fsales[[#This Row],[Units]]</f>
        <v>6969.45</v>
      </c>
      <c r="F849" s="11" t="str" cm="1">
        <f t="array" ref="F849">_xlfn.XLOOKUP(fsales[[#This Row],[ProductID]],dProduct[[#All],[ProductID]],dProduct[[#All],[Product]])</f>
        <v>Yanaki</v>
      </c>
      <c r="G849" s="11" t="str" cm="1">
        <f t="array" ref="G849">_xlfn.XLOOKUP(fsales[[#This Row],[ProductID]],dProduct[[#All],[ProductID]],dProduct[[#All],[Supplier]])</f>
        <v>Colorado Booms</v>
      </c>
      <c r="H849" s="11" t="str" cm="1">
        <f t="array" ref="H849">_xlfn.XLOOKUP(fsales[[#This Row],[SalesRepID]],dSalesRep[[#All],[SalesRepID]],dSalesRep[[#All],[Region]])</f>
        <v>CA</v>
      </c>
    </row>
    <row r="850" spans="1:8" x14ac:dyDescent="0.3">
      <c r="A850" s="1">
        <v>45438</v>
      </c>
      <c r="B850">
        <v>2</v>
      </c>
      <c r="C850">
        <v>3</v>
      </c>
      <c r="D850">
        <v>161</v>
      </c>
      <c r="E850" s="11" cm="1">
        <f t="array" ref="E850">_xlfn.XLOOKUP(fsales[[#This Row],[ProductID]],dProduct[[#All],[ProductID]],dProduct[[#All],[Price]])*fsales[[#This Row],[Units]]</f>
        <v>4821.95</v>
      </c>
      <c r="F850" s="11" t="str" cm="1">
        <f t="array" ref="F850">_xlfn.XLOOKUP(fsales[[#This Row],[ProductID]],dProduct[[#All],[ProductID]],dProduct[[#All],[Product]])</f>
        <v>Carlota</v>
      </c>
      <c r="G850" s="11" t="str" cm="1">
        <f t="array" ref="G850">_xlfn.XLOOKUP(fsales[[#This Row],[ProductID]],dProduct[[#All],[ProductID]],dProduct[[#All],[Supplier]])</f>
        <v>Gel Booms</v>
      </c>
      <c r="H850" s="11" t="str" cm="1">
        <f t="array" ref="H850">_xlfn.XLOOKUP(fsales[[#This Row],[SalesRepID]],dSalesRep[[#All],[SalesRepID]],dSalesRep[[#All],[Region]])</f>
        <v>WA</v>
      </c>
    </row>
    <row r="851" spans="1:8" x14ac:dyDescent="0.3">
      <c r="A851" s="1">
        <v>45458</v>
      </c>
      <c r="B851">
        <v>4</v>
      </c>
      <c r="C851">
        <v>2</v>
      </c>
      <c r="D851">
        <v>70</v>
      </c>
      <c r="E851" s="11" cm="1">
        <f t="array" ref="E851">_xlfn.XLOOKUP(fsales[[#This Row],[ProductID]],dProduct[[#All],[ProductID]],dProduct[[#All],[Price]])*fsales[[#This Row],[Units]]</f>
        <v>1676.5</v>
      </c>
      <c r="F851" s="11" t="str" cm="1">
        <f t="array" ref="F851">_xlfn.XLOOKUP(fsales[[#This Row],[ProductID]],dProduct[[#All],[ProductID]],dProduct[[#All],[Product]])</f>
        <v>Yanaki</v>
      </c>
      <c r="G851" s="11" t="str" cm="1">
        <f t="array" ref="G851">_xlfn.XLOOKUP(fsales[[#This Row],[ProductID]],dProduct[[#All],[ProductID]],dProduct[[#All],[Supplier]])</f>
        <v>Colorado Booms</v>
      </c>
      <c r="H851" s="11" t="str" cm="1">
        <f t="array" ref="H851">_xlfn.XLOOKUP(fsales[[#This Row],[SalesRepID]],dSalesRep[[#All],[SalesRepID]],dSalesRep[[#All],[Region]])</f>
        <v>CA</v>
      </c>
    </row>
    <row r="852" spans="1:8" x14ac:dyDescent="0.3">
      <c r="A852" s="1">
        <v>45648</v>
      </c>
      <c r="B852">
        <v>2</v>
      </c>
      <c r="C852">
        <v>2</v>
      </c>
      <c r="D852">
        <v>4</v>
      </c>
      <c r="E852" s="11" cm="1">
        <f t="array" ref="E852">_xlfn.XLOOKUP(fsales[[#This Row],[ProductID]],dProduct[[#All],[ProductID]],dProduct[[#All],[Price]])*fsales[[#This Row],[Units]]</f>
        <v>119.8</v>
      </c>
      <c r="F852" s="11" t="str" cm="1">
        <f t="array" ref="F852">_xlfn.XLOOKUP(fsales[[#This Row],[ProductID]],dProduct[[#All],[ProductID]],dProduct[[#All],[Product]])</f>
        <v>Carlota</v>
      </c>
      <c r="G852" s="11" t="str" cm="1">
        <f t="array" ref="G852">_xlfn.XLOOKUP(fsales[[#This Row],[ProductID]],dProduct[[#All],[ProductID]],dProduct[[#All],[Supplier]])</f>
        <v>Gel Booms</v>
      </c>
      <c r="H852" s="11" t="str" cm="1">
        <f t="array" ref="H852">_xlfn.XLOOKUP(fsales[[#This Row],[SalesRepID]],dSalesRep[[#All],[SalesRepID]],dSalesRep[[#All],[Region]])</f>
        <v>CA</v>
      </c>
    </row>
    <row r="853" spans="1:8" x14ac:dyDescent="0.3">
      <c r="A853" s="1">
        <v>45386</v>
      </c>
      <c r="B853">
        <v>2</v>
      </c>
      <c r="C853">
        <v>4</v>
      </c>
      <c r="D853">
        <v>2</v>
      </c>
      <c r="E853" s="11" cm="1">
        <f t="array" ref="E853">_xlfn.XLOOKUP(fsales[[#This Row],[ProductID]],dProduct[[#All],[ProductID]],dProduct[[#All],[Price]])*fsales[[#This Row],[Units]]</f>
        <v>59.9</v>
      </c>
      <c r="F853" s="11" t="str" cm="1">
        <f t="array" ref="F853">_xlfn.XLOOKUP(fsales[[#This Row],[ProductID]],dProduct[[#All],[ProductID]],dProduct[[#All],[Product]])</f>
        <v>Carlota</v>
      </c>
      <c r="G853" s="11" t="str" cm="1">
        <f t="array" ref="G853">_xlfn.XLOOKUP(fsales[[#This Row],[ProductID]],dProduct[[#All],[ProductID]],dProduct[[#All],[Supplier]])</f>
        <v>Gel Booms</v>
      </c>
      <c r="H853" s="11" t="str" cm="1">
        <f t="array" ref="H853">_xlfn.XLOOKUP(fsales[[#This Row],[SalesRepID]],dSalesRep[[#All],[SalesRepID]],dSalesRep[[#All],[Region]])</f>
        <v>WA</v>
      </c>
    </row>
    <row r="854" spans="1:8" x14ac:dyDescent="0.3">
      <c r="A854" s="1">
        <v>45611</v>
      </c>
      <c r="B854">
        <v>2</v>
      </c>
      <c r="C854">
        <v>2</v>
      </c>
      <c r="D854">
        <v>26</v>
      </c>
      <c r="E854" s="11" cm="1">
        <f t="array" ref="E854">_xlfn.XLOOKUP(fsales[[#This Row],[ProductID]],dProduct[[#All],[ProductID]],dProduct[[#All],[Price]])*fsales[[#This Row],[Units]]</f>
        <v>778.69999999999993</v>
      </c>
      <c r="F854" s="11" t="str" cm="1">
        <f t="array" ref="F854">_xlfn.XLOOKUP(fsales[[#This Row],[ProductID]],dProduct[[#All],[ProductID]],dProduct[[#All],[Product]])</f>
        <v>Carlota</v>
      </c>
      <c r="G854" s="11" t="str" cm="1">
        <f t="array" ref="G854">_xlfn.XLOOKUP(fsales[[#This Row],[ProductID]],dProduct[[#All],[ProductID]],dProduct[[#All],[Supplier]])</f>
        <v>Gel Booms</v>
      </c>
      <c r="H854" s="11" t="str" cm="1">
        <f t="array" ref="H854">_xlfn.XLOOKUP(fsales[[#This Row],[SalesRepID]],dSalesRep[[#All],[SalesRepID]],dSalesRep[[#All],[Region]])</f>
        <v>CA</v>
      </c>
    </row>
    <row r="855" spans="1:8" x14ac:dyDescent="0.3">
      <c r="A855" s="1">
        <v>45477</v>
      </c>
      <c r="B855">
        <v>1</v>
      </c>
      <c r="C855">
        <v>2</v>
      </c>
      <c r="D855">
        <v>102</v>
      </c>
      <c r="E855" s="11" cm="1">
        <f t="array" ref="E855">_xlfn.XLOOKUP(fsales[[#This Row],[ProductID]],dProduct[[#All],[ProductID]],dProduct[[#All],[Price]])*fsales[[#This Row],[Units]]</f>
        <v>4482.9000000000005</v>
      </c>
      <c r="F855" s="11" t="str" cm="1">
        <f t="array" ref="F855">_xlfn.XLOOKUP(fsales[[#This Row],[ProductID]],dProduct[[#All],[ProductID]],dProduct[[#All],[Product]])</f>
        <v>Quad</v>
      </c>
      <c r="G855" s="11" t="str" cm="1">
        <f t="array" ref="G855">_xlfn.XLOOKUP(fsales[[#This Row],[ProductID]],dProduct[[#All],[ProductID]],dProduct[[#All],[Supplier]])</f>
        <v>Gel Booms</v>
      </c>
      <c r="H855" s="11" t="str" cm="1">
        <f t="array" ref="H855">_xlfn.XLOOKUP(fsales[[#This Row],[SalesRepID]],dSalesRep[[#All],[SalesRepID]],dSalesRep[[#All],[Region]])</f>
        <v>CA</v>
      </c>
    </row>
    <row r="856" spans="1:8" x14ac:dyDescent="0.3">
      <c r="A856" s="1">
        <v>45621</v>
      </c>
      <c r="B856">
        <v>2</v>
      </c>
      <c r="C856">
        <v>4</v>
      </c>
      <c r="D856">
        <v>94</v>
      </c>
      <c r="E856" s="11" cm="1">
        <f t="array" ref="E856">_xlfn.XLOOKUP(fsales[[#This Row],[ProductID]],dProduct[[#All],[ProductID]],dProduct[[#All],[Price]])*fsales[[#This Row],[Units]]</f>
        <v>2815.2999999999997</v>
      </c>
      <c r="F856" s="11" t="str" cm="1">
        <f t="array" ref="F856">_xlfn.XLOOKUP(fsales[[#This Row],[ProductID]],dProduct[[#All],[ProductID]],dProduct[[#All],[Product]])</f>
        <v>Carlota</v>
      </c>
      <c r="G856" s="11" t="str" cm="1">
        <f t="array" ref="G856">_xlfn.XLOOKUP(fsales[[#This Row],[ProductID]],dProduct[[#All],[ProductID]],dProduct[[#All],[Supplier]])</f>
        <v>Gel Booms</v>
      </c>
      <c r="H856" s="11" t="str" cm="1">
        <f t="array" ref="H856">_xlfn.XLOOKUP(fsales[[#This Row],[SalesRepID]],dSalesRep[[#All],[SalesRepID]],dSalesRep[[#All],[Region]])</f>
        <v>WA</v>
      </c>
    </row>
    <row r="857" spans="1:8" x14ac:dyDescent="0.3">
      <c r="A857" s="1">
        <v>45471</v>
      </c>
      <c r="B857">
        <v>4</v>
      </c>
      <c r="C857">
        <v>2</v>
      </c>
      <c r="D857">
        <v>263</v>
      </c>
      <c r="E857" s="11" cm="1">
        <f t="array" ref="E857">_xlfn.XLOOKUP(fsales[[#This Row],[ProductID]],dProduct[[#All],[ProductID]],dProduct[[#All],[Price]])*fsales[[#This Row],[Units]]</f>
        <v>6298.8499999999995</v>
      </c>
      <c r="F857" s="11" t="str" cm="1">
        <f t="array" ref="F857">_xlfn.XLOOKUP(fsales[[#This Row],[ProductID]],dProduct[[#All],[ProductID]],dProduct[[#All],[Product]])</f>
        <v>Yanaki</v>
      </c>
      <c r="G857" s="11" t="str" cm="1">
        <f t="array" ref="G857">_xlfn.XLOOKUP(fsales[[#This Row],[ProductID]],dProduct[[#All],[ProductID]],dProduct[[#All],[Supplier]])</f>
        <v>Colorado Booms</v>
      </c>
      <c r="H857" s="11" t="str" cm="1">
        <f t="array" ref="H857">_xlfn.XLOOKUP(fsales[[#This Row],[SalesRepID]],dSalesRep[[#All],[SalesRepID]],dSalesRep[[#All],[Region]])</f>
        <v>CA</v>
      </c>
    </row>
    <row r="858" spans="1:8" x14ac:dyDescent="0.3">
      <c r="A858" s="1">
        <v>45552</v>
      </c>
      <c r="B858">
        <v>4</v>
      </c>
      <c r="C858">
        <v>1</v>
      </c>
      <c r="D858">
        <v>72</v>
      </c>
      <c r="E858" s="11" cm="1">
        <f t="array" ref="E858">_xlfn.XLOOKUP(fsales[[#This Row],[ProductID]],dProduct[[#All],[ProductID]],dProduct[[#All],[Price]])*fsales[[#This Row],[Units]]</f>
        <v>1724.3999999999999</v>
      </c>
      <c r="F858" s="11" t="str" cm="1">
        <f t="array" ref="F858">_xlfn.XLOOKUP(fsales[[#This Row],[ProductID]],dProduct[[#All],[ProductID]],dProduct[[#All],[Product]])</f>
        <v>Yanaki</v>
      </c>
      <c r="G858" s="11" t="str" cm="1">
        <f t="array" ref="G858">_xlfn.XLOOKUP(fsales[[#This Row],[ProductID]],dProduct[[#All],[ProductID]],dProduct[[#All],[Supplier]])</f>
        <v>Colorado Booms</v>
      </c>
      <c r="H858" s="11" t="str" cm="1">
        <f t="array" ref="H858">_xlfn.XLOOKUP(fsales[[#This Row],[SalesRepID]],dSalesRep[[#All],[SalesRepID]],dSalesRep[[#All],[Region]])</f>
        <v>CA</v>
      </c>
    </row>
    <row r="859" spans="1:8" x14ac:dyDescent="0.3">
      <c r="A859" s="1">
        <v>45640</v>
      </c>
      <c r="B859">
        <v>1</v>
      </c>
      <c r="C859">
        <v>2</v>
      </c>
      <c r="D859">
        <v>6</v>
      </c>
      <c r="E859" s="11" cm="1">
        <f t="array" ref="E859">_xlfn.XLOOKUP(fsales[[#This Row],[ProductID]],dProduct[[#All],[ProductID]],dProduct[[#All],[Price]])*fsales[[#This Row],[Units]]</f>
        <v>263.70000000000005</v>
      </c>
      <c r="F859" s="11" t="str" cm="1">
        <f t="array" ref="F859">_xlfn.XLOOKUP(fsales[[#This Row],[ProductID]],dProduct[[#All],[ProductID]],dProduct[[#All],[Product]])</f>
        <v>Quad</v>
      </c>
      <c r="G859" s="11" t="str" cm="1">
        <f t="array" ref="G859">_xlfn.XLOOKUP(fsales[[#This Row],[ProductID]],dProduct[[#All],[ProductID]],dProduct[[#All],[Supplier]])</f>
        <v>Gel Booms</v>
      </c>
      <c r="H859" s="11" t="str" cm="1">
        <f t="array" ref="H859">_xlfn.XLOOKUP(fsales[[#This Row],[SalesRepID]],dSalesRep[[#All],[SalesRepID]],dSalesRep[[#All],[Region]])</f>
        <v>CA</v>
      </c>
    </row>
    <row r="860" spans="1:8" x14ac:dyDescent="0.3">
      <c r="A860" s="1">
        <v>45648</v>
      </c>
      <c r="B860">
        <v>2</v>
      </c>
      <c r="C860">
        <v>4</v>
      </c>
      <c r="D860">
        <v>4</v>
      </c>
      <c r="E860" s="11" cm="1">
        <f t="array" ref="E860">_xlfn.XLOOKUP(fsales[[#This Row],[ProductID]],dProduct[[#All],[ProductID]],dProduct[[#All],[Price]])*fsales[[#This Row],[Units]]</f>
        <v>119.8</v>
      </c>
      <c r="F860" s="11" t="str" cm="1">
        <f t="array" ref="F860">_xlfn.XLOOKUP(fsales[[#This Row],[ProductID]],dProduct[[#All],[ProductID]],dProduct[[#All],[Product]])</f>
        <v>Carlota</v>
      </c>
      <c r="G860" s="11" t="str" cm="1">
        <f t="array" ref="G860">_xlfn.XLOOKUP(fsales[[#This Row],[ProductID]],dProduct[[#All],[ProductID]],dProduct[[#All],[Supplier]])</f>
        <v>Gel Booms</v>
      </c>
      <c r="H860" s="11" t="str" cm="1">
        <f t="array" ref="H860">_xlfn.XLOOKUP(fsales[[#This Row],[SalesRepID]],dSalesRep[[#All],[SalesRepID]],dSalesRep[[#All],[Region]])</f>
        <v>WA</v>
      </c>
    </row>
    <row r="861" spans="1:8" x14ac:dyDescent="0.3">
      <c r="A861" s="1">
        <v>45599</v>
      </c>
      <c r="B861">
        <v>1</v>
      </c>
      <c r="C861">
        <v>4</v>
      </c>
      <c r="D861">
        <v>4</v>
      </c>
      <c r="E861" s="11" cm="1">
        <f t="array" ref="E861">_xlfn.XLOOKUP(fsales[[#This Row],[ProductID]],dProduct[[#All],[ProductID]],dProduct[[#All],[Price]])*fsales[[#This Row],[Units]]</f>
        <v>175.8</v>
      </c>
      <c r="F861" s="11" t="str" cm="1">
        <f t="array" ref="F861">_xlfn.XLOOKUP(fsales[[#This Row],[ProductID]],dProduct[[#All],[ProductID]],dProduct[[#All],[Product]])</f>
        <v>Quad</v>
      </c>
      <c r="G861" s="11" t="str" cm="1">
        <f t="array" ref="G861">_xlfn.XLOOKUP(fsales[[#This Row],[ProductID]],dProduct[[#All],[ProductID]],dProduct[[#All],[Supplier]])</f>
        <v>Gel Booms</v>
      </c>
      <c r="H861" s="11" t="str" cm="1">
        <f t="array" ref="H861">_xlfn.XLOOKUP(fsales[[#This Row],[SalesRepID]],dSalesRep[[#All],[SalesRepID]],dSalesRep[[#All],[Region]])</f>
        <v>WA</v>
      </c>
    </row>
    <row r="862" spans="1:8" x14ac:dyDescent="0.3">
      <c r="A862" s="1">
        <v>45438</v>
      </c>
      <c r="B862">
        <v>1</v>
      </c>
      <c r="C862">
        <v>4</v>
      </c>
      <c r="D862">
        <v>64</v>
      </c>
      <c r="E862" s="11" cm="1">
        <f t="array" ref="E862">_xlfn.XLOOKUP(fsales[[#This Row],[ProductID]],dProduct[[#All],[ProductID]],dProduct[[#All],[Price]])*fsales[[#This Row],[Units]]</f>
        <v>2812.8</v>
      </c>
      <c r="F862" s="11" t="str" cm="1">
        <f t="array" ref="F862">_xlfn.XLOOKUP(fsales[[#This Row],[ProductID]],dProduct[[#All],[ProductID]],dProduct[[#All],[Product]])</f>
        <v>Quad</v>
      </c>
      <c r="G862" s="11" t="str" cm="1">
        <f t="array" ref="G862">_xlfn.XLOOKUP(fsales[[#This Row],[ProductID]],dProduct[[#All],[ProductID]],dProduct[[#All],[Supplier]])</f>
        <v>Gel Booms</v>
      </c>
      <c r="H862" s="11" t="str" cm="1">
        <f t="array" ref="H862">_xlfn.XLOOKUP(fsales[[#This Row],[SalesRepID]],dSalesRep[[#All],[SalesRepID]],dSalesRep[[#All],[Region]])</f>
        <v>WA</v>
      </c>
    </row>
    <row r="863" spans="1:8" x14ac:dyDescent="0.3">
      <c r="A863" s="1">
        <v>45621</v>
      </c>
      <c r="B863">
        <v>2</v>
      </c>
      <c r="C863">
        <v>2</v>
      </c>
      <c r="D863">
        <v>4</v>
      </c>
      <c r="E863" s="11" cm="1">
        <f t="array" ref="E863">_xlfn.XLOOKUP(fsales[[#This Row],[ProductID]],dProduct[[#All],[ProductID]],dProduct[[#All],[Price]])*fsales[[#This Row],[Units]]</f>
        <v>119.8</v>
      </c>
      <c r="F863" s="11" t="str" cm="1">
        <f t="array" ref="F863">_xlfn.XLOOKUP(fsales[[#This Row],[ProductID]],dProduct[[#All],[ProductID]],dProduct[[#All],[Product]])</f>
        <v>Carlota</v>
      </c>
      <c r="G863" s="11" t="str" cm="1">
        <f t="array" ref="G863">_xlfn.XLOOKUP(fsales[[#This Row],[ProductID]],dProduct[[#All],[ProductID]],dProduct[[#All],[Supplier]])</f>
        <v>Gel Booms</v>
      </c>
      <c r="H863" s="11" t="str" cm="1">
        <f t="array" ref="H863">_xlfn.XLOOKUP(fsales[[#This Row],[SalesRepID]],dSalesRep[[#All],[SalesRepID]],dSalesRep[[#All],[Region]])</f>
        <v>CA</v>
      </c>
    </row>
    <row r="864" spans="1:8" x14ac:dyDescent="0.3">
      <c r="A864" s="1">
        <v>45592</v>
      </c>
      <c r="B864">
        <v>2</v>
      </c>
      <c r="C864">
        <v>4</v>
      </c>
      <c r="D864">
        <v>1</v>
      </c>
      <c r="E864" s="11" cm="1">
        <f t="array" ref="E864">_xlfn.XLOOKUP(fsales[[#This Row],[ProductID]],dProduct[[#All],[ProductID]],dProduct[[#All],[Price]])*fsales[[#This Row],[Units]]</f>
        <v>29.95</v>
      </c>
      <c r="F864" s="11" t="str" cm="1">
        <f t="array" ref="F864">_xlfn.XLOOKUP(fsales[[#This Row],[ProductID]],dProduct[[#All],[ProductID]],dProduct[[#All],[Product]])</f>
        <v>Carlota</v>
      </c>
      <c r="G864" s="11" t="str" cm="1">
        <f t="array" ref="G864">_xlfn.XLOOKUP(fsales[[#This Row],[ProductID]],dProduct[[#All],[ProductID]],dProduct[[#All],[Supplier]])</f>
        <v>Gel Booms</v>
      </c>
      <c r="H864" s="11" t="str" cm="1">
        <f t="array" ref="H864">_xlfn.XLOOKUP(fsales[[#This Row],[SalesRepID]],dSalesRep[[#All],[SalesRepID]],dSalesRep[[#All],[Region]])</f>
        <v>WA</v>
      </c>
    </row>
    <row r="865" spans="1:8" x14ac:dyDescent="0.3">
      <c r="A865" s="1">
        <v>45576</v>
      </c>
      <c r="B865">
        <v>1</v>
      </c>
      <c r="C865">
        <v>4</v>
      </c>
      <c r="D865">
        <v>6</v>
      </c>
      <c r="E865" s="11" cm="1">
        <f t="array" ref="E865">_xlfn.XLOOKUP(fsales[[#This Row],[ProductID]],dProduct[[#All],[ProductID]],dProduct[[#All],[Price]])*fsales[[#This Row],[Units]]</f>
        <v>263.70000000000005</v>
      </c>
      <c r="F865" s="11" t="str" cm="1">
        <f t="array" ref="F865">_xlfn.XLOOKUP(fsales[[#This Row],[ProductID]],dProduct[[#All],[ProductID]],dProduct[[#All],[Product]])</f>
        <v>Quad</v>
      </c>
      <c r="G865" s="11" t="str" cm="1">
        <f t="array" ref="G865">_xlfn.XLOOKUP(fsales[[#This Row],[ProductID]],dProduct[[#All],[ProductID]],dProduct[[#All],[Supplier]])</f>
        <v>Gel Booms</v>
      </c>
      <c r="H865" s="11" t="str" cm="1">
        <f t="array" ref="H865">_xlfn.XLOOKUP(fsales[[#This Row],[SalesRepID]],dSalesRep[[#All],[SalesRepID]],dSalesRep[[#All],[Region]])</f>
        <v>WA</v>
      </c>
    </row>
    <row r="866" spans="1:8" x14ac:dyDescent="0.3">
      <c r="A866" s="1">
        <v>45415</v>
      </c>
      <c r="B866">
        <v>2</v>
      </c>
      <c r="C866">
        <v>1</v>
      </c>
      <c r="D866">
        <v>122</v>
      </c>
      <c r="E866" s="11" cm="1">
        <f t="array" ref="E866">_xlfn.XLOOKUP(fsales[[#This Row],[ProductID]],dProduct[[#All],[ProductID]],dProduct[[#All],[Price]])*fsales[[#This Row],[Units]]</f>
        <v>3653.9</v>
      </c>
      <c r="F866" s="11" t="str" cm="1">
        <f t="array" ref="F866">_xlfn.XLOOKUP(fsales[[#This Row],[ProductID]],dProduct[[#All],[ProductID]],dProduct[[#All],[Product]])</f>
        <v>Carlota</v>
      </c>
      <c r="G866" s="11" t="str" cm="1">
        <f t="array" ref="G866">_xlfn.XLOOKUP(fsales[[#This Row],[ProductID]],dProduct[[#All],[ProductID]],dProduct[[#All],[Supplier]])</f>
        <v>Gel Booms</v>
      </c>
      <c r="H866" s="11" t="str" cm="1">
        <f t="array" ref="H866">_xlfn.XLOOKUP(fsales[[#This Row],[SalesRepID]],dSalesRep[[#All],[SalesRepID]],dSalesRep[[#All],[Region]])</f>
        <v>CA</v>
      </c>
    </row>
    <row r="867" spans="1:8" x14ac:dyDescent="0.3">
      <c r="A867" s="1">
        <v>45459</v>
      </c>
      <c r="B867">
        <v>4</v>
      </c>
      <c r="C867">
        <v>3</v>
      </c>
      <c r="D867">
        <v>63</v>
      </c>
      <c r="E867" s="11" cm="1">
        <f t="array" ref="E867">_xlfn.XLOOKUP(fsales[[#This Row],[ProductID]],dProduct[[#All],[ProductID]],dProduct[[#All],[Price]])*fsales[[#This Row],[Units]]</f>
        <v>1508.85</v>
      </c>
      <c r="F867" s="11" t="str" cm="1">
        <f t="array" ref="F867">_xlfn.XLOOKUP(fsales[[#This Row],[ProductID]],dProduct[[#All],[ProductID]],dProduct[[#All],[Product]])</f>
        <v>Yanaki</v>
      </c>
      <c r="G867" s="11" t="str" cm="1">
        <f t="array" ref="G867">_xlfn.XLOOKUP(fsales[[#This Row],[ProductID]],dProduct[[#All],[ProductID]],dProduct[[#All],[Supplier]])</f>
        <v>Colorado Booms</v>
      </c>
      <c r="H867" s="11" t="str" cm="1">
        <f t="array" ref="H867">_xlfn.XLOOKUP(fsales[[#This Row],[SalesRepID]],dSalesRep[[#All],[SalesRepID]],dSalesRep[[#All],[Region]])</f>
        <v>WA</v>
      </c>
    </row>
    <row r="868" spans="1:8" x14ac:dyDescent="0.3">
      <c r="A868" s="1">
        <v>45414</v>
      </c>
      <c r="B868">
        <v>3</v>
      </c>
      <c r="C868">
        <v>4</v>
      </c>
      <c r="D868">
        <v>146</v>
      </c>
      <c r="E868" s="11" cm="1">
        <f t="array" ref="E868">_xlfn.XLOOKUP(fsales[[#This Row],[ProductID]],dProduct[[#All],[ProductID]],dProduct[[#All],[Price]])*fsales[[#This Row],[Units]]</f>
        <v>3788.7</v>
      </c>
      <c r="F868" s="11" t="str" cm="1">
        <f t="array" ref="F868">_xlfn.XLOOKUP(fsales[[#This Row],[ProductID]],dProduct[[#All],[ProductID]],dProduct[[#All],[Product]])</f>
        <v>Aspen</v>
      </c>
      <c r="G868" s="11" t="str" cm="1">
        <f t="array" ref="G868">_xlfn.XLOOKUP(fsales[[#This Row],[ProductID]],dProduct[[#All],[ProductID]],dProduct[[#All],[Supplier]])</f>
        <v>Colorado Booms</v>
      </c>
      <c r="H868" s="11" t="str" cm="1">
        <f t="array" ref="H868">_xlfn.XLOOKUP(fsales[[#This Row],[SalesRepID]],dSalesRep[[#All],[SalesRepID]],dSalesRep[[#All],[Region]])</f>
        <v>WA</v>
      </c>
    </row>
    <row r="869" spans="1:8" x14ac:dyDescent="0.3">
      <c r="A869" s="1">
        <v>45444</v>
      </c>
      <c r="B869">
        <v>2</v>
      </c>
      <c r="C869">
        <v>4</v>
      </c>
      <c r="D869">
        <v>92</v>
      </c>
      <c r="E869" s="11" cm="1">
        <f t="array" ref="E869">_xlfn.XLOOKUP(fsales[[#This Row],[ProductID]],dProduct[[#All],[ProductID]],dProduct[[#All],[Price]])*fsales[[#This Row],[Units]]</f>
        <v>2755.4</v>
      </c>
      <c r="F869" s="11" t="str" cm="1">
        <f t="array" ref="F869">_xlfn.XLOOKUP(fsales[[#This Row],[ProductID]],dProduct[[#All],[ProductID]],dProduct[[#All],[Product]])</f>
        <v>Carlota</v>
      </c>
      <c r="G869" s="11" t="str" cm="1">
        <f t="array" ref="G869">_xlfn.XLOOKUP(fsales[[#This Row],[ProductID]],dProduct[[#All],[ProductID]],dProduct[[#All],[Supplier]])</f>
        <v>Gel Booms</v>
      </c>
      <c r="H869" s="11" t="str" cm="1">
        <f t="array" ref="H869">_xlfn.XLOOKUP(fsales[[#This Row],[SalesRepID]],dSalesRep[[#All],[SalesRepID]],dSalesRep[[#All],[Region]])</f>
        <v>WA</v>
      </c>
    </row>
    <row r="870" spans="1:8" x14ac:dyDescent="0.3">
      <c r="A870" s="1">
        <v>45579</v>
      </c>
      <c r="B870">
        <v>4</v>
      </c>
      <c r="C870">
        <v>4</v>
      </c>
      <c r="D870">
        <v>3</v>
      </c>
      <c r="E870" s="11" cm="1">
        <f t="array" ref="E870">_xlfn.XLOOKUP(fsales[[#This Row],[ProductID]],dProduct[[#All],[ProductID]],dProduct[[#All],[Price]])*fsales[[#This Row],[Units]]</f>
        <v>71.849999999999994</v>
      </c>
      <c r="F870" s="11" t="str" cm="1">
        <f t="array" ref="F870">_xlfn.XLOOKUP(fsales[[#This Row],[ProductID]],dProduct[[#All],[ProductID]],dProduct[[#All],[Product]])</f>
        <v>Yanaki</v>
      </c>
      <c r="G870" s="11" t="str" cm="1">
        <f t="array" ref="G870">_xlfn.XLOOKUP(fsales[[#This Row],[ProductID]],dProduct[[#All],[ProductID]],dProduct[[#All],[Supplier]])</f>
        <v>Colorado Booms</v>
      </c>
      <c r="H870" s="11" t="str" cm="1">
        <f t="array" ref="H870">_xlfn.XLOOKUP(fsales[[#This Row],[SalesRepID]],dSalesRep[[#All],[SalesRepID]],dSalesRep[[#All],[Region]])</f>
        <v>WA</v>
      </c>
    </row>
    <row r="871" spans="1:8" x14ac:dyDescent="0.3">
      <c r="A871" s="1">
        <v>45610</v>
      </c>
      <c r="B871">
        <v>1</v>
      </c>
      <c r="C871">
        <v>4</v>
      </c>
      <c r="D871">
        <v>71</v>
      </c>
      <c r="E871" s="11" cm="1">
        <f t="array" ref="E871">_xlfn.XLOOKUP(fsales[[#This Row],[ProductID]],dProduct[[#All],[ProductID]],dProduct[[#All],[Price]])*fsales[[#This Row],[Units]]</f>
        <v>3120.4500000000003</v>
      </c>
      <c r="F871" s="11" t="str" cm="1">
        <f t="array" ref="F871">_xlfn.XLOOKUP(fsales[[#This Row],[ProductID]],dProduct[[#All],[ProductID]],dProduct[[#All],[Product]])</f>
        <v>Quad</v>
      </c>
      <c r="G871" s="11" t="str" cm="1">
        <f t="array" ref="G871">_xlfn.XLOOKUP(fsales[[#This Row],[ProductID]],dProduct[[#All],[ProductID]],dProduct[[#All],[Supplier]])</f>
        <v>Gel Booms</v>
      </c>
      <c r="H871" s="11" t="str" cm="1">
        <f t="array" ref="H871">_xlfn.XLOOKUP(fsales[[#This Row],[SalesRepID]],dSalesRep[[#All],[SalesRepID]],dSalesRep[[#All],[Region]])</f>
        <v>WA</v>
      </c>
    </row>
    <row r="872" spans="1:8" x14ac:dyDescent="0.3">
      <c r="A872" s="1">
        <v>45309</v>
      </c>
      <c r="B872">
        <v>4</v>
      </c>
      <c r="C872">
        <v>2</v>
      </c>
      <c r="D872">
        <v>221</v>
      </c>
      <c r="E872" s="11" cm="1">
        <f t="array" ref="E872">_xlfn.XLOOKUP(fsales[[#This Row],[ProductID]],dProduct[[#All],[ProductID]],dProduct[[#All],[Price]])*fsales[[#This Row],[Units]]</f>
        <v>5292.95</v>
      </c>
      <c r="F872" s="11" t="str" cm="1">
        <f t="array" ref="F872">_xlfn.XLOOKUP(fsales[[#This Row],[ProductID]],dProduct[[#All],[ProductID]],dProduct[[#All],[Product]])</f>
        <v>Yanaki</v>
      </c>
      <c r="G872" s="11" t="str" cm="1">
        <f t="array" ref="G872">_xlfn.XLOOKUP(fsales[[#This Row],[ProductID]],dProduct[[#All],[ProductID]],dProduct[[#All],[Supplier]])</f>
        <v>Colorado Booms</v>
      </c>
      <c r="H872" s="11" t="str" cm="1">
        <f t="array" ref="H872">_xlfn.XLOOKUP(fsales[[#This Row],[SalesRepID]],dSalesRep[[#All],[SalesRepID]],dSalesRep[[#All],[Region]])</f>
        <v>CA</v>
      </c>
    </row>
    <row r="873" spans="1:8" x14ac:dyDescent="0.3">
      <c r="A873" s="1">
        <v>45480</v>
      </c>
      <c r="B873">
        <v>1</v>
      </c>
      <c r="C873">
        <v>3</v>
      </c>
      <c r="D873">
        <v>151</v>
      </c>
      <c r="E873" s="11" cm="1">
        <f t="array" ref="E873">_xlfn.XLOOKUP(fsales[[#This Row],[ProductID]],dProduct[[#All],[ProductID]],dProduct[[#All],[Price]])*fsales[[#This Row],[Units]]</f>
        <v>6636.4500000000007</v>
      </c>
      <c r="F873" s="11" t="str" cm="1">
        <f t="array" ref="F873">_xlfn.XLOOKUP(fsales[[#This Row],[ProductID]],dProduct[[#All],[ProductID]],dProduct[[#All],[Product]])</f>
        <v>Quad</v>
      </c>
      <c r="G873" s="11" t="str" cm="1">
        <f t="array" ref="G873">_xlfn.XLOOKUP(fsales[[#This Row],[ProductID]],dProduct[[#All],[ProductID]],dProduct[[#All],[Supplier]])</f>
        <v>Gel Booms</v>
      </c>
      <c r="H873" s="11" t="str" cm="1">
        <f t="array" ref="H873">_xlfn.XLOOKUP(fsales[[#This Row],[SalesRepID]],dSalesRep[[#All],[SalesRepID]],dSalesRep[[#All],[Region]])</f>
        <v>WA</v>
      </c>
    </row>
  </sheetData>
  <pageMargins left="0.7" right="0.7" top="0.75" bottom="0.75" header="0.3" footer="0.3"/>
  <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13B365-742B-44CC-91B8-789FC078F0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DataAnalysis-Steps</vt:lpstr>
      <vt:lpstr>analysis-report</vt:lpstr>
      <vt:lpstr>PivotTable-and-xlookup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Singh</dc:creator>
  <cp:lastModifiedBy>Rohit Singh</cp:lastModifiedBy>
  <dcterms:created xsi:type="dcterms:W3CDTF">2025-05-31T20:18:20Z</dcterms:created>
  <dcterms:modified xsi:type="dcterms:W3CDTF">2025-05-31T21:40:10Z</dcterms:modified>
</cp:coreProperties>
</file>