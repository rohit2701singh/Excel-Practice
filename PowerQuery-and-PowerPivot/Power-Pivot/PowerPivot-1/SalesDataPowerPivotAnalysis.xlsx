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rohit\Excel_Practice\PowerQuery-and-PowerPivot\Power-Pivot\PowerPivot-3\"/>
    </mc:Choice>
  </mc:AlternateContent>
  <xr:revisionPtr revIDLastSave="0" documentId="13_ncr:1_{D843B189-C0FF-47ED-B4CA-4A99F9FAB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Pivot-and-Measures" sheetId="1" r:id="rId1"/>
  </sheets>
  <calcPr calcId="191029"/>
  <pivotCaches>
    <pivotCache cacheId="284" r:id="rId2"/>
    <pivotCache cacheId="287" r:id="rId3"/>
    <pivotCache cacheId="290" r:id="rId4"/>
    <pivotCache cacheId="293" r:id="rId5"/>
    <pivotCache cacheId="299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90dc1177-cdec-45f5-ab96-f719b7f5797d" name="Sales" connection="Excel SalesData"/>
          <x15:modelTable id="Products_ae310300-1476-4222-bb3f-2c6dc64f21a6" name="Products" connection="Excel SalesData 2"/>
        </x15:modelTables>
        <x15:modelRelationships>
          <x15:modelRelationship fromTable="Sales" fromColumn="Product ID" toTable="Products" toColumn="Product Cod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6735AB-2E12-4956-BCAC-1C0550772B74}" name="Excel SalesData" type="100" refreshedVersion="0">
    <extLst>
      <ext xmlns:x15="http://schemas.microsoft.com/office/spreadsheetml/2010/11/main" uri="{DE250136-89BD-433C-8126-D09CA5730AF9}">
        <x15:connection id="7d2c086f-e186-49f9-9307-d466c8a3d642"/>
      </ext>
    </extLst>
  </connection>
  <connection id="2" xr16:uid="{B4B0813C-402D-4D73-A83B-ECF7E8695CEB}" name="Excel SalesData 2" type="100" refreshedVersion="0">
    <extLst>
      <ext xmlns:x15="http://schemas.microsoft.com/office/spreadsheetml/2010/11/main" uri="{DE250136-89BD-433C-8126-D09CA5730AF9}">
        <x15:connection id="e95f9ee2-23cd-4f45-9e9d-a1d0ebe9b1bb"/>
      </ext>
    </extLst>
  </connection>
  <connection id="3" xr16:uid="{B50453B9-39BE-436D-A700-EE6267C8806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<sst xmlns="http://schemas.openxmlformats.org/spreadsheetml/2006/main" count="89" uniqueCount="30">
  <si>
    <t>Row Labels</t>
  </si>
  <si>
    <t>10 ML Hair Repair Crème</t>
  </si>
  <si>
    <t>3 ML Free Shampoo Sachet</t>
  </si>
  <si>
    <t>30 ML Protein Hair Oil</t>
  </si>
  <si>
    <t>30 ML Silky Shampoo</t>
  </si>
  <si>
    <t>50 ML Smoother</t>
  </si>
  <si>
    <t>Advanced Keratin Shampoo</t>
  </si>
  <si>
    <t>Beard Oil</t>
  </si>
  <si>
    <t>Classic Comb - 2 Pack</t>
  </si>
  <si>
    <t>Hair Crème</t>
  </si>
  <si>
    <t>Hair Gel</t>
  </si>
  <si>
    <t>Hair Therepy Shampoo</t>
  </si>
  <si>
    <t>Prem Head Massage Oil</t>
  </si>
  <si>
    <t>Grand Total</t>
  </si>
  <si>
    <t>Sum of Units</t>
  </si>
  <si>
    <t>Total Sales</t>
  </si>
  <si>
    <t>Unique Days</t>
  </si>
  <si>
    <t>Affiliate</t>
  </si>
  <si>
    <t>Organic</t>
  </si>
  <si>
    <t>Promotional</t>
  </si>
  <si>
    <t>Avg Sales per day</t>
  </si>
  <si>
    <t>Channel</t>
  </si>
  <si>
    <t>Product</t>
  </si>
  <si>
    <t>100 rupee sales Days</t>
  </si>
  <si>
    <t>Total number of days when 100 rupee+ sales happened</t>
  </si>
  <si>
    <t>Bangalore</t>
  </si>
  <si>
    <t>Mumbai</t>
  </si>
  <si>
    <t>New Delhi</t>
  </si>
  <si>
    <t>Max Product Sales</t>
  </si>
  <si>
    <t>Maximum sold product's 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</si>
</sst>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;#,##0.0\ \-&quot;₹&quot;;&quot;₹&quot;\ #,##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36" Type="http://schemas.openxmlformats.org/officeDocument/2006/relationships/customXml" Target="../customXml/item2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3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Relationship Id="rId8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hit Singh" refreshedDate="45809.058090972219" createdVersion="5" refreshedVersion="8" minRefreshableVersion="3" recordCount="0" supportSubquery="1" supportAdvancedDrill="1" xr:uid="{26F1F436-F27D-402C-BB1B-960585CAC379}">
  <cacheSource type="external" connectionId="3"/>
  <cacheFields count="5">
    <cacheField name="[Measures].[Sum of Units]" caption="Sum of Units" numFmtId="0" hierarchy="16" level="32767"/>
    <cacheField name="[Measures].[Total Sales]" caption="Total Sales" numFmtId="0" hierarchy="18" level="32767"/>
    <cacheField name="[Measures].[Unique Days]" caption="Unique Days" numFmtId="0" hierarchy="19" level="32767"/>
    <cacheField name="[Sales].[Channel].[Channel]" caption="Channel" numFmtId="0" hierarchy="10" level="1">
      <sharedItems count="3">
        <s v="Affiliate"/>
        <s v="Organic"/>
        <s v="Promotional"/>
      </sharedItems>
    </cacheField>
    <cacheField name="[Measures].[Avg Sales per day]" caption="Avg Sales per day" numFmtId="0" hierarchy="20" level="32767"/>
  </cacheFields>
  <cacheHierarchies count="26">
    <cacheHierarchy uniqueName="[Products].[Product Code]" caption="Product Code" attribute="1" defaultMemberUniqueName="[Products].[Product Code].[All]" allUniqueName="[Products].[Product Code].[All]" dimensionUniqueName="[Produc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Band]" caption="Band" attribute="1" defaultMemberUniqueName="[Products].[Band].[All]" allUniqueName="[Products].[B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6" unbalanced="0"/>
    <cacheHierarchy uniqueName="[Products].[Commission]" caption="Commission" attribute="1" defaultMemberUniqueName="[Products].[Commission].[All]" allUniqueName="[Products].[Commission].[All]" dimensionUniqueName="[Products]" displayFolder="" count="0" memberValueDatatype="5" unbalanced="0"/>
    <cacheHierarchy uniqueName="[Sales].[Tran Id]" caption="Tran Id" attribute="1" defaultMemberUniqueName="[Sales].[Tran Id].[All]" allUniqueName="[Sales].[Tran 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Region]" caption="Region" attribute="1" defaultMemberUniqueName="[Sales].[Region].[All]" allUniqueName="[Sales].[Region].[All]" dimensionUniqueName="[Sales]" displayFolder="" count="0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Units]" caption="Units" attribute="1" defaultMemberUniqueName="[Sales].[Units].[All]" allUniqueName="[Sales].[Units].[All]" dimensionUniqueName="[Sales]" displayFolder="" count="0" memberValueDatatype="5" unbalanced="0"/>
    <cacheHierarchy uniqueName="[Sales].[Channel]" caption="Channel" attribute="1" defaultMemberUniqueName="[Sales].[Channel].[All]" allUniqueName="[Sales].[Channel].[All]" dimensionUniqueName="[Sales]" displayFolder="" count="2" memberValueDatatype="130" unbalanced="0">
      <fieldsUsage count="2">
        <fieldUsage x="-1"/>
        <fieldUsage x="3"/>
      </fieldsUsage>
    </cacheHierarchy>
    <cacheHierarchy uniqueName="[Sales].[Order Type]" caption="Order Type" attribute="1" defaultMemberUniqueName="[Sales].[Order Type].[All]" allUniqueName="[Sales].[Order Type].[All]" dimensionUniqueName="[Sales]" displayFolder="" count="0" memberValueDatatype="130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Sum of Units]" caption="Sum of Units" measure="1" displayFolder="" measureGroup="Sal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ice]" caption="Sum of Price" measure="1" displayFolder="" measureGroup="Produc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 Sales]" caption="Total Sales" measure="1" displayFolder="" measureGroup="Sales" count="0" oneField="1">
      <fieldsUsage count="1">
        <fieldUsage x="1"/>
      </fieldsUsage>
    </cacheHierarchy>
    <cacheHierarchy uniqueName="[Measures].[Unique Days]" caption="Unique Days" measure="1" displayFolder="" measureGroup="Sales" count="0" oneField="1">
      <fieldsUsage count="1">
        <fieldUsage x="2"/>
      </fieldsUsage>
    </cacheHierarchy>
    <cacheHierarchy uniqueName="[Measures].[Avg Sales per day]" caption="Avg Sales per day" measure="1" displayFolder="" measureGroup="Sales" count="0" oneField="1">
      <fieldsUsage count="1">
        <fieldUsage x="4"/>
      </fieldsUsage>
    </cacheHierarchy>
    <cacheHierarchy uniqueName="[Measures].[100 rupee sales Days]" caption="100 rupee sales Days" measure="1" displayFolder="" measureGroup="Sales" count="0"/>
    <cacheHierarchy uniqueName="[Measures].[Max Product Sales]" caption="Max Product Sales" measure="1" displayFolder="" measureGroup="Sales" count="0"/>
    <cacheHierarchy uniqueName="[Measures].[__XL_Count Sales]" caption="__XL_Count Sales" measure="1" displayFolder="" measureGroup="Sale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Products" uniqueName="[Products]" caption="Products"/>
    <dimension name="Sales" uniqueName="[Sales]" caption="Sales"/>
  </dimensions>
  <measureGroups count="2">
    <measureGroup name="Products" caption="Products"/>
    <measureGroup name="Sales" caption="Sale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hit Singh" refreshedDate="45809.058093402775" createdVersion="5" refreshedVersion="8" minRefreshableVersion="3" recordCount="0" supportSubquery="1" supportAdvancedDrill="1" xr:uid="{D9863AFA-4908-4963-B832-56EA0E9017B4}">
  <cacheSource type="external" connectionId="3"/>
  <cacheFields count="7">
    <cacheField name="[Products].[Product].[Product]" caption="Product" numFmtId="0" hierarchy="1" level="1">
      <sharedItems count="12">
        <s v="10 ML Hair Repair Crème"/>
        <s v="3 ML Free Shampoo Sachet"/>
        <s v="30 ML Protein Hair Oil"/>
        <s v="30 ML Silky Shampoo"/>
        <s v="50 ML Smoother"/>
        <s v="Advanced Keratin Shampoo"/>
        <s v="Beard Oil"/>
        <s v="Classic Comb - 2 Pack"/>
        <s v="Hair Crème"/>
        <s v="Hair Gel"/>
        <s v="Hair Therepy Shampoo"/>
        <s v="Prem Head Massage Oil"/>
      </sharedItems>
    </cacheField>
    <cacheField name="[Measures].[Sum of Units]" caption="Sum of Units" numFmtId="0" hierarchy="16" level="32767"/>
    <cacheField name="[Measures].[Total Sales]" caption="Total Sales" numFmtId="0" hierarchy="18" level="32767"/>
    <cacheField name="[Measures].[Unique Days]" caption="Unique Days" numFmtId="0" hierarchy="19" level="32767"/>
    <cacheField name="[Measures].[Avg Sales per day]" caption="Avg Sales per day" numFmtId="0" hierarchy="20" level="32767"/>
    <cacheField name="[Sales].[Channel].[Channel]" caption="Channel" numFmtId="0" hierarchy="10" level="1">
      <sharedItems count="3">
        <s v="Affiliate"/>
        <s v="Organic"/>
        <s v="Promotional"/>
      </sharedItems>
    </cacheField>
    <cacheField name="[Measures].[100 rupee sales Days]" caption="100 rupee sales Days" numFmtId="0" hierarchy="21" level="32767"/>
  </cacheFields>
  <cacheHierarchies count="26">
    <cacheHierarchy uniqueName="[Products].[Product Code]" caption="Product Code" attribute="1" defaultMemberUniqueName="[Products].[Product Code].[All]" allUniqueName="[Products].[Product Code].[All]" dimensionUniqueName="[Produc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Band]" caption="Band" attribute="1" defaultMemberUniqueName="[Products].[Band].[All]" allUniqueName="[Products].[B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6" unbalanced="0"/>
    <cacheHierarchy uniqueName="[Products].[Commission]" caption="Commission" attribute="1" defaultMemberUniqueName="[Products].[Commission].[All]" allUniqueName="[Products].[Commission].[All]" dimensionUniqueName="[Products]" displayFolder="" count="0" memberValueDatatype="5" unbalanced="0"/>
    <cacheHierarchy uniqueName="[Sales].[Tran Id]" caption="Tran Id" attribute="1" defaultMemberUniqueName="[Sales].[Tran Id].[All]" allUniqueName="[Sales].[Tran 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Region]" caption="Region" attribute="1" defaultMemberUniqueName="[Sales].[Region].[All]" allUniqueName="[Sales].[Region].[All]" dimensionUniqueName="[Sales]" displayFolder="" count="0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Units]" caption="Units" attribute="1" defaultMemberUniqueName="[Sales].[Units].[All]" allUniqueName="[Sales].[Units].[All]" dimensionUniqueName="[Sales]" displayFolder="" count="0" memberValueDatatype="5" unbalanced="0"/>
    <cacheHierarchy uniqueName="[Sales].[Channel]" caption="Channel" attribute="1" defaultMemberUniqueName="[Sales].[Channel].[All]" allUniqueName="[Sales].[Channel].[All]" dimensionUniqueName="[Sales]" displayFolder="" count="2" memberValueDatatype="130" unbalanced="0">
      <fieldsUsage count="2">
        <fieldUsage x="-1"/>
        <fieldUsage x="5"/>
      </fieldsUsage>
    </cacheHierarchy>
    <cacheHierarchy uniqueName="[Sales].[Order Type]" caption="Order Type" attribute="1" defaultMemberUniqueName="[Sales].[Order Type].[All]" allUniqueName="[Sales].[Order Type].[All]" dimensionUniqueName="[Sales]" displayFolder="" count="0" memberValueDatatype="130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Sum of Units]" caption="Sum of Units" measure="1" displayFolder="" measureGroup="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ice]" caption="Sum of Price" measure="1" displayFolder="" measureGroup="Produc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 Sales]" caption="Total Sales" measure="1" displayFolder="" measureGroup="Sales" count="0" oneField="1">
      <fieldsUsage count="1">
        <fieldUsage x="2"/>
      </fieldsUsage>
    </cacheHierarchy>
    <cacheHierarchy uniqueName="[Measures].[Unique Days]" caption="Unique Days" measure="1" displayFolder="" measureGroup="Sales" count="0" oneField="1">
      <fieldsUsage count="1">
        <fieldUsage x="3"/>
      </fieldsUsage>
    </cacheHierarchy>
    <cacheHierarchy uniqueName="[Measures].[Avg Sales per day]" caption="Avg Sales per day" measure="1" displayFolder="" measureGroup="Sales" count="0" oneField="1">
      <fieldsUsage count="1">
        <fieldUsage x="4"/>
      </fieldsUsage>
    </cacheHierarchy>
    <cacheHierarchy uniqueName="[Measures].[100 rupee sales Days]" caption="100 rupee sales Days" measure="1" displayFolder="" measureGroup="Sales" count="0" oneField="1">
      <fieldsUsage count="1">
        <fieldUsage x="6"/>
      </fieldsUsage>
    </cacheHierarchy>
    <cacheHierarchy uniqueName="[Measures].[Max Product Sales]" caption="Max Product Sales" measure="1" displayFolder="" measureGroup="Sales" count="0"/>
    <cacheHierarchy uniqueName="[Measures].[__XL_Count Sales]" caption="__XL_Count Sales" measure="1" displayFolder="" measureGroup="Sale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Products" uniqueName="[Products]" caption="Products"/>
    <dimension name="Sales" uniqueName="[Sales]" caption="Sales"/>
  </dimensions>
  <measureGroups count="2">
    <measureGroup name="Products" caption="Products"/>
    <measureGroup name="Sales" caption="Sale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hit Singh" refreshedDate="45809.058095023145" createdVersion="5" refreshedVersion="8" minRefreshableVersion="3" recordCount="0" supportSubquery="1" supportAdvancedDrill="1" xr:uid="{B880C59B-210C-4647-905B-463CC0175B47}">
  <cacheSource type="external" connectionId="3"/>
  <cacheFields count="4">
    <cacheField name="[Measures].[Total Sales]" caption="Total Sales" numFmtId="0" hierarchy="18" level="32767"/>
    <cacheField name="[Sales].[Channel].[Channel]" caption="Channel" numFmtId="0" hierarchy="10" level="1">
      <sharedItems count="3">
        <s v="Affiliate"/>
        <s v="Organic"/>
        <s v="Promotional"/>
      </sharedItems>
    </cacheField>
    <cacheField name="[Products].[Product].[Product]" caption="Product" numFmtId="0" hierarchy="1" level="1">
      <sharedItems count="12">
        <s v="10 ML Hair Repair Crème"/>
        <s v="3 ML Free Shampoo Sachet"/>
        <s v="30 ML Protein Hair Oil"/>
        <s v="30 ML Silky Shampoo"/>
        <s v="50 ML Smoother"/>
        <s v="Advanced Keratin Shampoo"/>
        <s v="Beard Oil"/>
        <s v="Classic Comb - 2 Pack"/>
        <s v="Hair Crème"/>
        <s v="Hair Gel"/>
        <s v="Hair Therepy Shampoo"/>
        <s v="Prem Head Massage Oil"/>
      </sharedItems>
    </cacheField>
    <cacheField name="[Measures].[Max Product Sales]" caption="Max Product Sales" numFmtId="0" hierarchy="22" level="32767"/>
  </cacheFields>
  <cacheHierarchies count="26">
    <cacheHierarchy uniqueName="[Products].[Product Code]" caption="Product Code" attribute="1" defaultMemberUniqueName="[Products].[Product Code].[All]" allUniqueName="[Products].[Product Code].[All]" dimensionUniqueName="[Produc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Band]" caption="Band" attribute="1" defaultMemberUniqueName="[Products].[Band].[All]" allUniqueName="[Products].[B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6" unbalanced="0"/>
    <cacheHierarchy uniqueName="[Products].[Commission]" caption="Commission" attribute="1" defaultMemberUniqueName="[Products].[Commission].[All]" allUniqueName="[Products].[Commission].[All]" dimensionUniqueName="[Products]" displayFolder="" count="0" memberValueDatatype="5" unbalanced="0"/>
    <cacheHierarchy uniqueName="[Sales].[Tran Id]" caption="Tran Id" attribute="1" defaultMemberUniqueName="[Sales].[Tran Id].[All]" allUniqueName="[Sales].[Tran 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Region]" caption="Region" attribute="1" defaultMemberUniqueName="[Sales].[Region].[All]" allUniqueName="[Sales].[Region].[All]" dimensionUniqueName="[Sales]" displayFolder="" count="0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Units]" caption="Units" attribute="1" defaultMemberUniqueName="[Sales].[Units].[All]" allUniqueName="[Sales].[Units].[All]" dimensionUniqueName="[Sales]" displayFolder="" count="0" memberValueDatatype="5" unbalanced="0"/>
    <cacheHierarchy uniqueName="[Sales].[Channel]" caption="Channel" attribute="1" defaultMemberUniqueName="[Sales].[Channel].[All]" allUniqueName="[Sales].[Channel].[All]" dimensionUniqueName="[Sales]" displayFolder="" count="2" memberValueDatatype="130" unbalanced="0">
      <fieldsUsage count="2">
        <fieldUsage x="-1"/>
        <fieldUsage x="1"/>
      </fieldsUsage>
    </cacheHierarchy>
    <cacheHierarchy uniqueName="[Sales].[Order Type]" caption="Order Type" attribute="1" defaultMemberUniqueName="[Sales].[Order Type].[All]" allUniqueName="[Sales].[Order Type].[All]" dimensionUniqueName="[Sales]" displayFolder="" count="0" memberValueDatatype="130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Sum of Units]" caption="Sum of Units" measure="1" displayFolder="" measureGroup="Sale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ice]" caption="Sum of Price" measure="1" displayFolder="" measureGroup="Produc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 Sales]" caption="Total Sales" measure="1" displayFolder="" measureGroup="Sales" count="0" oneField="1">
      <fieldsUsage count="1">
        <fieldUsage x="0"/>
      </fieldsUsage>
    </cacheHierarchy>
    <cacheHierarchy uniqueName="[Measures].[Unique Days]" caption="Unique Days" measure="1" displayFolder="" measureGroup="Sales" count="0"/>
    <cacheHierarchy uniqueName="[Measures].[Avg Sales per day]" caption="Avg Sales per day" measure="1" displayFolder="" measureGroup="Sales" count="0"/>
    <cacheHierarchy uniqueName="[Measures].[100 rupee sales Days]" caption="100 rupee sales Days" measure="1" displayFolder="" measureGroup="Sales" count="0"/>
    <cacheHierarchy uniqueName="[Measures].[Max Product Sales]" caption="Max Product Sales" measure="1" displayFolder="" measureGroup="Sales" count="0" oneField="1">
      <fieldsUsage count="1">
        <fieldUsage x="3"/>
      </fieldsUsage>
    </cacheHierarchy>
    <cacheHierarchy uniqueName="[Measures].[__XL_Count Sales]" caption="__XL_Count Sales" measure="1" displayFolder="" measureGroup="Sale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Products" uniqueName="[Products]" caption="Products"/>
    <dimension name="Sales" uniqueName="[Sales]" caption="Sales"/>
  </dimensions>
  <measureGroups count="2">
    <measureGroup name="Products" caption="Products"/>
    <measureGroup name="Sales" caption="Sale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hit Singh" refreshedDate="45809.058433564816" createdVersion="5" refreshedVersion="8" minRefreshableVersion="3" recordCount="0" supportSubquery="1" supportAdvancedDrill="1" xr:uid="{1FD404AC-CC7B-423B-88BA-DA742A632793}">
  <cacheSource type="external" connectionId="3"/>
  <cacheFields count="4">
    <cacheField name="[Sales].[Region].[Region]" caption="Region" numFmtId="0" hierarchy="7" level="1">
      <sharedItems count="3">
        <s v="Bangalore"/>
        <s v="Mumbai"/>
        <s v="New Delhi"/>
      </sharedItems>
    </cacheField>
    <cacheField name="[Measures].[100 rupee sales Days]" caption="100 rupee sales Days" numFmtId="0" hierarchy="21" level="32767"/>
    <cacheField name="[Measures].[Total Sales]" caption="Total Sales" numFmtId="0" hierarchy="18" level="32767"/>
    <cacheField name="[Measures].[Max Product Sales]" caption="Max Product Sales" numFmtId="0" hierarchy="22" level="32767"/>
  </cacheFields>
  <cacheHierarchies count="26">
    <cacheHierarchy uniqueName="[Products].[Product Code]" caption="Product Code" attribute="1" defaultMemberUniqueName="[Products].[Product Code].[All]" allUniqueName="[Products].[Product Code].[All]" dimensionUniqueName="[Produc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Band]" caption="Band" attribute="1" defaultMemberUniqueName="[Products].[Band].[All]" allUniqueName="[Products].[B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6" unbalanced="0"/>
    <cacheHierarchy uniqueName="[Products].[Commission]" caption="Commission" attribute="1" defaultMemberUniqueName="[Products].[Commission].[All]" allUniqueName="[Products].[Commission].[All]" dimensionUniqueName="[Products]" displayFolder="" count="0" memberValueDatatype="5" unbalanced="0"/>
    <cacheHierarchy uniqueName="[Sales].[Tran Id]" caption="Tran Id" attribute="1" defaultMemberUniqueName="[Sales].[Tran Id].[All]" allUniqueName="[Sales].[Tran 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Region]" caption="Region" attribute="1" defaultMemberUniqueName="[Sales].[Region].[All]" allUniqueName="[Sales].[Region].[All]" dimensionUniqueName="[Sales]" displayFolder="" count="2" memberValueDatatype="130" unbalanced="0">
      <fieldsUsage count="2">
        <fieldUsage x="-1"/>
        <fieldUsage x="0"/>
      </fieldsUsage>
    </cacheHierarchy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Units]" caption="Units" attribute="1" defaultMemberUniqueName="[Sales].[Units].[All]" allUniqueName="[Sales].[Units].[All]" dimensionUniqueName="[Sales]" displayFolder="" count="0" memberValueDatatype="5" unbalanced="0"/>
    <cacheHierarchy uniqueName="[Sales].[Channel]" caption="Channel" attribute="1" defaultMemberUniqueName="[Sales].[Channel].[All]" allUniqueName="[Sales].[Channel].[All]" dimensionUniqueName="[Sales]" displayFolder="" count="0" memberValueDatatype="130" unbalanced="0"/>
    <cacheHierarchy uniqueName="[Sales].[Order Type]" caption="Order Type" attribute="1" defaultMemberUniqueName="[Sales].[Order Type].[All]" allUniqueName="[Sales].[Order Type].[All]" dimensionUniqueName="[Sales]" displayFolder="" count="0" memberValueDatatype="130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Sum of Units]" caption="Sum of Units" measure="1" displayFolder="" measureGroup="Sale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ice]" caption="Sum of Price" measure="1" displayFolder="" measureGroup="Produc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 Sales]" caption="Total Sales" measure="1" displayFolder="" measureGroup="Sales" count="0" oneField="1">
      <fieldsUsage count="1">
        <fieldUsage x="2"/>
      </fieldsUsage>
    </cacheHierarchy>
    <cacheHierarchy uniqueName="[Measures].[Unique Days]" caption="Unique Days" measure="1" displayFolder="" measureGroup="Sales" count="0"/>
    <cacheHierarchy uniqueName="[Measures].[Avg Sales per day]" caption="Avg Sales per day" measure="1" displayFolder="" measureGroup="Sales" count="0"/>
    <cacheHierarchy uniqueName="[Measures].[100 rupee sales Days]" caption="100 rupee sales Days" measure="1" displayFolder="" measureGroup="Sales" count="0" oneField="1">
      <fieldsUsage count="1">
        <fieldUsage x="1"/>
      </fieldsUsage>
    </cacheHierarchy>
    <cacheHierarchy uniqueName="[Measures].[Max Product Sales]" caption="Max Product Sales" measure="1" displayFolder="" measureGroup="Sales" count="0" oneField="1">
      <fieldsUsage count="1">
        <fieldUsage x="3"/>
      </fieldsUsage>
    </cacheHierarchy>
    <cacheHierarchy uniqueName="[Measures].[__XL_Count Sales]" caption="__XL_Count Sales" measure="1" displayFolder="" measureGroup="Sale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Products" uniqueName="[Products]" caption="Products"/>
    <dimension name="Sales" uniqueName="[Sales]" caption="Sales"/>
  </dimensions>
  <measureGroups count="2">
    <measureGroup name="Products" caption="Products"/>
    <measureGroup name="Sales" caption="Sale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hit Singh" refreshedDate="45809.060765972223" createdVersion="5" refreshedVersion="8" minRefreshableVersion="3" recordCount="0" supportSubquery="1" supportAdvancedDrill="1" xr:uid="{DAD7A47F-32DD-4505-A697-2D72C654926A}">
  <cacheSource type="external" connectionId="3"/>
  <cacheFields count="4">
    <cacheField name="[Measures].[Total Sales]" caption="Total Sales" numFmtId="0" hierarchy="18" level="32767"/>
    <cacheField name="[Products].[Product].[Product]" caption="Product" numFmtId="0" hierarchy="1" level="1">
      <sharedItems count="12">
        <s v="10 ML Hair Repair Crème"/>
        <s v="3 ML Free Shampoo Sachet"/>
        <s v="30 ML Protein Hair Oil"/>
        <s v="30 ML Silky Shampoo"/>
        <s v="50 ML Smoother"/>
        <s v="Advanced Keratin Shampoo"/>
        <s v="Beard Oil"/>
        <s v="Classic Comb - 2 Pack"/>
        <s v="Hair Crème"/>
        <s v="Hair Gel"/>
        <s v="Hair Therepy Shampoo"/>
        <s v="Prem Head Massage Oil"/>
      </sharedItems>
    </cacheField>
    <cacheField name="[Measures].[100 rupee sales Days]" caption="100 rupee sales Days" numFmtId="0" hierarchy="21" level="32767"/>
    <cacheField name="[Sales].[Date].[Date]" caption="Date" numFmtId="0" hierarchy="6" level="1">
      <sharedItems containsSemiMixedTypes="0" containsNonDate="0" containsDate="1" containsString="0" minDate="2011-02-19T00:00:00" maxDate="2012-08-29T00:00:00" count="59">
        <d v="2011-02-19T00:00:00"/>
        <d v="2011-02-22T00:00:00"/>
        <d v="2011-04-28T00:00:00"/>
        <d v="2011-05-08T00:00:00"/>
        <d v="2011-05-10T00:00:00"/>
        <d v="2011-05-26T00:00:00"/>
        <d v="2011-06-24T00:00:00"/>
        <d v="2011-07-11T00:00:00"/>
        <d v="2011-07-27T00:00:00"/>
        <d v="2011-08-10T00:00:00"/>
        <d v="2011-08-24T00:00:00"/>
        <d v="2011-09-28T00:00:00"/>
        <d v="2011-10-16T00:00:00"/>
        <d v="2011-11-08T00:00:00"/>
        <d v="2011-11-11T00:00:00"/>
        <d v="2011-11-27T00:00:00"/>
        <d v="2011-12-05T00:00:00"/>
        <d v="2011-12-06T00:00:00"/>
        <d v="2011-12-11T00:00:00"/>
        <d v="2011-12-28T00:00:00"/>
        <d v="2011-12-29T00:00:00"/>
        <d v="2011-12-30T00:00:00"/>
        <d v="2012-01-08T00:00:00"/>
        <d v="2012-02-03T00:00:00"/>
        <d v="2012-02-06T00:00:00"/>
        <d v="2012-02-16T00:00:00"/>
        <d v="2012-02-19T00:00:00"/>
        <d v="2012-02-24T00:00:00"/>
        <d v="2012-02-25T00:00:00"/>
        <d v="2012-02-26T00:00:00"/>
        <d v="2012-03-06T00:00:00"/>
        <d v="2012-03-10T00:00:00"/>
        <d v="2012-03-21T00:00:00"/>
        <d v="2012-03-29T00:00:00"/>
        <d v="2012-04-01T00:00:00"/>
        <d v="2012-04-03T00:00:00"/>
        <d v="2012-04-06T00:00:00"/>
        <d v="2012-05-01T00:00:00"/>
        <d v="2012-05-02T00:00:00"/>
        <d v="2012-05-06T00:00:00"/>
        <d v="2012-05-07T00:00:00"/>
        <d v="2012-05-08T00:00:00"/>
        <d v="2012-05-16T00:00:00"/>
        <d v="2012-05-17T00:00:00"/>
        <d v="2012-05-21T00:00:00"/>
        <d v="2012-05-23T00:00:00"/>
        <d v="2012-05-25T00:00:00"/>
        <d v="2012-05-30T00:00:00"/>
        <d v="2012-06-15T00:00:00"/>
        <d v="2012-06-21T00:00:00"/>
        <d v="2012-07-02T00:00:00"/>
        <d v="2012-07-22T00:00:00"/>
        <d v="2012-07-24T00:00:00"/>
        <d v="2012-07-27T00:00:00"/>
        <d v="2012-08-01T00:00:00"/>
        <d v="2012-08-02T00:00:00"/>
        <d v="2012-08-12T00:00:00"/>
        <d v="2012-08-26T00:00:00"/>
        <d v="2012-08-28T00:00:00"/>
      </sharedItems>
    </cacheField>
  </cacheFields>
  <cacheHierarchies count="26">
    <cacheHierarchy uniqueName="[Products].[Product Code]" caption="Product Code" attribute="1" defaultMemberUniqueName="[Products].[Product Code].[All]" allUniqueName="[Products].[Product Code].[All]" dimensionUniqueName="[Produc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Band]" caption="Band" attribute="1" defaultMemberUniqueName="[Products].[Band].[All]" allUniqueName="[Products].[B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6" unbalanced="0"/>
    <cacheHierarchy uniqueName="[Products].[Commission]" caption="Commission" attribute="1" defaultMemberUniqueName="[Products].[Commission].[All]" allUniqueName="[Products].[Commission].[All]" dimensionUniqueName="[Products]" displayFolder="" count="0" memberValueDatatype="5" unbalanced="0"/>
    <cacheHierarchy uniqueName="[Sales].[Tran Id]" caption="Tran Id" attribute="1" defaultMemberUniqueName="[Sales].[Tran Id].[All]" allUniqueName="[Sales].[Tran 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2" memberValueDatatype="7" unbalanced="0">
      <fieldsUsage count="2">
        <fieldUsage x="-1"/>
        <fieldUsage x="3"/>
      </fieldsUsage>
    </cacheHierarchy>
    <cacheHierarchy uniqueName="[Sales].[Region]" caption="Region" attribute="1" defaultMemberUniqueName="[Sales].[Region].[All]" allUniqueName="[Sales].[Region].[All]" dimensionUniqueName="[Sales]" displayFolder="" count="0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Units]" caption="Units" attribute="1" defaultMemberUniqueName="[Sales].[Units].[All]" allUniqueName="[Sales].[Units].[All]" dimensionUniqueName="[Sales]" displayFolder="" count="0" memberValueDatatype="5" unbalanced="0"/>
    <cacheHierarchy uniqueName="[Sales].[Channel]" caption="Channel" attribute="1" defaultMemberUniqueName="[Sales].[Channel].[All]" allUniqueName="[Sales].[Channel].[All]" dimensionUniqueName="[Sales]" displayFolder="" count="0" memberValueDatatype="130" unbalanced="0"/>
    <cacheHierarchy uniqueName="[Sales].[Order Type]" caption="Order Type" attribute="1" defaultMemberUniqueName="[Sales].[Order Type].[All]" allUniqueName="[Sales].[Order Type].[All]" dimensionUniqueName="[Sales]" displayFolder="" count="0" memberValueDatatype="130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Sum of Units]" caption="Sum of Units" measure="1" displayFolder="" measureGroup="Sale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ice]" caption="Sum of Price" measure="1" displayFolder="" measureGroup="Produc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 Sales]" caption="Total Sales" measure="1" displayFolder="" measureGroup="Sales" count="0" oneField="1">
      <fieldsUsage count="1">
        <fieldUsage x="0"/>
      </fieldsUsage>
    </cacheHierarchy>
    <cacheHierarchy uniqueName="[Measures].[Unique Days]" caption="Unique Days" measure="1" displayFolder="" measureGroup="Sales" count="0"/>
    <cacheHierarchy uniqueName="[Measures].[Avg Sales per day]" caption="Avg Sales per day" measure="1" displayFolder="" measureGroup="Sales" count="0"/>
    <cacheHierarchy uniqueName="[Measures].[100 rupee sales Days]" caption="100 rupee sales Days" measure="1" displayFolder="" measureGroup="Sales" count="0" oneField="1">
      <fieldsUsage count="1">
        <fieldUsage x="2"/>
      </fieldsUsage>
    </cacheHierarchy>
    <cacheHierarchy uniqueName="[Measures].[Max Product Sales]" caption="Max Product Sales" measure="1" displayFolder="" measureGroup="Sales" count="0"/>
    <cacheHierarchy uniqueName="[Measures].[__XL_Count Sales]" caption="__XL_Count Sales" measure="1" displayFolder="" measureGroup="Sale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Products" uniqueName="[Products]" caption="Products"/>
    <dimension name="Sales" uniqueName="[Sales]" caption="Sales"/>
  </dimensions>
  <measureGroups count="2">
    <measureGroup name="Products" caption="Products"/>
    <measureGroup name="Sales" caption="Sale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31922-0880-4072-B118-70A0BC9BB8B5}" name="PivotTable9" cacheId="290" applyNumberFormats="0" applyBorderFormats="0" applyFontFormats="0" applyPatternFormats="0" applyAlignmentFormats="0" applyWidthHeightFormats="1" dataCaption="Values" tag="3bdb1e1e-954a-4c1b-9987-851e40d71546" updatedVersion="8" minRefreshableVersion="3" useAutoFormatting="1" itemPrintTitles="1" createdVersion="5" indent="0" outline="1" outlineData="1" multipleFieldFilters="0">
  <location ref="N12:P16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3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DB470-5CFC-41CB-98B6-84337EF9CA02}" name="PivotTable6" cacheId="293" applyNumberFormats="0" applyBorderFormats="0" applyFontFormats="0" applyPatternFormats="0" applyAlignmentFormats="0" applyWidthHeightFormats="1" dataCaption="Values" tag="b575e55d-fc4b-4a04-bbba-099e64174c29" updatedVersion="8" minRefreshableVersion="3" useAutoFormatting="1" itemPrintTitles="1" createdVersion="5" indent="0" outline="1" outlineData="1" multipleFieldFilters="0">
  <location ref="J29:M33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1" subtotal="count" baseField="0" baseItem="0"/>
    <dataField fld="3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40604-F782-4858-8962-FDCE8638DA73}" name="PivotTable5" cacheId="299" applyNumberFormats="0" applyBorderFormats="0" applyFontFormats="0" applyPatternFormats="0" applyAlignmentFormats="0" applyWidthHeightFormats="1" dataCaption="Values" tag="33128c26-70f7-46f9-a736-4f5e5a250324" updatedVersion="8" minRefreshableVersion="3" useAutoFormatting="1" itemPrintTitles="1" createdVersion="5" indent="0" outline="1" outlineData="1" multipleFieldFilters="0">
  <location ref="J12:L25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sortType="descending" defaultSubtotal="0" defaultAttributeDrillState="1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2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4E1CA-E446-4458-B10F-EE147373A6CE}" name="PivotTable3" cacheId="284" applyNumberFormats="0" applyBorderFormats="0" applyFontFormats="0" applyPatternFormats="0" applyAlignmentFormats="0" applyWidthHeightFormats="1" dataCaption="Values" tag="96823250-60d1-4307-8070-3b66eba2cbed" updatedVersion="8" minRefreshableVersion="3" useAutoFormatting="1" itemPrintTitles="1" createdVersion="5" indent="0" outline="1" outlineData="1" multipleFieldFilters="0">
  <location ref="J2:N6" firstHeaderRow="0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its" fld="0" baseField="0" baseItem="0"/>
    <dataField fld="1" subtotal="count" baseField="0" baseItem="0"/>
    <dataField fld="2" subtotal="count" baseField="0" baseItem="0"/>
    <dataField fld="4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78F4E-2409-4C25-89EB-E4FFAC286385}" name="PivotTable1" cacheId="287" applyNumberFormats="0" applyBorderFormats="0" applyFontFormats="0" applyPatternFormats="0" applyAlignmentFormats="0" applyWidthHeightFormats="1" dataCaption="Values" tag="2474468b-e369-47fe-9a90-1b1d601798d6" updatedVersion="8" minRefreshableVersion="3" useAutoFormatting="1" subtotalHiddenItems="1" itemPrintTitles="1" createdVersion="5" indent="0" compact="0" compactData="0" multipleFieldFilters="0">
  <location ref="B2:H39" firstHeaderRow="0" firstDataRow="1" firstDataCol="2"/>
  <pivotFields count="7"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</pivotFields>
  <rowFields count="2">
    <field x="5"/>
    <field x="0"/>
  </rowFields>
  <rowItems count="3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Units" fld="1" baseField="0" baseItem="0"/>
    <dataField fld="2" subtotal="count" baseField="0" baseItem="0"/>
    <dataField fld="3" subtotal="count" baseField="0" baseItem="0"/>
    <dataField fld="4" subtotal="count" baseField="0" baseItem="0"/>
    <dataField fld="6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2"/>
  <sheetViews>
    <sheetView tabSelected="1" zoomScale="63" workbookViewId="0">
      <selection activeCell="N37" sqref="N37"/>
    </sheetView>
  </sheetViews>
  <sheetFormatPr defaultRowHeight="14.4" x14ac:dyDescent="0.3"/>
  <cols>
    <col min="2" max="2" width="27.5546875" bestFit="1" customWidth="1"/>
    <col min="3" max="3" width="26.33203125" bestFit="1" customWidth="1"/>
    <col min="4" max="4" width="11.77734375" bestFit="1" customWidth="1"/>
    <col min="5" max="5" width="10.109375" bestFit="1" customWidth="1"/>
    <col min="6" max="6" width="11.5546875" bestFit="1" customWidth="1"/>
    <col min="7" max="7" width="15.88671875" bestFit="1" customWidth="1"/>
    <col min="8" max="8" width="18.88671875" bestFit="1" customWidth="1"/>
    <col min="9" max="9" width="16.33203125" customWidth="1"/>
    <col min="10" max="10" width="26.33203125" bestFit="1" customWidth="1"/>
    <col min="11" max="11" width="10.109375" bestFit="1" customWidth="1"/>
    <col min="12" max="12" width="18.88671875" bestFit="1" customWidth="1"/>
    <col min="13" max="13" width="16.5546875" bestFit="1" customWidth="1"/>
    <col min="14" max="14" width="13.6640625" bestFit="1" customWidth="1"/>
    <col min="15" max="15" width="10.109375" bestFit="1" customWidth="1"/>
    <col min="16" max="16" width="16.5546875" bestFit="1" customWidth="1"/>
    <col min="17" max="17" width="10.44140625" bestFit="1" customWidth="1"/>
    <col min="18" max="18" width="18.88671875" bestFit="1" customWidth="1"/>
    <col min="19" max="19" width="10.44140625" bestFit="1" customWidth="1"/>
    <col min="20" max="20" width="18.88671875" bestFit="1" customWidth="1"/>
    <col min="21" max="21" width="10.44140625" bestFit="1" customWidth="1"/>
    <col min="22" max="22" width="18.88671875" bestFit="1" customWidth="1"/>
    <col min="23" max="23" width="10.44140625" bestFit="1" customWidth="1"/>
    <col min="24" max="24" width="18.88671875" bestFit="1" customWidth="1"/>
    <col min="25" max="25" width="10.44140625" bestFit="1" customWidth="1"/>
    <col min="26" max="26" width="18.88671875" bestFit="1" customWidth="1"/>
    <col min="27" max="27" width="10.44140625" bestFit="1" customWidth="1"/>
    <col min="28" max="28" width="18.88671875" bestFit="1" customWidth="1"/>
    <col min="29" max="29" width="10.44140625" bestFit="1" customWidth="1"/>
    <col min="30" max="30" width="18.88671875" bestFit="1" customWidth="1"/>
    <col min="31" max="31" width="10.44140625" bestFit="1" customWidth="1"/>
    <col min="32" max="32" width="18.88671875" bestFit="1" customWidth="1"/>
    <col min="33" max="33" width="10.44140625" bestFit="1" customWidth="1"/>
    <col min="34" max="34" width="18.88671875" bestFit="1" customWidth="1"/>
    <col min="35" max="35" width="10.44140625" bestFit="1" customWidth="1"/>
    <col min="36" max="36" width="18.88671875" bestFit="1" customWidth="1"/>
    <col min="37" max="37" width="10.44140625" bestFit="1" customWidth="1"/>
    <col min="38" max="38" width="18.88671875" bestFit="1" customWidth="1"/>
    <col min="39" max="39" width="10.44140625" bestFit="1" customWidth="1"/>
    <col min="40" max="40" width="18.88671875" bestFit="1" customWidth="1"/>
    <col min="41" max="41" width="10.44140625" bestFit="1" customWidth="1"/>
    <col min="42" max="42" width="18.88671875" bestFit="1" customWidth="1"/>
    <col min="43" max="43" width="10.44140625" bestFit="1" customWidth="1"/>
    <col min="44" max="44" width="18.88671875" bestFit="1" customWidth="1"/>
    <col min="45" max="45" width="10.44140625" bestFit="1" customWidth="1"/>
    <col min="46" max="46" width="18.88671875" bestFit="1" customWidth="1"/>
    <col min="47" max="47" width="10.44140625" bestFit="1" customWidth="1"/>
    <col min="48" max="48" width="18.88671875" bestFit="1" customWidth="1"/>
    <col min="49" max="49" width="10.44140625" bestFit="1" customWidth="1"/>
    <col min="50" max="50" width="18.88671875" bestFit="1" customWidth="1"/>
    <col min="51" max="51" width="10.44140625" bestFit="1" customWidth="1"/>
    <col min="52" max="52" width="18.88671875" bestFit="1" customWidth="1"/>
    <col min="53" max="53" width="10.44140625" bestFit="1" customWidth="1"/>
    <col min="54" max="54" width="18.88671875" bestFit="1" customWidth="1"/>
    <col min="55" max="55" width="10.44140625" bestFit="1" customWidth="1"/>
    <col min="56" max="56" width="18.88671875" bestFit="1" customWidth="1"/>
    <col min="57" max="57" width="10.44140625" bestFit="1" customWidth="1"/>
    <col min="58" max="58" width="18.88671875" bestFit="1" customWidth="1"/>
    <col min="59" max="59" width="10.44140625" bestFit="1" customWidth="1"/>
    <col min="60" max="60" width="18.88671875" bestFit="1" customWidth="1"/>
    <col min="61" max="61" width="10.44140625" bestFit="1" customWidth="1"/>
    <col min="62" max="62" width="18.88671875" bestFit="1" customWidth="1"/>
    <col min="63" max="63" width="10.44140625" bestFit="1" customWidth="1"/>
    <col min="64" max="64" width="18.88671875" bestFit="1" customWidth="1"/>
    <col min="65" max="65" width="10.44140625" bestFit="1" customWidth="1"/>
    <col min="66" max="66" width="18.88671875" bestFit="1" customWidth="1"/>
    <col min="67" max="67" width="10.44140625" bestFit="1" customWidth="1"/>
    <col min="68" max="68" width="18.88671875" bestFit="1" customWidth="1"/>
    <col min="69" max="69" width="10.44140625" bestFit="1" customWidth="1"/>
    <col min="70" max="70" width="18.88671875" bestFit="1" customWidth="1"/>
    <col min="71" max="71" width="10.44140625" bestFit="1" customWidth="1"/>
    <col min="72" max="72" width="18.88671875" bestFit="1" customWidth="1"/>
    <col min="73" max="73" width="10.44140625" bestFit="1" customWidth="1"/>
    <col min="74" max="74" width="18.88671875" bestFit="1" customWidth="1"/>
    <col min="75" max="75" width="10.44140625" bestFit="1" customWidth="1"/>
    <col min="76" max="76" width="18.88671875" bestFit="1" customWidth="1"/>
    <col min="77" max="77" width="10.44140625" bestFit="1" customWidth="1"/>
    <col min="78" max="78" width="18.88671875" bestFit="1" customWidth="1"/>
    <col min="79" max="79" width="10.44140625" bestFit="1" customWidth="1"/>
    <col min="80" max="80" width="18.88671875" bestFit="1" customWidth="1"/>
    <col min="81" max="81" width="10.44140625" bestFit="1" customWidth="1"/>
    <col min="82" max="82" width="18.88671875" bestFit="1" customWidth="1"/>
    <col min="83" max="83" width="10.44140625" bestFit="1" customWidth="1"/>
    <col min="84" max="84" width="18.88671875" bestFit="1" customWidth="1"/>
    <col min="85" max="85" width="10.44140625" bestFit="1" customWidth="1"/>
    <col min="86" max="86" width="18.88671875" bestFit="1" customWidth="1"/>
    <col min="87" max="87" width="10.44140625" bestFit="1" customWidth="1"/>
    <col min="88" max="88" width="18.88671875" bestFit="1" customWidth="1"/>
    <col min="89" max="89" width="10.44140625" bestFit="1" customWidth="1"/>
    <col min="90" max="90" width="18.88671875" bestFit="1" customWidth="1"/>
    <col min="91" max="91" width="10.44140625" bestFit="1" customWidth="1"/>
    <col min="92" max="92" width="18.88671875" bestFit="1" customWidth="1"/>
    <col min="93" max="93" width="10.44140625" bestFit="1" customWidth="1"/>
    <col min="94" max="94" width="18.88671875" bestFit="1" customWidth="1"/>
    <col min="95" max="95" width="10.44140625" bestFit="1" customWidth="1"/>
    <col min="96" max="96" width="18.88671875" bestFit="1" customWidth="1"/>
    <col min="97" max="97" width="10.44140625" bestFit="1" customWidth="1"/>
    <col min="98" max="98" width="18.88671875" bestFit="1" customWidth="1"/>
    <col min="99" max="99" width="10.44140625" bestFit="1" customWidth="1"/>
    <col min="100" max="100" width="18.88671875" bestFit="1" customWidth="1"/>
    <col min="101" max="101" width="10.44140625" bestFit="1" customWidth="1"/>
    <col min="102" max="102" width="18.88671875" bestFit="1" customWidth="1"/>
    <col min="103" max="103" width="10.44140625" bestFit="1" customWidth="1"/>
    <col min="104" max="104" width="18.88671875" bestFit="1" customWidth="1"/>
    <col min="105" max="105" width="10.44140625" bestFit="1" customWidth="1"/>
    <col min="106" max="106" width="18.88671875" bestFit="1" customWidth="1"/>
    <col min="107" max="107" width="10.44140625" bestFit="1" customWidth="1"/>
    <col min="108" max="108" width="18.88671875" bestFit="1" customWidth="1"/>
    <col min="109" max="109" width="10.44140625" bestFit="1" customWidth="1"/>
    <col min="110" max="110" width="18.88671875" bestFit="1" customWidth="1"/>
    <col min="111" max="111" width="10.44140625" bestFit="1" customWidth="1"/>
    <col min="112" max="112" width="18.88671875" bestFit="1" customWidth="1"/>
    <col min="113" max="113" width="10.44140625" bestFit="1" customWidth="1"/>
    <col min="114" max="114" width="18.88671875" bestFit="1" customWidth="1"/>
    <col min="115" max="115" width="10.44140625" bestFit="1" customWidth="1"/>
    <col min="116" max="116" width="18.88671875" bestFit="1" customWidth="1"/>
    <col min="117" max="117" width="10.44140625" bestFit="1" customWidth="1"/>
    <col min="118" max="118" width="18.88671875" bestFit="1" customWidth="1"/>
    <col min="119" max="119" width="10.44140625" bestFit="1" customWidth="1"/>
    <col min="120" max="120" width="18.88671875" bestFit="1" customWidth="1"/>
    <col min="121" max="121" width="10.44140625" bestFit="1" customWidth="1"/>
    <col min="122" max="122" width="18.88671875" bestFit="1" customWidth="1"/>
    <col min="123" max="123" width="10.44140625" bestFit="1" customWidth="1"/>
    <col min="124" max="124" width="18.88671875" bestFit="1" customWidth="1"/>
    <col min="125" max="125" width="10.44140625" bestFit="1" customWidth="1"/>
    <col min="126" max="126" width="18.88671875" bestFit="1" customWidth="1"/>
    <col min="127" max="127" width="10.44140625" bestFit="1" customWidth="1"/>
    <col min="128" max="128" width="18.88671875" bestFit="1" customWidth="1"/>
    <col min="129" max="129" width="14.88671875" bestFit="1" customWidth="1"/>
    <col min="130" max="130" width="23.6640625" bestFit="1" customWidth="1"/>
    <col min="131" max="474" width="10.44140625" bestFit="1" customWidth="1"/>
    <col min="475" max="475" width="10.77734375" bestFit="1" customWidth="1"/>
  </cols>
  <sheetData>
    <row r="2" spans="2:16" x14ac:dyDescent="0.3">
      <c r="B2" s="1" t="s">
        <v>21</v>
      </c>
      <c r="C2" s="1" t="s">
        <v>22</v>
      </c>
      <c r="D2" t="s">
        <v>14</v>
      </c>
      <c r="E2" t="s">
        <v>15</v>
      </c>
      <c r="F2" t="s">
        <v>16</v>
      </c>
      <c r="G2" t="s">
        <v>20</v>
      </c>
      <c r="H2" t="s">
        <v>23</v>
      </c>
      <c r="J2" s="1" t="s">
        <v>0</v>
      </c>
      <c r="K2" t="s">
        <v>14</v>
      </c>
      <c r="L2" t="s">
        <v>15</v>
      </c>
      <c r="M2" t="s">
        <v>16</v>
      </c>
      <c r="N2" t="s">
        <v>20</v>
      </c>
    </row>
    <row r="3" spans="2:16" x14ac:dyDescent="0.3">
      <c r="B3" t="s">
        <v>17</v>
      </c>
      <c r="C3" t="s">
        <v>1</v>
      </c>
      <c r="D3" s="3">
        <v>65</v>
      </c>
      <c r="E3" s="4">
        <v>2827.5</v>
      </c>
      <c r="F3" s="5">
        <v>22</v>
      </c>
      <c r="G3" s="6">
        <v>128.52269999999999</v>
      </c>
      <c r="H3" s="5">
        <v>13</v>
      </c>
      <c r="I3" s="3"/>
      <c r="J3" s="2" t="s">
        <v>17</v>
      </c>
      <c r="K3" s="3">
        <v>1158</v>
      </c>
      <c r="L3" s="4">
        <v>20368.05</v>
      </c>
      <c r="M3" s="5">
        <v>290</v>
      </c>
      <c r="N3" s="6">
        <v>70.234700000000004</v>
      </c>
    </row>
    <row r="4" spans="2:16" x14ac:dyDescent="0.3">
      <c r="C4" t="s">
        <v>2</v>
      </c>
      <c r="D4" s="3">
        <v>125</v>
      </c>
      <c r="E4" s="4">
        <v>0</v>
      </c>
      <c r="F4" s="5">
        <v>46</v>
      </c>
      <c r="G4" s="6">
        <v>0</v>
      </c>
      <c r="H4" s="5">
        <v>0</v>
      </c>
      <c r="I4" s="6"/>
      <c r="J4" s="2" t="s">
        <v>18</v>
      </c>
      <c r="K4" s="3">
        <v>288</v>
      </c>
      <c r="L4" s="4">
        <v>5528.7</v>
      </c>
      <c r="M4" s="5">
        <v>101</v>
      </c>
      <c r="N4" s="6">
        <v>54.739600000000003</v>
      </c>
    </row>
    <row r="5" spans="2:16" x14ac:dyDescent="0.3">
      <c r="C5" t="s">
        <v>3</v>
      </c>
      <c r="D5" s="3">
        <v>130</v>
      </c>
      <c r="E5" s="4">
        <v>1950</v>
      </c>
      <c r="F5" s="5">
        <v>44</v>
      </c>
      <c r="G5" s="6">
        <v>44.318199999999997</v>
      </c>
      <c r="H5" s="5">
        <v>0</v>
      </c>
      <c r="I5" s="6"/>
      <c r="J5" s="2" t="s">
        <v>19</v>
      </c>
      <c r="K5" s="3">
        <v>1224</v>
      </c>
      <c r="L5" s="4">
        <v>23214.45</v>
      </c>
      <c r="M5" s="5">
        <v>305</v>
      </c>
      <c r="N5" s="6">
        <v>76.113</v>
      </c>
    </row>
    <row r="6" spans="2:16" x14ac:dyDescent="0.3">
      <c r="C6" t="s">
        <v>4</v>
      </c>
      <c r="D6" s="3">
        <v>112</v>
      </c>
      <c r="E6" s="4">
        <v>672</v>
      </c>
      <c r="F6" s="5">
        <v>41</v>
      </c>
      <c r="G6" s="6">
        <v>16.3902</v>
      </c>
      <c r="H6" s="5">
        <v>0</v>
      </c>
      <c r="I6" s="6"/>
      <c r="J6" s="2" t="s">
        <v>13</v>
      </c>
      <c r="K6" s="3">
        <v>2670</v>
      </c>
      <c r="L6" s="4">
        <v>49111.199999999997</v>
      </c>
      <c r="M6" s="5">
        <v>464</v>
      </c>
      <c r="N6" s="6">
        <v>105.84310000000001</v>
      </c>
    </row>
    <row r="7" spans="2:16" x14ac:dyDescent="0.3">
      <c r="C7" t="s">
        <v>5</v>
      </c>
      <c r="D7" s="3">
        <v>66</v>
      </c>
      <c r="E7" s="4">
        <v>891</v>
      </c>
      <c r="F7" s="5">
        <v>23</v>
      </c>
      <c r="G7" s="6">
        <v>38.739100000000001</v>
      </c>
      <c r="H7" s="5">
        <v>0</v>
      </c>
      <c r="I7" s="6"/>
    </row>
    <row r="8" spans="2:16" x14ac:dyDescent="0.3">
      <c r="C8" t="s">
        <v>6</v>
      </c>
      <c r="D8" s="3">
        <v>111</v>
      </c>
      <c r="E8" s="4">
        <v>2997</v>
      </c>
      <c r="F8" s="5">
        <v>35</v>
      </c>
      <c r="G8" s="6">
        <v>85.628600000000006</v>
      </c>
      <c r="H8" s="5">
        <v>13</v>
      </c>
      <c r="I8" s="6"/>
    </row>
    <row r="9" spans="2:16" x14ac:dyDescent="0.3">
      <c r="C9" t="s">
        <v>7</v>
      </c>
      <c r="D9" s="3">
        <v>78</v>
      </c>
      <c r="E9" s="4">
        <v>1635.66</v>
      </c>
      <c r="F9" s="5">
        <v>30</v>
      </c>
      <c r="G9" s="6">
        <v>54.521999999999998</v>
      </c>
      <c r="H9" s="5">
        <v>1</v>
      </c>
      <c r="I9" s="6"/>
    </row>
    <row r="10" spans="2:16" x14ac:dyDescent="0.3">
      <c r="C10" t="s">
        <v>8</v>
      </c>
      <c r="D10" s="3">
        <v>87</v>
      </c>
      <c r="E10" s="4">
        <v>1305</v>
      </c>
      <c r="F10" s="5">
        <v>29</v>
      </c>
      <c r="G10" s="6">
        <v>45</v>
      </c>
      <c r="H10" s="5">
        <v>0</v>
      </c>
      <c r="I10" s="6"/>
    </row>
    <row r="11" spans="2:16" ht="15.6" x14ac:dyDescent="0.3">
      <c r="C11" t="s">
        <v>9</v>
      </c>
      <c r="D11" s="3">
        <v>123</v>
      </c>
      <c r="E11" s="4">
        <v>2579.31</v>
      </c>
      <c r="F11" s="5">
        <v>39</v>
      </c>
      <c r="G11" s="6">
        <v>66.136200000000002</v>
      </c>
      <c r="H11" s="5">
        <v>9</v>
      </c>
      <c r="I11" s="6"/>
      <c r="J11" s="9" t="s">
        <v>24</v>
      </c>
      <c r="K11" s="9"/>
      <c r="L11" s="9"/>
      <c r="N11" s="8" t="s">
        <v>29</v>
      </c>
      <c r="O11" s="8"/>
      <c r="P11" s="8"/>
    </row>
    <row r="12" spans="2:16" x14ac:dyDescent="0.3">
      <c r="C12" t="s">
        <v>10</v>
      </c>
      <c r="D12" s="3">
        <v>107</v>
      </c>
      <c r="E12" s="4">
        <v>1605</v>
      </c>
      <c r="F12" s="5">
        <v>38</v>
      </c>
      <c r="G12" s="6">
        <v>42.236800000000002</v>
      </c>
      <c r="H12" s="5">
        <v>0</v>
      </c>
      <c r="I12" s="6"/>
      <c r="J12" s="1" t="s">
        <v>0</v>
      </c>
      <c r="K12" t="s">
        <v>15</v>
      </c>
      <c r="L12" t="s">
        <v>23</v>
      </c>
      <c r="N12" s="1" t="s">
        <v>0</v>
      </c>
      <c r="O12" t="s">
        <v>15</v>
      </c>
      <c r="P12" t="s">
        <v>28</v>
      </c>
    </row>
    <row r="13" spans="2:16" x14ac:dyDescent="0.3">
      <c r="C13" t="s">
        <v>11</v>
      </c>
      <c r="D13" s="3">
        <v>91</v>
      </c>
      <c r="E13" s="4">
        <v>2017.47</v>
      </c>
      <c r="F13" s="5">
        <v>33</v>
      </c>
      <c r="G13" s="6">
        <v>61.1355</v>
      </c>
      <c r="H13" s="5">
        <v>5</v>
      </c>
      <c r="I13" s="6"/>
      <c r="J13" s="2" t="s">
        <v>1</v>
      </c>
      <c r="K13" s="4">
        <v>7960.5</v>
      </c>
      <c r="L13" s="5">
        <v>36</v>
      </c>
      <c r="N13" s="2" t="s">
        <v>17</v>
      </c>
      <c r="O13" s="4">
        <v>20368.05</v>
      </c>
      <c r="P13" s="4">
        <v>2997</v>
      </c>
    </row>
    <row r="14" spans="2:16" x14ac:dyDescent="0.3">
      <c r="C14" t="s">
        <v>12</v>
      </c>
      <c r="D14" s="3">
        <v>63</v>
      </c>
      <c r="E14" s="4">
        <v>1888.11</v>
      </c>
      <c r="F14" s="5">
        <v>25</v>
      </c>
      <c r="G14" s="6">
        <v>75.5244</v>
      </c>
      <c r="H14" s="5">
        <v>6</v>
      </c>
      <c r="I14" s="6"/>
      <c r="J14" s="2" t="s">
        <v>2</v>
      </c>
      <c r="K14" s="4">
        <v>0</v>
      </c>
      <c r="L14" s="5">
        <v>0</v>
      </c>
      <c r="N14" s="2" t="s">
        <v>18</v>
      </c>
      <c r="O14" s="4">
        <v>5528.7</v>
      </c>
      <c r="P14" s="4">
        <v>1087.5</v>
      </c>
    </row>
    <row r="15" spans="2:16" x14ac:dyDescent="0.3">
      <c r="B15" t="s">
        <v>18</v>
      </c>
      <c r="C15" t="s">
        <v>1</v>
      </c>
      <c r="D15" s="3">
        <v>25</v>
      </c>
      <c r="E15" s="4">
        <v>1087.5</v>
      </c>
      <c r="F15" s="5">
        <v>9</v>
      </c>
      <c r="G15" s="6">
        <v>120.83329999999999</v>
      </c>
      <c r="H15" s="5">
        <v>5</v>
      </c>
      <c r="I15" s="6"/>
      <c r="J15" s="2" t="s">
        <v>3</v>
      </c>
      <c r="K15" s="4">
        <v>4830</v>
      </c>
      <c r="L15" s="5">
        <v>3</v>
      </c>
      <c r="N15" s="2" t="s">
        <v>19</v>
      </c>
      <c r="O15" s="4">
        <v>23214.45</v>
      </c>
      <c r="P15" s="4">
        <v>4045.5</v>
      </c>
    </row>
    <row r="16" spans="2:16" x14ac:dyDescent="0.3">
      <c r="C16" t="s">
        <v>2</v>
      </c>
      <c r="D16" s="3">
        <v>25</v>
      </c>
      <c r="E16" s="4">
        <v>0</v>
      </c>
      <c r="F16" s="5">
        <v>7</v>
      </c>
      <c r="G16" s="6">
        <v>0</v>
      </c>
      <c r="H16" s="5">
        <v>0</v>
      </c>
      <c r="I16" s="3"/>
      <c r="J16" s="2" t="s">
        <v>4</v>
      </c>
      <c r="K16" s="4">
        <v>1392</v>
      </c>
      <c r="L16" s="5">
        <v>0</v>
      </c>
      <c r="N16" s="2" t="s">
        <v>13</v>
      </c>
      <c r="O16" s="4">
        <v>49111.199999999997</v>
      </c>
      <c r="P16" s="4">
        <v>7960.5</v>
      </c>
    </row>
    <row r="17" spans="2:14" x14ac:dyDescent="0.3">
      <c r="C17" t="s">
        <v>3</v>
      </c>
      <c r="D17" s="3">
        <v>23</v>
      </c>
      <c r="E17" s="4">
        <v>345</v>
      </c>
      <c r="F17" s="5">
        <v>8</v>
      </c>
      <c r="G17" s="6">
        <v>43.125</v>
      </c>
      <c r="H17" s="5">
        <v>0</v>
      </c>
      <c r="I17" s="6"/>
      <c r="J17" s="2" t="s">
        <v>5</v>
      </c>
      <c r="K17" s="4">
        <v>2970</v>
      </c>
      <c r="L17" s="5">
        <v>0</v>
      </c>
    </row>
    <row r="18" spans="2:14" x14ac:dyDescent="0.3">
      <c r="C18" t="s">
        <v>4</v>
      </c>
      <c r="D18" s="3">
        <v>33</v>
      </c>
      <c r="E18" s="4">
        <v>198</v>
      </c>
      <c r="F18" s="5">
        <v>11</v>
      </c>
      <c r="G18" s="6">
        <v>18</v>
      </c>
      <c r="H18" s="5">
        <v>0</v>
      </c>
      <c r="I18" s="6"/>
      <c r="J18" s="2" t="s">
        <v>6</v>
      </c>
      <c r="K18" s="4">
        <v>6264</v>
      </c>
      <c r="L18" s="5">
        <v>23</v>
      </c>
    </row>
    <row r="19" spans="2:14" x14ac:dyDescent="0.3">
      <c r="C19" t="s">
        <v>5</v>
      </c>
      <c r="D19" s="3">
        <v>25</v>
      </c>
      <c r="E19" s="4">
        <v>337.5</v>
      </c>
      <c r="F19" s="5">
        <v>9</v>
      </c>
      <c r="G19" s="6">
        <v>37.5</v>
      </c>
      <c r="H19" s="5">
        <v>0</v>
      </c>
      <c r="I19" s="6"/>
      <c r="J19" s="2" t="s">
        <v>7</v>
      </c>
      <c r="K19" s="4">
        <v>3606.84</v>
      </c>
      <c r="L19" s="5">
        <v>8</v>
      </c>
    </row>
    <row r="20" spans="2:14" x14ac:dyDescent="0.3">
      <c r="C20" t="s">
        <v>6</v>
      </c>
      <c r="D20" s="3">
        <v>32</v>
      </c>
      <c r="E20" s="4">
        <v>864</v>
      </c>
      <c r="F20" s="5">
        <v>14</v>
      </c>
      <c r="G20" s="6">
        <v>61.714300000000001</v>
      </c>
      <c r="H20" s="5">
        <v>2</v>
      </c>
      <c r="I20" s="6"/>
      <c r="J20" s="2" t="s">
        <v>8</v>
      </c>
      <c r="K20" s="4">
        <v>3315</v>
      </c>
      <c r="L20" s="5">
        <v>1</v>
      </c>
    </row>
    <row r="21" spans="2:14" x14ac:dyDescent="0.3">
      <c r="C21" t="s">
        <v>7</v>
      </c>
      <c r="D21" s="3">
        <v>24</v>
      </c>
      <c r="E21" s="4">
        <v>503.28</v>
      </c>
      <c r="F21" s="5">
        <v>7</v>
      </c>
      <c r="G21" s="6">
        <v>71.897099999999995</v>
      </c>
      <c r="H21" s="5">
        <v>3</v>
      </c>
      <c r="I21" s="6"/>
      <c r="J21" s="2" t="s">
        <v>9</v>
      </c>
      <c r="K21" s="4">
        <v>5053.7700000000004</v>
      </c>
      <c r="L21" s="5">
        <v>14</v>
      </c>
    </row>
    <row r="22" spans="2:14" x14ac:dyDescent="0.3">
      <c r="C22" t="s">
        <v>8</v>
      </c>
      <c r="D22" s="3">
        <v>23</v>
      </c>
      <c r="E22" s="4">
        <v>345</v>
      </c>
      <c r="F22" s="5">
        <v>9</v>
      </c>
      <c r="G22" s="6">
        <v>38.333300000000001</v>
      </c>
      <c r="H22" s="5">
        <v>0</v>
      </c>
      <c r="I22" s="6"/>
      <c r="J22" s="2" t="s">
        <v>10</v>
      </c>
      <c r="K22" s="4">
        <v>3420</v>
      </c>
      <c r="L22" s="5">
        <v>1</v>
      </c>
    </row>
    <row r="23" spans="2:14" x14ac:dyDescent="0.3">
      <c r="C23" t="s">
        <v>9</v>
      </c>
      <c r="D23" s="3">
        <v>11</v>
      </c>
      <c r="E23" s="4">
        <v>230.67</v>
      </c>
      <c r="F23" s="5">
        <v>5</v>
      </c>
      <c r="G23" s="6">
        <v>46.134</v>
      </c>
      <c r="H23" s="5">
        <v>0</v>
      </c>
      <c r="I23" s="6"/>
      <c r="J23" s="2" t="s">
        <v>11</v>
      </c>
      <c r="K23" s="4">
        <v>4544.8500000000004</v>
      </c>
      <c r="L23" s="5">
        <v>9</v>
      </c>
      <c r="N23" s="7"/>
    </row>
    <row r="24" spans="2:14" x14ac:dyDescent="0.3">
      <c r="C24" t="s">
        <v>10</v>
      </c>
      <c r="D24" s="3">
        <v>12</v>
      </c>
      <c r="E24" s="4">
        <v>180</v>
      </c>
      <c r="F24" s="5">
        <v>4</v>
      </c>
      <c r="G24" s="6">
        <v>45</v>
      </c>
      <c r="H24" s="5">
        <v>0</v>
      </c>
      <c r="I24" s="6"/>
      <c r="J24" s="2" t="s">
        <v>12</v>
      </c>
      <c r="K24" s="4">
        <v>5754.24</v>
      </c>
      <c r="L24" s="5">
        <v>22</v>
      </c>
    </row>
    <row r="25" spans="2:14" x14ac:dyDescent="0.3">
      <c r="C25" t="s">
        <v>11</v>
      </c>
      <c r="D25" s="3">
        <v>27</v>
      </c>
      <c r="E25" s="4">
        <v>598.59</v>
      </c>
      <c r="F25" s="5">
        <v>9</v>
      </c>
      <c r="G25" s="6">
        <v>66.510000000000005</v>
      </c>
      <c r="H25" s="5">
        <v>1</v>
      </c>
      <c r="I25" s="6"/>
      <c r="J25" s="2" t="s">
        <v>13</v>
      </c>
      <c r="K25" s="4">
        <v>49111.199999999997</v>
      </c>
      <c r="L25" s="5">
        <v>203</v>
      </c>
    </row>
    <row r="26" spans="2:14" x14ac:dyDescent="0.3">
      <c r="C26" t="s">
        <v>12</v>
      </c>
      <c r="D26" s="3">
        <v>28</v>
      </c>
      <c r="E26" s="4">
        <v>839.16</v>
      </c>
      <c r="F26" s="5">
        <v>14</v>
      </c>
      <c r="G26" s="6">
        <v>59.94</v>
      </c>
      <c r="H26" s="5">
        <v>1</v>
      </c>
      <c r="I26" s="6"/>
    </row>
    <row r="27" spans="2:14" x14ac:dyDescent="0.3">
      <c r="B27" t="s">
        <v>19</v>
      </c>
      <c r="C27" t="s">
        <v>1</v>
      </c>
      <c r="D27" s="3">
        <v>93</v>
      </c>
      <c r="E27" s="4">
        <v>4045.5</v>
      </c>
      <c r="F27" s="5">
        <v>35</v>
      </c>
      <c r="G27" s="6">
        <v>115.5857</v>
      </c>
      <c r="H27" s="5">
        <v>19</v>
      </c>
      <c r="I27" s="6"/>
    </row>
    <row r="28" spans="2:14" x14ac:dyDescent="0.3">
      <c r="C28" t="s">
        <v>2</v>
      </c>
      <c r="D28" s="3">
        <v>72</v>
      </c>
      <c r="E28" s="4">
        <v>0</v>
      </c>
      <c r="F28" s="5">
        <v>29</v>
      </c>
      <c r="G28" s="6">
        <v>0</v>
      </c>
      <c r="H28" s="5">
        <v>0</v>
      </c>
      <c r="I28" s="6"/>
    </row>
    <row r="29" spans="2:14" x14ac:dyDescent="0.3">
      <c r="C29" t="s">
        <v>3</v>
      </c>
      <c r="D29" s="3">
        <v>169</v>
      </c>
      <c r="E29" s="4">
        <v>2535</v>
      </c>
      <c r="F29" s="5">
        <v>55</v>
      </c>
      <c r="G29" s="6">
        <v>46.090899999999998</v>
      </c>
      <c r="H29" s="5">
        <v>1</v>
      </c>
      <c r="I29" s="3"/>
      <c r="J29" s="1" t="s">
        <v>0</v>
      </c>
      <c r="K29" t="s">
        <v>15</v>
      </c>
      <c r="L29" t="s">
        <v>23</v>
      </c>
      <c r="M29" t="s">
        <v>28</v>
      </c>
    </row>
    <row r="30" spans="2:14" x14ac:dyDescent="0.3">
      <c r="C30" t="s">
        <v>4</v>
      </c>
      <c r="D30" s="3">
        <v>87</v>
      </c>
      <c r="E30" s="4">
        <v>522</v>
      </c>
      <c r="F30" s="5">
        <v>36</v>
      </c>
      <c r="G30" s="6">
        <v>14.5</v>
      </c>
      <c r="H30" s="5">
        <v>0</v>
      </c>
      <c r="I30" s="6"/>
      <c r="J30" s="2" t="s">
        <v>25</v>
      </c>
      <c r="K30" s="4">
        <v>5308.26</v>
      </c>
      <c r="L30" s="5">
        <v>14</v>
      </c>
      <c r="M30" s="4">
        <v>1218</v>
      </c>
    </row>
    <row r="31" spans="2:14" x14ac:dyDescent="0.3">
      <c r="C31" t="s">
        <v>5</v>
      </c>
      <c r="D31" s="3">
        <v>129</v>
      </c>
      <c r="E31" s="4">
        <v>1741.5</v>
      </c>
      <c r="F31" s="5">
        <v>51</v>
      </c>
      <c r="G31" s="6">
        <v>34.147100000000002</v>
      </c>
      <c r="H31" s="5">
        <v>0</v>
      </c>
      <c r="I31" s="6"/>
      <c r="J31" s="2" t="s">
        <v>26</v>
      </c>
      <c r="K31" s="4">
        <v>20969.189999999999</v>
      </c>
      <c r="L31" s="5">
        <v>78</v>
      </c>
      <c r="M31" s="4">
        <v>3610.5</v>
      </c>
    </row>
    <row r="32" spans="2:14" x14ac:dyDescent="0.3">
      <c r="C32" t="s">
        <v>6</v>
      </c>
      <c r="D32" s="3">
        <v>89</v>
      </c>
      <c r="E32" s="4">
        <v>2403</v>
      </c>
      <c r="F32" s="5">
        <v>34</v>
      </c>
      <c r="G32" s="6">
        <v>70.676500000000004</v>
      </c>
      <c r="H32" s="5">
        <v>8</v>
      </c>
      <c r="I32" s="6"/>
      <c r="J32" s="2" t="s">
        <v>27</v>
      </c>
      <c r="K32" s="4">
        <v>22833.75</v>
      </c>
      <c r="L32" s="5">
        <v>78</v>
      </c>
      <c r="M32" s="4">
        <v>3132</v>
      </c>
    </row>
    <row r="33" spans="2:13" x14ac:dyDescent="0.3">
      <c r="C33" t="s">
        <v>7</v>
      </c>
      <c r="D33" s="3">
        <v>70</v>
      </c>
      <c r="E33" s="4">
        <v>1467.9</v>
      </c>
      <c r="F33" s="5">
        <v>25</v>
      </c>
      <c r="G33" s="6">
        <v>58.716000000000001</v>
      </c>
      <c r="H33" s="5">
        <v>3</v>
      </c>
      <c r="I33" s="6"/>
      <c r="J33" s="2" t="s">
        <v>13</v>
      </c>
      <c r="K33" s="4">
        <v>49111.199999999997</v>
      </c>
      <c r="L33" s="5">
        <v>203</v>
      </c>
      <c r="M33" s="4">
        <v>7960.5</v>
      </c>
    </row>
    <row r="34" spans="2:13" x14ac:dyDescent="0.3">
      <c r="C34" t="s">
        <v>8</v>
      </c>
      <c r="D34" s="3">
        <v>111</v>
      </c>
      <c r="E34" s="4">
        <v>1665</v>
      </c>
      <c r="F34" s="5">
        <v>41</v>
      </c>
      <c r="G34" s="6">
        <v>40.6098</v>
      </c>
      <c r="H34" s="5">
        <v>0</v>
      </c>
      <c r="I34" s="6"/>
    </row>
    <row r="35" spans="2:13" x14ac:dyDescent="0.3">
      <c r="C35" t="s">
        <v>9</v>
      </c>
      <c r="D35" s="3">
        <v>107</v>
      </c>
      <c r="E35" s="4">
        <v>2243.79</v>
      </c>
      <c r="F35" s="5">
        <v>40</v>
      </c>
      <c r="G35" s="6">
        <v>56.094799999999999</v>
      </c>
      <c r="H35" s="5">
        <v>2</v>
      </c>
      <c r="I35" s="6"/>
    </row>
    <row r="36" spans="2:13" x14ac:dyDescent="0.3">
      <c r="C36" t="s">
        <v>10</v>
      </c>
      <c r="D36" s="3">
        <v>109</v>
      </c>
      <c r="E36" s="4">
        <v>1635</v>
      </c>
      <c r="F36" s="5">
        <v>39</v>
      </c>
      <c r="G36" s="6">
        <v>41.923099999999998</v>
      </c>
      <c r="H36" s="5">
        <v>0</v>
      </c>
      <c r="I36" s="6"/>
    </row>
    <row r="37" spans="2:13" x14ac:dyDescent="0.3">
      <c r="C37" t="s">
        <v>11</v>
      </c>
      <c r="D37" s="3">
        <v>87</v>
      </c>
      <c r="E37" s="4">
        <v>1928.79</v>
      </c>
      <c r="F37" s="5">
        <v>34</v>
      </c>
      <c r="G37" s="6">
        <v>56.729100000000003</v>
      </c>
      <c r="H37" s="5">
        <v>2</v>
      </c>
      <c r="I37" s="6"/>
    </row>
    <row r="38" spans="2:13" x14ac:dyDescent="0.3">
      <c r="C38" t="s">
        <v>12</v>
      </c>
      <c r="D38" s="3">
        <v>101</v>
      </c>
      <c r="E38" s="4">
        <v>3026.97</v>
      </c>
      <c r="F38" s="5">
        <v>34</v>
      </c>
      <c r="G38" s="6">
        <v>89.028499999999994</v>
      </c>
      <c r="H38" s="5">
        <v>14</v>
      </c>
      <c r="I38" s="6"/>
    </row>
    <row r="39" spans="2:13" x14ac:dyDescent="0.3">
      <c r="B39" t="s">
        <v>13</v>
      </c>
      <c r="D39" s="3">
        <v>2670</v>
      </c>
      <c r="E39" s="4">
        <v>49111.199999999997</v>
      </c>
      <c r="F39" s="5">
        <v>464</v>
      </c>
      <c r="G39" s="6">
        <v>105.84310000000001</v>
      </c>
      <c r="H39" s="5">
        <v>203</v>
      </c>
      <c r="I39" s="6"/>
    </row>
    <row r="40" spans="2:13" x14ac:dyDescent="0.3">
      <c r="G40" s="6"/>
      <c r="H40" s="6"/>
      <c r="I40" s="6"/>
    </row>
    <row r="41" spans="2:13" x14ac:dyDescent="0.3">
      <c r="G41" s="6"/>
      <c r="H41" s="6"/>
      <c r="I41" s="6"/>
    </row>
    <row r="42" spans="2:13" x14ac:dyDescent="0.3">
      <c r="G42" s="6"/>
      <c r="H42" s="6"/>
      <c r="I42" s="6"/>
    </row>
  </sheetData>
  <mergeCells count="2">
    <mergeCell ref="J11:L11"/>
    <mergeCell ref="N11:P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F70D5DBB-A48E-41EB-A87E-CD77C8673775}">
  <ds:schemaRefs/>
</ds:datastoreItem>
</file>

<file path=customXml/itemProps2.xml><?xml version="1.0" encoding="utf-8"?>
<ds:datastoreItem xmlns:ds="http://schemas.openxmlformats.org/officeDocument/2006/customXml" ds:itemID="{14D1D20D-1896-406D-96D9-AF4359EEC149}">
  <ds:schemaRefs/>
</ds:datastoreItem>
</file>

<file path=customXml/itemProps3.xml><?xml version="1.0" encoding="utf-8"?>
<ds:datastoreItem xmlns:ds="http://schemas.openxmlformats.org/officeDocument/2006/customXml" ds:itemID="{84D615F1-5069-43CD-9815-2F4F656BA5F4}">
  <ds:schemaRefs/>
</ds:datastoreItem>
</file>

<file path=customXml/itemProps4.xml><?xml version="1.0" encoding="utf-8"?>
<ds:datastoreItem xmlns:ds="http://schemas.openxmlformats.org/officeDocument/2006/customXml" ds:itemID="{6E457815-91BC-4594-A0B0-1343D12CF052}">
  <ds:schemaRefs/>
</ds:datastoreItem>
</file>

<file path=customXml/itemProps5.xml><?xml version="1.0" encoding="utf-8"?>
<ds:datastoreItem xmlns:ds="http://schemas.openxmlformats.org/officeDocument/2006/customXml" ds:itemID="{3DEC1CD3-650D-4D10-B3BC-448351395418}">
  <ds:schemaRefs/>
</ds:datastoreItem>
</file>

<file path=customXml/itemProps6.xml><?xml version="1.0" encoding="utf-8"?>
<ds:datastoreItem xmlns:ds="http://schemas.openxmlformats.org/officeDocument/2006/customXml" ds:itemID="{4310B691-165E-4BED-A1CF-4595AD689365}">
  <ds:schemaRefs/>
</ds:datastoreItem>
</file>

<file path=customXml/itemProps7.xml><?xml version="1.0" encoding="utf-8"?>
<ds:datastoreItem xmlns:ds="http://schemas.openxmlformats.org/officeDocument/2006/customXml" ds:itemID="{B5E8051F-A7D5-40DF-B102-17D01E21478E}">
  <ds:schemaRefs/>
</ds:datastoreItem>
</file>

<file path=customXml/itemProps8.xml><?xml version="1.0" encoding="utf-8"?>
<ds:datastoreItem xmlns:ds="http://schemas.openxmlformats.org/officeDocument/2006/customXml" ds:itemID="{C49FE8A8-8725-4C75-9D81-4BED540CDA0F}">
  <ds:schemaRefs/>
</ds:datastoreItem>
</file>

<file path=customXml/itemProps9.xml><?xml version="1.0" encoding="utf-8"?>
<ds:datastoreItem xmlns:ds="http://schemas.openxmlformats.org/officeDocument/2006/customXml" ds:itemID="{09D7FB2E-4450-4833-89D4-4695B2E6372E}">
  <ds:schemaRefs/>
</ds:datastoreItem>
</file>

<file path=customXml/itemProps10.xml><?xml version="1.0" encoding="utf-8"?>
<ds:datastoreItem xmlns:ds="http://schemas.openxmlformats.org/officeDocument/2006/customXml" ds:itemID="{529C0AC0-B0DC-4992-ACD3-AABA3EB40A6A}">
  <ds:schemaRefs/>
</ds:datastoreItem>
</file>

<file path=customXml/itemProps11.xml><?xml version="1.0" encoding="utf-8"?>
<ds:datastoreItem xmlns:ds="http://schemas.openxmlformats.org/officeDocument/2006/customXml" ds:itemID="{AB56A685-7E12-45A2-A162-6C160B5488F0}">
  <ds:schemaRefs/>
</ds:datastoreItem>
</file>

<file path=customXml/itemProps12.xml><?xml version="1.0" encoding="utf-8"?>
<ds:datastoreItem xmlns:ds="http://schemas.openxmlformats.org/officeDocument/2006/customXml" ds:itemID="{761DA626-48D2-483E-BF1E-54877DDA9265}">
  <ds:schemaRefs/>
</ds:datastoreItem>
</file>

<file path=customXml/itemProps13.xml><?xml version="1.0" encoding="utf-8"?>
<ds:datastoreItem xmlns:ds="http://schemas.openxmlformats.org/officeDocument/2006/customXml" ds:itemID="{3B2540C1-3C66-48D4-9177-7CCE58EE3199}">
  <ds:schemaRefs/>
</ds:datastoreItem>
</file>

<file path=customXml/itemProps14.xml><?xml version="1.0" encoding="utf-8"?>
<ds:datastoreItem xmlns:ds="http://schemas.openxmlformats.org/officeDocument/2006/customXml" ds:itemID="{3EE15AC1-4677-4EF9-8C0C-1D98622A3C08}">
  <ds:schemaRefs/>
</ds:datastoreItem>
</file>

<file path=customXml/itemProps15.xml><?xml version="1.0" encoding="utf-8"?>
<ds:datastoreItem xmlns:ds="http://schemas.openxmlformats.org/officeDocument/2006/customXml" ds:itemID="{67232E73-6949-45E8-969A-D47061149445}">
  <ds:schemaRefs/>
</ds:datastoreItem>
</file>

<file path=customXml/itemProps16.xml><?xml version="1.0" encoding="utf-8"?>
<ds:datastoreItem xmlns:ds="http://schemas.openxmlformats.org/officeDocument/2006/customXml" ds:itemID="{B71E698F-7966-4E14-9C1D-902495E3F30A}">
  <ds:schemaRefs/>
</ds:datastoreItem>
</file>

<file path=customXml/itemProps17.xml><?xml version="1.0" encoding="utf-8"?>
<ds:datastoreItem xmlns:ds="http://schemas.openxmlformats.org/officeDocument/2006/customXml" ds:itemID="{560D7527-BD97-46E5-A416-B668EEDB7531}">
  <ds:schemaRefs/>
</ds:datastoreItem>
</file>

<file path=customXml/itemProps18.xml><?xml version="1.0" encoding="utf-8"?>
<ds:datastoreItem xmlns:ds="http://schemas.openxmlformats.org/officeDocument/2006/customXml" ds:itemID="{898169F4-7514-4C37-A545-692D007A59C4}">
  <ds:schemaRefs/>
</ds:datastoreItem>
</file>

<file path=customXml/itemProps19.xml><?xml version="1.0" encoding="utf-8"?>
<ds:datastoreItem xmlns:ds="http://schemas.openxmlformats.org/officeDocument/2006/customXml" ds:itemID="{43BE8B23-9D00-4BA4-9B6B-7A1B094E2FB8}">
  <ds:schemaRefs/>
</ds:datastoreItem>
</file>

<file path=customXml/itemProps20.xml><?xml version="1.0" encoding="utf-8"?>
<ds:datastoreItem xmlns:ds="http://schemas.openxmlformats.org/officeDocument/2006/customXml" ds:itemID="{133AA138-98BD-4BF9-9CB0-8FD4B5022338}">
  <ds:schemaRefs/>
</ds:datastoreItem>
</file>

<file path=customXml/itemProps21.xml><?xml version="1.0" encoding="utf-8"?>
<ds:datastoreItem xmlns:ds="http://schemas.openxmlformats.org/officeDocument/2006/customXml" ds:itemID="{299FA583-6B59-457D-9671-C797BD1D5430}">
  <ds:schemaRefs/>
</ds:datastoreItem>
</file>

<file path=customXml/itemProps22.xml><?xml version="1.0" encoding="utf-8"?>
<ds:datastoreItem xmlns:ds="http://schemas.openxmlformats.org/officeDocument/2006/customXml" ds:itemID="{55009B9C-4C85-4B9E-B7FB-3A7FECFD1CC5}">
  <ds:schemaRefs/>
</ds:datastoreItem>
</file>

<file path=customXml/itemProps23.xml><?xml version="1.0" encoding="utf-8"?>
<ds:datastoreItem xmlns:ds="http://schemas.openxmlformats.org/officeDocument/2006/customXml" ds:itemID="{F7553C88-70AE-4D28-9D25-CCE240E41DF5}">
  <ds:schemaRefs/>
</ds:datastoreItem>
</file>

<file path=customXml/itemProps24.xml><?xml version="1.0" encoding="utf-8"?>
<ds:datastoreItem xmlns:ds="http://schemas.openxmlformats.org/officeDocument/2006/customXml" ds:itemID="{2F4879C7-D958-43C5-95DB-E23A41E054D7}">
  <ds:schemaRefs/>
</ds:datastoreItem>
</file>

<file path=customXml/itemProps25.xml><?xml version="1.0" encoding="utf-8"?>
<ds:datastoreItem xmlns:ds="http://schemas.openxmlformats.org/officeDocument/2006/customXml" ds:itemID="{99FA25E0-ED0F-4B56-B650-8403A6E99C6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PowerPivot-and-Measures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dcterms:created xsi:type="dcterms:W3CDTF">2015-06-05T18:17:20Z</dcterms:created>
  <dcterms:modified xsi:type="dcterms:W3CDTF">2025-05-31T20:03:11Z</dcterms:modified>
</cp:coreProperties>
</file>